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olo.Rodeghiero\Projects\eurostar-portfolio-gsd\"/>
    </mc:Choice>
  </mc:AlternateContent>
  <xr:revisionPtr revIDLastSave="0" documentId="8_{F0F59D92-5D61-49F4-ABE1-50B1782685D6}" xr6:coauthVersionLast="47" xr6:coauthVersionMax="47" xr10:uidLastSave="{00000000-0000-0000-0000-000000000000}"/>
  <bookViews>
    <workbookView xWindow="-108" yWindow="-108" windowWidth="23256" windowHeight="12456" tabRatio="915" activeTab="2" xr2:uid="{00000000-000D-0000-FFFF-FFFF00000000}"/>
  </bookViews>
  <sheets>
    <sheet name="Contents" sheetId="16" r:id="rId1"/>
    <sheet name="1. Budget Overview (EUR)" sheetId="10" r:id="rId2"/>
    <sheet name="2.1 EIL Opex" sheetId="1" r:id="rId3"/>
    <sheet name="2.2 EIL COS" sheetId="9" r:id="rId4"/>
    <sheet name="2.3 EIL Capex " sheetId="14" r:id="rId5"/>
    <sheet name="3.1 THIF Opex" sheetId="11" r:id="rId6"/>
    <sheet name="3.2 THIF COS" sheetId="13" r:id="rId7"/>
    <sheet name="3.3 THIF Capex" sheetId="12" r:id="rId8"/>
    <sheet name="THIF" sheetId="15" state="hidden" r:id="rId9"/>
    <sheet name="4.1 Simplify Investments " sheetId="7" r:id="rId10"/>
    <sheet name="4.2 Simplify Savings" sheetId="6" r:id="rId11"/>
    <sheet name="5. FX Rates" sheetId="17" r:id="rId12"/>
    <sheet name="Reports&gt;&gt;&gt;&gt;" sheetId="5" state="hidden" r:id="rId13"/>
    <sheet name="FM PL - Operating Expenses" sheetId="3" state="hidden" r:id="rId14"/>
    <sheet name="Information about this Sheet" sheetId="2" state="hidden" r:id="rId15"/>
    <sheet name="Reference " sheetId="4" state="hidden" r:id="rId16"/>
    <sheet name="Sheet3" sheetId="19" state="hidden" r:id="rId17"/>
    <sheet name="Report Data" sheetId="18" state="hidden" r:id="rId18"/>
    <sheet name="Rate" sheetId="8"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s>
  <definedNames>
    <definedName name="_________________________ric1" hidden="1">#REF!</definedName>
    <definedName name="_______________________ric1" hidden="1">#REF!</definedName>
    <definedName name="______________________ric1" hidden="1">#REF!</definedName>
    <definedName name="____________________ric1" hidden="1">#REF!</definedName>
    <definedName name="__________________ric1" hidden="1">#REF!</definedName>
    <definedName name="_________________imp123" localSheetId="1" hidden="1">{#N/A,#N/A,TRUE,"AB_Vertrag";#N/A,#N/A,TRUE,"AB_BWL"}</definedName>
    <definedName name="_________________imp123" localSheetId="3" hidden="1">{#N/A,#N/A,TRUE,"AB_Vertrag";#N/A,#N/A,TRUE,"AB_BWL"}</definedName>
    <definedName name="_________________imp123" localSheetId="7" hidden="1">{#N/A,#N/A,TRUE,"AB_Vertrag";#N/A,#N/A,TRUE,"AB_BWL"}</definedName>
    <definedName name="_________________imp123" localSheetId="0" hidden="1">{#N/A,#N/A,TRUE,"AB_Vertrag";#N/A,#N/A,TRUE,"AB_BWL"}</definedName>
    <definedName name="_________________imp123" localSheetId="15" hidden="1">{#N/A,#N/A,TRUE,"AB_Vertrag";#N/A,#N/A,TRUE,"AB_BWL"}</definedName>
    <definedName name="_________________imp123" hidden="1">{#N/A,#N/A,TRUE,"AB_Vertrag";#N/A,#N/A,TRUE,"AB_BWL"}</definedName>
    <definedName name="_________________imp14" localSheetId="1" hidden="1">{#N/A,#N/A,TRUE,"AB_Vertrag";#N/A,#N/A,TRUE,"AB_BWL"}</definedName>
    <definedName name="_________________imp14" localSheetId="3" hidden="1">{#N/A,#N/A,TRUE,"AB_Vertrag";#N/A,#N/A,TRUE,"AB_BWL"}</definedName>
    <definedName name="_________________imp14" localSheetId="7" hidden="1">{#N/A,#N/A,TRUE,"AB_Vertrag";#N/A,#N/A,TRUE,"AB_BWL"}</definedName>
    <definedName name="_________________imp14" localSheetId="0" hidden="1">{#N/A,#N/A,TRUE,"AB_Vertrag";#N/A,#N/A,TRUE,"AB_BWL"}</definedName>
    <definedName name="_________________imp14" localSheetId="15" hidden="1">{#N/A,#N/A,TRUE,"AB_Vertrag";#N/A,#N/A,TRUE,"AB_BWL"}</definedName>
    <definedName name="_________________imp14" hidden="1">{#N/A,#N/A,TRUE,"AB_Vertrag";#N/A,#N/A,TRUE,"AB_BWL"}</definedName>
    <definedName name="_________________imp15" localSheetId="1" hidden="1">{#N/A,#N/A,TRUE,"AB_Vertrag";#N/A,#N/A,TRUE,"AB_BWL"}</definedName>
    <definedName name="_________________imp15" localSheetId="3" hidden="1">{#N/A,#N/A,TRUE,"AB_Vertrag";#N/A,#N/A,TRUE,"AB_BWL"}</definedName>
    <definedName name="_________________imp15" localSheetId="7" hidden="1">{#N/A,#N/A,TRUE,"AB_Vertrag";#N/A,#N/A,TRUE,"AB_BWL"}</definedName>
    <definedName name="_________________imp15" localSheetId="0" hidden="1">{#N/A,#N/A,TRUE,"AB_Vertrag";#N/A,#N/A,TRUE,"AB_BWL"}</definedName>
    <definedName name="_________________imp15" localSheetId="15" hidden="1">{#N/A,#N/A,TRUE,"AB_Vertrag";#N/A,#N/A,TRUE,"AB_BWL"}</definedName>
    <definedName name="_________________imp15" hidden="1">{#N/A,#N/A,TRUE,"AB_Vertrag";#N/A,#N/A,TRUE,"AB_BWL"}</definedName>
    <definedName name="_________________imp21" localSheetId="1" hidden="1">{#N/A,#N/A,TRUE,"AB_Vertrag";#N/A,#N/A,TRUE,"AB_BWL"}</definedName>
    <definedName name="_________________imp21" localSheetId="3" hidden="1">{#N/A,#N/A,TRUE,"AB_Vertrag";#N/A,#N/A,TRUE,"AB_BWL"}</definedName>
    <definedName name="_________________imp21" localSheetId="7" hidden="1">{#N/A,#N/A,TRUE,"AB_Vertrag";#N/A,#N/A,TRUE,"AB_BWL"}</definedName>
    <definedName name="_________________imp21" localSheetId="0" hidden="1">{#N/A,#N/A,TRUE,"AB_Vertrag";#N/A,#N/A,TRUE,"AB_BWL"}</definedName>
    <definedName name="_________________imp21" localSheetId="15" hidden="1">{#N/A,#N/A,TRUE,"AB_Vertrag";#N/A,#N/A,TRUE,"AB_BWL"}</definedName>
    <definedName name="_________________imp21" hidden="1">{#N/A,#N/A,TRUE,"AB_Vertrag";#N/A,#N/A,TRUE,"AB_BWL"}</definedName>
    <definedName name="_________________imp5" localSheetId="1" hidden="1">{#N/A,#N/A,TRUE,"AB_Vertrag";#N/A,#N/A,TRUE,"AB_BWL"}</definedName>
    <definedName name="_________________imp5" localSheetId="3" hidden="1">{#N/A,#N/A,TRUE,"AB_Vertrag";#N/A,#N/A,TRUE,"AB_BWL"}</definedName>
    <definedName name="_________________imp5" localSheetId="7" hidden="1">{#N/A,#N/A,TRUE,"AB_Vertrag";#N/A,#N/A,TRUE,"AB_BWL"}</definedName>
    <definedName name="_________________imp5" localSheetId="0" hidden="1">{#N/A,#N/A,TRUE,"AB_Vertrag";#N/A,#N/A,TRUE,"AB_BWL"}</definedName>
    <definedName name="_________________imp5" localSheetId="15" hidden="1">{#N/A,#N/A,TRUE,"AB_Vertrag";#N/A,#N/A,TRUE,"AB_BWL"}</definedName>
    <definedName name="_________________imp5" hidden="1">{#N/A,#N/A,TRUE,"AB_Vertrag";#N/A,#N/A,TRUE,"AB_BWL"}</definedName>
    <definedName name="_________________imp6" localSheetId="1" hidden="1">{#N/A,#N/A,TRUE,"AB_Vertrag";#N/A,#N/A,TRUE,"AB_BWL"}</definedName>
    <definedName name="_________________imp6" localSheetId="3" hidden="1">{#N/A,#N/A,TRUE,"AB_Vertrag";#N/A,#N/A,TRUE,"AB_BWL"}</definedName>
    <definedName name="_________________imp6" localSheetId="7" hidden="1">{#N/A,#N/A,TRUE,"AB_Vertrag";#N/A,#N/A,TRUE,"AB_BWL"}</definedName>
    <definedName name="_________________imp6" localSheetId="0" hidden="1">{#N/A,#N/A,TRUE,"AB_Vertrag";#N/A,#N/A,TRUE,"AB_BWL"}</definedName>
    <definedName name="_________________imp6" localSheetId="15" hidden="1">{#N/A,#N/A,TRUE,"AB_Vertrag";#N/A,#N/A,TRUE,"AB_BWL"}</definedName>
    <definedName name="_________________imp6" hidden="1">{#N/A,#N/A,TRUE,"AB_Vertrag";#N/A,#N/A,TRUE,"AB_BWL"}</definedName>
    <definedName name="_________________imp7" localSheetId="1" hidden="1">{#N/A,#N/A,TRUE,"AB_Vertrag";#N/A,#N/A,TRUE,"AB_BWL"}</definedName>
    <definedName name="_________________imp7" localSheetId="3" hidden="1">{#N/A,#N/A,TRUE,"AB_Vertrag";#N/A,#N/A,TRUE,"AB_BWL"}</definedName>
    <definedName name="_________________imp7" localSheetId="7" hidden="1">{#N/A,#N/A,TRUE,"AB_Vertrag";#N/A,#N/A,TRUE,"AB_BWL"}</definedName>
    <definedName name="_________________imp7" localSheetId="0" hidden="1">{#N/A,#N/A,TRUE,"AB_Vertrag";#N/A,#N/A,TRUE,"AB_BWL"}</definedName>
    <definedName name="_________________imp7" localSheetId="15" hidden="1">{#N/A,#N/A,TRUE,"AB_Vertrag";#N/A,#N/A,TRUE,"AB_BWL"}</definedName>
    <definedName name="_________________imp7" hidden="1">{#N/A,#N/A,TRUE,"AB_Vertrag";#N/A,#N/A,TRUE,"AB_BWL"}</definedName>
    <definedName name="_________________imp8" localSheetId="1" hidden="1">{#N/A,#N/A,TRUE,"AB_Vertrag";#N/A,#N/A,TRUE,"AB_BWL"}</definedName>
    <definedName name="_________________imp8" localSheetId="3" hidden="1">{#N/A,#N/A,TRUE,"AB_Vertrag";#N/A,#N/A,TRUE,"AB_BWL"}</definedName>
    <definedName name="_________________imp8" localSheetId="7" hidden="1">{#N/A,#N/A,TRUE,"AB_Vertrag";#N/A,#N/A,TRUE,"AB_BWL"}</definedName>
    <definedName name="_________________imp8" localSheetId="0" hidden="1">{#N/A,#N/A,TRUE,"AB_Vertrag";#N/A,#N/A,TRUE,"AB_BWL"}</definedName>
    <definedName name="_________________imp8" localSheetId="15" hidden="1">{#N/A,#N/A,TRUE,"AB_Vertrag";#N/A,#N/A,TRUE,"AB_BWL"}</definedName>
    <definedName name="_________________imp8" hidden="1">{#N/A,#N/A,TRUE,"AB_Vertrag";#N/A,#N/A,TRUE,"AB_BWL"}</definedName>
    <definedName name="_________________NEU1" localSheetId="1" hidden="1">{#N/A,#N/A,TRUE,"AB_Vertrag";#N/A,#N/A,TRUE,"AB_BWL"}</definedName>
    <definedName name="_________________NEU1" localSheetId="3" hidden="1">{#N/A,#N/A,TRUE,"AB_Vertrag";#N/A,#N/A,TRUE,"AB_BWL"}</definedName>
    <definedName name="_________________NEU1" localSheetId="7" hidden="1">{#N/A,#N/A,TRUE,"AB_Vertrag";#N/A,#N/A,TRUE,"AB_BWL"}</definedName>
    <definedName name="_________________NEU1" localSheetId="0" hidden="1">{#N/A,#N/A,TRUE,"AB_Vertrag";#N/A,#N/A,TRUE,"AB_BWL"}</definedName>
    <definedName name="_________________NEU1" localSheetId="15" hidden="1">{#N/A,#N/A,TRUE,"AB_Vertrag";#N/A,#N/A,TRUE,"AB_BWL"}</definedName>
    <definedName name="_________________NEU1" hidden="1">{#N/A,#N/A,TRUE,"AB_Vertrag";#N/A,#N/A,TRUE,"AB_BWL"}</definedName>
    <definedName name="________________112" localSheetId="1" hidden="1">{#N/A,#N/A,TRUE,"AB_Vertrag";#N/A,#N/A,TRUE,"AB_BWL"}</definedName>
    <definedName name="________________112" localSheetId="3" hidden="1">{#N/A,#N/A,TRUE,"AB_Vertrag";#N/A,#N/A,TRUE,"AB_BWL"}</definedName>
    <definedName name="________________112" localSheetId="7" hidden="1">{#N/A,#N/A,TRUE,"AB_Vertrag";#N/A,#N/A,TRUE,"AB_BWL"}</definedName>
    <definedName name="________________112" localSheetId="0" hidden="1">{#N/A,#N/A,TRUE,"AB_Vertrag";#N/A,#N/A,TRUE,"AB_BWL"}</definedName>
    <definedName name="________________112" localSheetId="15" hidden="1">{#N/A,#N/A,TRUE,"AB_Vertrag";#N/A,#N/A,TRUE,"AB_BWL"}</definedName>
    <definedName name="________________112" hidden="1">{#N/A,#N/A,TRUE,"AB_Vertrag";#N/A,#N/A,TRUE,"AB_BWL"}</definedName>
    <definedName name="________________ric1" hidden="1">#REF!</definedName>
    <definedName name="______________ric1" hidden="1">#REF!</definedName>
    <definedName name="____________ric1" hidden="1">#REF!</definedName>
    <definedName name="__________ric1" hidden="1">#REF!</definedName>
    <definedName name="_________ric1" hidden="1">#REF!</definedName>
    <definedName name="________ric1" hidden="1">#REF!</definedName>
    <definedName name="_______ric1" hidden="1">#REF!</definedName>
    <definedName name="______ric1" hidden="1">#REF!</definedName>
    <definedName name="____imp123" localSheetId="1" hidden="1">{#N/A,#N/A,TRUE,"AB_Vertrag";#N/A,#N/A,TRUE,"AB_BWL"}</definedName>
    <definedName name="____imp123" localSheetId="3" hidden="1">{#N/A,#N/A,TRUE,"AB_Vertrag";#N/A,#N/A,TRUE,"AB_BWL"}</definedName>
    <definedName name="____imp123" localSheetId="7" hidden="1">{#N/A,#N/A,TRUE,"AB_Vertrag";#N/A,#N/A,TRUE,"AB_BWL"}</definedName>
    <definedName name="____imp123" localSheetId="0" hidden="1">{#N/A,#N/A,TRUE,"AB_Vertrag";#N/A,#N/A,TRUE,"AB_BWL"}</definedName>
    <definedName name="____imp123" localSheetId="15" hidden="1">{#N/A,#N/A,TRUE,"AB_Vertrag";#N/A,#N/A,TRUE,"AB_BWL"}</definedName>
    <definedName name="____imp123" hidden="1">{#N/A,#N/A,TRUE,"AB_Vertrag";#N/A,#N/A,TRUE,"AB_BWL"}</definedName>
    <definedName name="____imp14" localSheetId="1" hidden="1">{#N/A,#N/A,TRUE,"AB_Vertrag";#N/A,#N/A,TRUE,"AB_BWL"}</definedName>
    <definedName name="____imp14" localSheetId="3" hidden="1">{#N/A,#N/A,TRUE,"AB_Vertrag";#N/A,#N/A,TRUE,"AB_BWL"}</definedName>
    <definedName name="____imp14" localSheetId="7" hidden="1">{#N/A,#N/A,TRUE,"AB_Vertrag";#N/A,#N/A,TRUE,"AB_BWL"}</definedName>
    <definedName name="____imp14" localSheetId="0" hidden="1">{#N/A,#N/A,TRUE,"AB_Vertrag";#N/A,#N/A,TRUE,"AB_BWL"}</definedName>
    <definedName name="____imp14" localSheetId="15" hidden="1">{#N/A,#N/A,TRUE,"AB_Vertrag";#N/A,#N/A,TRUE,"AB_BWL"}</definedName>
    <definedName name="____imp14" hidden="1">{#N/A,#N/A,TRUE,"AB_Vertrag";#N/A,#N/A,TRUE,"AB_BWL"}</definedName>
    <definedName name="____imp15" localSheetId="1" hidden="1">{#N/A,#N/A,TRUE,"AB_Vertrag";#N/A,#N/A,TRUE,"AB_BWL"}</definedName>
    <definedName name="____imp15" localSheetId="3" hidden="1">{#N/A,#N/A,TRUE,"AB_Vertrag";#N/A,#N/A,TRUE,"AB_BWL"}</definedName>
    <definedName name="____imp15" localSheetId="7" hidden="1">{#N/A,#N/A,TRUE,"AB_Vertrag";#N/A,#N/A,TRUE,"AB_BWL"}</definedName>
    <definedName name="____imp15" localSheetId="0" hidden="1">{#N/A,#N/A,TRUE,"AB_Vertrag";#N/A,#N/A,TRUE,"AB_BWL"}</definedName>
    <definedName name="____imp15" localSheetId="15" hidden="1">{#N/A,#N/A,TRUE,"AB_Vertrag";#N/A,#N/A,TRUE,"AB_BWL"}</definedName>
    <definedName name="____imp15" hidden="1">{#N/A,#N/A,TRUE,"AB_Vertrag";#N/A,#N/A,TRUE,"AB_BWL"}</definedName>
    <definedName name="____imp21" localSheetId="1" hidden="1">{#N/A,#N/A,TRUE,"AB_Vertrag";#N/A,#N/A,TRUE,"AB_BWL"}</definedName>
    <definedName name="____imp21" localSheetId="3" hidden="1">{#N/A,#N/A,TRUE,"AB_Vertrag";#N/A,#N/A,TRUE,"AB_BWL"}</definedName>
    <definedName name="____imp21" localSheetId="7" hidden="1">{#N/A,#N/A,TRUE,"AB_Vertrag";#N/A,#N/A,TRUE,"AB_BWL"}</definedName>
    <definedName name="____imp21" localSheetId="0" hidden="1">{#N/A,#N/A,TRUE,"AB_Vertrag";#N/A,#N/A,TRUE,"AB_BWL"}</definedName>
    <definedName name="____imp21" localSheetId="15" hidden="1">{#N/A,#N/A,TRUE,"AB_Vertrag";#N/A,#N/A,TRUE,"AB_BWL"}</definedName>
    <definedName name="____imp21" hidden="1">{#N/A,#N/A,TRUE,"AB_Vertrag";#N/A,#N/A,TRUE,"AB_BWL"}</definedName>
    <definedName name="____imp5" localSheetId="1" hidden="1">{#N/A,#N/A,TRUE,"AB_Vertrag";#N/A,#N/A,TRUE,"AB_BWL"}</definedName>
    <definedName name="____imp5" localSheetId="3" hidden="1">{#N/A,#N/A,TRUE,"AB_Vertrag";#N/A,#N/A,TRUE,"AB_BWL"}</definedName>
    <definedName name="____imp5" localSheetId="7" hidden="1">{#N/A,#N/A,TRUE,"AB_Vertrag";#N/A,#N/A,TRUE,"AB_BWL"}</definedName>
    <definedName name="____imp5" localSheetId="0" hidden="1">{#N/A,#N/A,TRUE,"AB_Vertrag";#N/A,#N/A,TRUE,"AB_BWL"}</definedName>
    <definedName name="____imp5" localSheetId="15" hidden="1">{#N/A,#N/A,TRUE,"AB_Vertrag";#N/A,#N/A,TRUE,"AB_BWL"}</definedName>
    <definedName name="____imp5" hidden="1">{#N/A,#N/A,TRUE,"AB_Vertrag";#N/A,#N/A,TRUE,"AB_BWL"}</definedName>
    <definedName name="____imp6" localSheetId="1" hidden="1">{#N/A,#N/A,TRUE,"AB_Vertrag";#N/A,#N/A,TRUE,"AB_BWL"}</definedName>
    <definedName name="____imp6" localSheetId="3" hidden="1">{#N/A,#N/A,TRUE,"AB_Vertrag";#N/A,#N/A,TRUE,"AB_BWL"}</definedName>
    <definedName name="____imp6" localSheetId="7" hidden="1">{#N/A,#N/A,TRUE,"AB_Vertrag";#N/A,#N/A,TRUE,"AB_BWL"}</definedName>
    <definedName name="____imp6" localSheetId="0" hidden="1">{#N/A,#N/A,TRUE,"AB_Vertrag";#N/A,#N/A,TRUE,"AB_BWL"}</definedName>
    <definedName name="____imp6" localSheetId="15" hidden="1">{#N/A,#N/A,TRUE,"AB_Vertrag";#N/A,#N/A,TRUE,"AB_BWL"}</definedName>
    <definedName name="____imp6" hidden="1">{#N/A,#N/A,TRUE,"AB_Vertrag";#N/A,#N/A,TRUE,"AB_BWL"}</definedName>
    <definedName name="____imp7" localSheetId="1" hidden="1">{#N/A,#N/A,TRUE,"AB_Vertrag";#N/A,#N/A,TRUE,"AB_BWL"}</definedName>
    <definedName name="____imp7" localSheetId="3" hidden="1">{#N/A,#N/A,TRUE,"AB_Vertrag";#N/A,#N/A,TRUE,"AB_BWL"}</definedName>
    <definedName name="____imp7" localSheetId="7" hidden="1">{#N/A,#N/A,TRUE,"AB_Vertrag";#N/A,#N/A,TRUE,"AB_BWL"}</definedName>
    <definedName name="____imp7" localSheetId="0" hidden="1">{#N/A,#N/A,TRUE,"AB_Vertrag";#N/A,#N/A,TRUE,"AB_BWL"}</definedName>
    <definedName name="____imp7" localSheetId="15" hidden="1">{#N/A,#N/A,TRUE,"AB_Vertrag";#N/A,#N/A,TRUE,"AB_BWL"}</definedName>
    <definedName name="____imp7" hidden="1">{#N/A,#N/A,TRUE,"AB_Vertrag";#N/A,#N/A,TRUE,"AB_BWL"}</definedName>
    <definedName name="____imp8" localSheetId="1" hidden="1">{#N/A,#N/A,TRUE,"AB_Vertrag";#N/A,#N/A,TRUE,"AB_BWL"}</definedName>
    <definedName name="____imp8" localSheetId="3" hidden="1">{#N/A,#N/A,TRUE,"AB_Vertrag";#N/A,#N/A,TRUE,"AB_BWL"}</definedName>
    <definedName name="____imp8" localSheetId="7" hidden="1">{#N/A,#N/A,TRUE,"AB_Vertrag";#N/A,#N/A,TRUE,"AB_BWL"}</definedName>
    <definedName name="____imp8" localSheetId="0" hidden="1">{#N/A,#N/A,TRUE,"AB_Vertrag";#N/A,#N/A,TRUE,"AB_BWL"}</definedName>
    <definedName name="____imp8" localSheetId="15" hidden="1">{#N/A,#N/A,TRUE,"AB_Vertrag";#N/A,#N/A,TRUE,"AB_BWL"}</definedName>
    <definedName name="____imp8" hidden="1">{#N/A,#N/A,TRUE,"AB_Vertrag";#N/A,#N/A,TRUE,"AB_BWL"}</definedName>
    <definedName name="____NEU1" localSheetId="1" hidden="1">{#N/A,#N/A,TRUE,"AB_Vertrag";#N/A,#N/A,TRUE,"AB_BWL"}</definedName>
    <definedName name="____NEU1" localSheetId="3" hidden="1">{#N/A,#N/A,TRUE,"AB_Vertrag";#N/A,#N/A,TRUE,"AB_BWL"}</definedName>
    <definedName name="____NEU1" localSheetId="7" hidden="1">{#N/A,#N/A,TRUE,"AB_Vertrag";#N/A,#N/A,TRUE,"AB_BWL"}</definedName>
    <definedName name="____NEU1" localSheetId="0" hidden="1">{#N/A,#N/A,TRUE,"AB_Vertrag";#N/A,#N/A,TRUE,"AB_BWL"}</definedName>
    <definedName name="____NEU1" localSheetId="15" hidden="1">{#N/A,#N/A,TRUE,"AB_Vertrag";#N/A,#N/A,TRUE,"AB_BWL"}</definedName>
    <definedName name="____NEU1" hidden="1">{#N/A,#N/A,TRUE,"AB_Vertrag";#N/A,#N/A,TRUE,"AB_BWL"}</definedName>
    <definedName name="___imp123" localSheetId="1" hidden="1">{#N/A,#N/A,TRUE,"AB_Vertrag";#N/A,#N/A,TRUE,"AB_BWL"}</definedName>
    <definedName name="___imp123" localSheetId="3" hidden="1">{#N/A,#N/A,TRUE,"AB_Vertrag";#N/A,#N/A,TRUE,"AB_BWL"}</definedName>
    <definedName name="___imp123" localSheetId="7" hidden="1">{#N/A,#N/A,TRUE,"AB_Vertrag";#N/A,#N/A,TRUE,"AB_BWL"}</definedName>
    <definedName name="___imp123" localSheetId="0" hidden="1">{#N/A,#N/A,TRUE,"AB_Vertrag";#N/A,#N/A,TRUE,"AB_BWL"}</definedName>
    <definedName name="___imp123" localSheetId="15" hidden="1">{#N/A,#N/A,TRUE,"AB_Vertrag";#N/A,#N/A,TRUE,"AB_BWL"}</definedName>
    <definedName name="___imp123" hidden="1">{#N/A,#N/A,TRUE,"AB_Vertrag";#N/A,#N/A,TRUE,"AB_BWL"}</definedName>
    <definedName name="___imp14" localSheetId="1" hidden="1">{#N/A,#N/A,TRUE,"AB_Vertrag";#N/A,#N/A,TRUE,"AB_BWL"}</definedName>
    <definedName name="___imp14" localSheetId="3" hidden="1">{#N/A,#N/A,TRUE,"AB_Vertrag";#N/A,#N/A,TRUE,"AB_BWL"}</definedName>
    <definedName name="___imp14" localSheetId="7" hidden="1">{#N/A,#N/A,TRUE,"AB_Vertrag";#N/A,#N/A,TRUE,"AB_BWL"}</definedName>
    <definedName name="___imp14" localSheetId="0" hidden="1">{#N/A,#N/A,TRUE,"AB_Vertrag";#N/A,#N/A,TRUE,"AB_BWL"}</definedName>
    <definedName name="___imp14" localSheetId="15" hidden="1">{#N/A,#N/A,TRUE,"AB_Vertrag";#N/A,#N/A,TRUE,"AB_BWL"}</definedName>
    <definedName name="___imp14" hidden="1">{#N/A,#N/A,TRUE,"AB_Vertrag";#N/A,#N/A,TRUE,"AB_BWL"}</definedName>
    <definedName name="___imp15" localSheetId="1" hidden="1">{#N/A,#N/A,TRUE,"AB_Vertrag";#N/A,#N/A,TRUE,"AB_BWL"}</definedName>
    <definedName name="___imp15" localSheetId="3" hidden="1">{#N/A,#N/A,TRUE,"AB_Vertrag";#N/A,#N/A,TRUE,"AB_BWL"}</definedName>
    <definedName name="___imp15" localSheetId="7" hidden="1">{#N/A,#N/A,TRUE,"AB_Vertrag";#N/A,#N/A,TRUE,"AB_BWL"}</definedName>
    <definedName name="___imp15" localSheetId="0" hidden="1">{#N/A,#N/A,TRUE,"AB_Vertrag";#N/A,#N/A,TRUE,"AB_BWL"}</definedName>
    <definedName name="___imp15" localSheetId="15" hidden="1">{#N/A,#N/A,TRUE,"AB_Vertrag";#N/A,#N/A,TRUE,"AB_BWL"}</definedName>
    <definedName name="___imp15" hidden="1">{#N/A,#N/A,TRUE,"AB_Vertrag";#N/A,#N/A,TRUE,"AB_BWL"}</definedName>
    <definedName name="___imp21" localSheetId="1" hidden="1">{#N/A,#N/A,TRUE,"AB_Vertrag";#N/A,#N/A,TRUE,"AB_BWL"}</definedName>
    <definedName name="___imp21" localSheetId="3" hidden="1">{#N/A,#N/A,TRUE,"AB_Vertrag";#N/A,#N/A,TRUE,"AB_BWL"}</definedName>
    <definedName name="___imp21" localSheetId="7" hidden="1">{#N/A,#N/A,TRUE,"AB_Vertrag";#N/A,#N/A,TRUE,"AB_BWL"}</definedName>
    <definedName name="___imp21" localSheetId="0" hidden="1">{#N/A,#N/A,TRUE,"AB_Vertrag";#N/A,#N/A,TRUE,"AB_BWL"}</definedName>
    <definedName name="___imp21" localSheetId="15" hidden="1">{#N/A,#N/A,TRUE,"AB_Vertrag";#N/A,#N/A,TRUE,"AB_BWL"}</definedName>
    <definedName name="___imp21" hidden="1">{#N/A,#N/A,TRUE,"AB_Vertrag";#N/A,#N/A,TRUE,"AB_BWL"}</definedName>
    <definedName name="___imp5" localSheetId="1" hidden="1">{#N/A,#N/A,TRUE,"AB_Vertrag";#N/A,#N/A,TRUE,"AB_BWL"}</definedName>
    <definedName name="___imp5" localSheetId="3" hidden="1">{#N/A,#N/A,TRUE,"AB_Vertrag";#N/A,#N/A,TRUE,"AB_BWL"}</definedName>
    <definedName name="___imp5" localSheetId="7" hidden="1">{#N/A,#N/A,TRUE,"AB_Vertrag";#N/A,#N/A,TRUE,"AB_BWL"}</definedName>
    <definedName name="___imp5" localSheetId="0" hidden="1">{#N/A,#N/A,TRUE,"AB_Vertrag";#N/A,#N/A,TRUE,"AB_BWL"}</definedName>
    <definedName name="___imp5" localSheetId="15" hidden="1">{#N/A,#N/A,TRUE,"AB_Vertrag";#N/A,#N/A,TRUE,"AB_BWL"}</definedName>
    <definedName name="___imp5" hidden="1">{#N/A,#N/A,TRUE,"AB_Vertrag";#N/A,#N/A,TRUE,"AB_BWL"}</definedName>
    <definedName name="___imp6" localSheetId="1" hidden="1">{#N/A,#N/A,TRUE,"AB_Vertrag";#N/A,#N/A,TRUE,"AB_BWL"}</definedName>
    <definedName name="___imp6" localSheetId="3" hidden="1">{#N/A,#N/A,TRUE,"AB_Vertrag";#N/A,#N/A,TRUE,"AB_BWL"}</definedName>
    <definedName name="___imp6" localSheetId="7" hidden="1">{#N/A,#N/A,TRUE,"AB_Vertrag";#N/A,#N/A,TRUE,"AB_BWL"}</definedName>
    <definedName name="___imp6" localSheetId="0" hidden="1">{#N/A,#N/A,TRUE,"AB_Vertrag";#N/A,#N/A,TRUE,"AB_BWL"}</definedName>
    <definedName name="___imp6" localSheetId="15" hidden="1">{#N/A,#N/A,TRUE,"AB_Vertrag";#N/A,#N/A,TRUE,"AB_BWL"}</definedName>
    <definedName name="___imp6" hidden="1">{#N/A,#N/A,TRUE,"AB_Vertrag";#N/A,#N/A,TRUE,"AB_BWL"}</definedName>
    <definedName name="___imp7" localSheetId="1" hidden="1">{#N/A,#N/A,TRUE,"AB_Vertrag";#N/A,#N/A,TRUE,"AB_BWL"}</definedName>
    <definedName name="___imp7" localSheetId="3" hidden="1">{#N/A,#N/A,TRUE,"AB_Vertrag";#N/A,#N/A,TRUE,"AB_BWL"}</definedName>
    <definedName name="___imp7" localSheetId="7" hidden="1">{#N/A,#N/A,TRUE,"AB_Vertrag";#N/A,#N/A,TRUE,"AB_BWL"}</definedName>
    <definedName name="___imp7" localSheetId="0" hidden="1">{#N/A,#N/A,TRUE,"AB_Vertrag";#N/A,#N/A,TRUE,"AB_BWL"}</definedName>
    <definedName name="___imp7" localSheetId="15" hidden="1">{#N/A,#N/A,TRUE,"AB_Vertrag";#N/A,#N/A,TRUE,"AB_BWL"}</definedName>
    <definedName name="___imp7" hidden="1">{#N/A,#N/A,TRUE,"AB_Vertrag";#N/A,#N/A,TRUE,"AB_BWL"}</definedName>
    <definedName name="___imp8" localSheetId="1" hidden="1">{#N/A,#N/A,TRUE,"AB_Vertrag";#N/A,#N/A,TRUE,"AB_BWL"}</definedName>
    <definedName name="___imp8" localSheetId="3" hidden="1">{#N/A,#N/A,TRUE,"AB_Vertrag";#N/A,#N/A,TRUE,"AB_BWL"}</definedName>
    <definedName name="___imp8" localSheetId="7" hidden="1">{#N/A,#N/A,TRUE,"AB_Vertrag";#N/A,#N/A,TRUE,"AB_BWL"}</definedName>
    <definedName name="___imp8" localSheetId="0" hidden="1">{#N/A,#N/A,TRUE,"AB_Vertrag";#N/A,#N/A,TRUE,"AB_BWL"}</definedName>
    <definedName name="___imp8" localSheetId="15" hidden="1">{#N/A,#N/A,TRUE,"AB_Vertrag";#N/A,#N/A,TRUE,"AB_BWL"}</definedName>
    <definedName name="___imp8" hidden="1">{#N/A,#N/A,TRUE,"AB_Vertrag";#N/A,#N/A,TRUE,"AB_BWL"}</definedName>
    <definedName name="___NEU1" localSheetId="1" hidden="1">{#N/A,#N/A,TRUE,"AB_Vertrag";#N/A,#N/A,TRUE,"AB_BWL"}</definedName>
    <definedName name="___NEU1" localSheetId="3" hidden="1">{#N/A,#N/A,TRUE,"AB_Vertrag";#N/A,#N/A,TRUE,"AB_BWL"}</definedName>
    <definedName name="___NEU1" localSheetId="7" hidden="1">{#N/A,#N/A,TRUE,"AB_Vertrag";#N/A,#N/A,TRUE,"AB_BWL"}</definedName>
    <definedName name="___NEU1" localSheetId="0" hidden="1">{#N/A,#N/A,TRUE,"AB_Vertrag";#N/A,#N/A,TRUE,"AB_BWL"}</definedName>
    <definedName name="___NEU1" localSheetId="15" hidden="1">{#N/A,#N/A,TRUE,"AB_Vertrag";#N/A,#N/A,TRUE,"AB_BWL"}</definedName>
    <definedName name="___NEU1" hidden="1">{#N/A,#N/A,TRUE,"AB_Vertrag";#N/A,#N/A,TRUE,"AB_BWL"}</definedName>
    <definedName name="___ric1" hidden="1">#REF!</definedName>
    <definedName name="__123Graph_A" localSheetId="7" hidden="1">'[1]P.O. Accr'!#REF!</definedName>
    <definedName name="__123Graph_A" localSheetId="11" hidden="1">'[2]Participt non conso '!#REF!</definedName>
    <definedName name="__123Graph_A" localSheetId="0" hidden="1">'[2]Participt non conso '!#REF!</definedName>
    <definedName name="__123Graph_A" hidden="1">'[3]P.O. Accr'!#REF!</definedName>
    <definedName name="__123Graph_B" localSheetId="11" hidden="1">'[2]Participt non conso '!#REF!</definedName>
    <definedName name="__123Graph_B" localSheetId="0" hidden="1">'[2]Participt non conso '!#REF!</definedName>
    <definedName name="__123Graph_B" hidden="1">'[4]Income Stmt'!#REF!</definedName>
    <definedName name="__123Graph_C" localSheetId="11" hidden="1">'[2]Participt non conso '!#REF!</definedName>
    <definedName name="__123Graph_C" localSheetId="0" hidden="1">'[2]Participt non conso '!#REF!</definedName>
    <definedName name="__123Graph_C" hidden="1">'[4]Income Stmt'!#REF!</definedName>
    <definedName name="__123Graph_D" localSheetId="11" hidden="1">'[2]Participt non conso '!#REF!</definedName>
    <definedName name="__123Graph_D" localSheetId="0" hidden="1">'[2]Participt non conso '!#REF!</definedName>
    <definedName name="__123Graph_D" hidden="1">'[4]Income Stmt'!#REF!</definedName>
    <definedName name="__123Graph_E" localSheetId="11" hidden="1">#REF!</definedName>
    <definedName name="__123Graph_E" localSheetId="0" hidden="1">#REF!</definedName>
    <definedName name="__123Graph_E" hidden="1">'[4]Income Stmt'!#REF!</definedName>
    <definedName name="__123Graph_F" localSheetId="11" hidden="1">#REF!</definedName>
    <definedName name="__123Graph_F" localSheetId="0" hidden="1">#REF!</definedName>
    <definedName name="__123Graph_F" hidden="1">'[4]Income Stmt'!#REF!</definedName>
    <definedName name="__123Graph_X" localSheetId="11" hidden="1">'[2]Participt non conso '!#REF!</definedName>
    <definedName name="__123Graph_X" localSheetId="0" hidden="1">'[2]Participt non conso '!#REF!</definedName>
    <definedName name="__123Graph_X" hidden="1">'[4]Income Stmt'!#REF!</definedName>
    <definedName name="__imp123" localSheetId="1" hidden="1">{#N/A,#N/A,TRUE,"AB_Vertrag";#N/A,#N/A,TRUE,"AB_BWL"}</definedName>
    <definedName name="__imp123" localSheetId="3" hidden="1">{#N/A,#N/A,TRUE,"AB_Vertrag";#N/A,#N/A,TRUE,"AB_BWL"}</definedName>
    <definedName name="__imp123" localSheetId="7" hidden="1">{#N/A,#N/A,TRUE,"AB_Vertrag";#N/A,#N/A,TRUE,"AB_BWL"}</definedName>
    <definedName name="__imp123" localSheetId="0" hidden="1">{#N/A,#N/A,TRUE,"AB_Vertrag";#N/A,#N/A,TRUE,"AB_BWL"}</definedName>
    <definedName name="__imp123" localSheetId="15" hidden="1">{#N/A,#N/A,TRUE,"AB_Vertrag";#N/A,#N/A,TRUE,"AB_BWL"}</definedName>
    <definedName name="__imp123" hidden="1">{#N/A,#N/A,TRUE,"AB_Vertrag";#N/A,#N/A,TRUE,"AB_BWL"}</definedName>
    <definedName name="__imp14" localSheetId="1" hidden="1">{#N/A,#N/A,TRUE,"AB_Vertrag";#N/A,#N/A,TRUE,"AB_BWL"}</definedName>
    <definedName name="__imp14" localSheetId="3" hidden="1">{#N/A,#N/A,TRUE,"AB_Vertrag";#N/A,#N/A,TRUE,"AB_BWL"}</definedName>
    <definedName name="__imp14" localSheetId="7" hidden="1">{#N/A,#N/A,TRUE,"AB_Vertrag";#N/A,#N/A,TRUE,"AB_BWL"}</definedName>
    <definedName name="__imp14" localSheetId="0" hidden="1">{#N/A,#N/A,TRUE,"AB_Vertrag";#N/A,#N/A,TRUE,"AB_BWL"}</definedName>
    <definedName name="__imp14" localSheetId="15" hidden="1">{#N/A,#N/A,TRUE,"AB_Vertrag";#N/A,#N/A,TRUE,"AB_BWL"}</definedName>
    <definedName name="__imp14" hidden="1">{#N/A,#N/A,TRUE,"AB_Vertrag";#N/A,#N/A,TRUE,"AB_BWL"}</definedName>
    <definedName name="__imp15" localSheetId="1" hidden="1">{#N/A,#N/A,TRUE,"AB_Vertrag";#N/A,#N/A,TRUE,"AB_BWL"}</definedName>
    <definedName name="__imp15" localSheetId="3" hidden="1">{#N/A,#N/A,TRUE,"AB_Vertrag";#N/A,#N/A,TRUE,"AB_BWL"}</definedName>
    <definedName name="__imp15" localSheetId="7" hidden="1">{#N/A,#N/A,TRUE,"AB_Vertrag";#N/A,#N/A,TRUE,"AB_BWL"}</definedName>
    <definedName name="__imp15" localSheetId="0" hidden="1">{#N/A,#N/A,TRUE,"AB_Vertrag";#N/A,#N/A,TRUE,"AB_BWL"}</definedName>
    <definedName name="__imp15" localSheetId="15" hidden="1">{#N/A,#N/A,TRUE,"AB_Vertrag";#N/A,#N/A,TRUE,"AB_BWL"}</definedName>
    <definedName name="__imp15" hidden="1">{#N/A,#N/A,TRUE,"AB_Vertrag";#N/A,#N/A,TRUE,"AB_BWL"}</definedName>
    <definedName name="__imp21" localSheetId="1" hidden="1">{#N/A,#N/A,TRUE,"AB_Vertrag";#N/A,#N/A,TRUE,"AB_BWL"}</definedName>
    <definedName name="__imp21" localSheetId="3" hidden="1">{#N/A,#N/A,TRUE,"AB_Vertrag";#N/A,#N/A,TRUE,"AB_BWL"}</definedName>
    <definedName name="__imp21" localSheetId="7" hidden="1">{#N/A,#N/A,TRUE,"AB_Vertrag";#N/A,#N/A,TRUE,"AB_BWL"}</definedName>
    <definedName name="__imp21" localSheetId="0" hidden="1">{#N/A,#N/A,TRUE,"AB_Vertrag";#N/A,#N/A,TRUE,"AB_BWL"}</definedName>
    <definedName name="__imp21" localSheetId="15" hidden="1">{#N/A,#N/A,TRUE,"AB_Vertrag";#N/A,#N/A,TRUE,"AB_BWL"}</definedName>
    <definedName name="__imp21" hidden="1">{#N/A,#N/A,TRUE,"AB_Vertrag";#N/A,#N/A,TRUE,"AB_BWL"}</definedName>
    <definedName name="__imp5" localSheetId="1" hidden="1">{#N/A,#N/A,TRUE,"AB_Vertrag";#N/A,#N/A,TRUE,"AB_BWL"}</definedName>
    <definedName name="__imp5" localSheetId="3" hidden="1">{#N/A,#N/A,TRUE,"AB_Vertrag";#N/A,#N/A,TRUE,"AB_BWL"}</definedName>
    <definedName name="__imp5" localSheetId="7" hidden="1">{#N/A,#N/A,TRUE,"AB_Vertrag";#N/A,#N/A,TRUE,"AB_BWL"}</definedName>
    <definedName name="__imp5" localSheetId="0" hidden="1">{#N/A,#N/A,TRUE,"AB_Vertrag";#N/A,#N/A,TRUE,"AB_BWL"}</definedName>
    <definedName name="__imp5" localSheetId="15" hidden="1">{#N/A,#N/A,TRUE,"AB_Vertrag";#N/A,#N/A,TRUE,"AB_BWL"}</definedName>
    <definedName name="__imp5" hidden="1">{#N/A,#N/A,TRUE,"AB_Vertrag";#N/A,#N/A,TRUE,"AB_BWL"}</definedName>
    <definedName name="__imp6" localSheetId="1" hidden="1">{#N/A,#N/A,TRUE,"AB_Vertrag";#N/A,#N/A,TRUE,"AB_BWL"}</definedName>
    <definedName name="__imp6" localSheetId="3" hidden="1">{#N/A,#N/A,TRUE,"AB_Vertrag";#N/A,#N/A,TRUE,"AB_BWL"}</definedName>
    <definedName name="__imp6" localSheetId="7" hidden="1">{#N/A,#N/A,TRUE,"AB_Vertrag";#N/A,#N/A,TRUE,"AB_BWL"}</definedName>
    <definedName name="__imp6" localSheetId="0" hidden="1">{#N/A,#N/A,TRUE,"AB_Vertrag";#N/A,#N/A,TRUE,"AB_BWL"}</definedName>
    <definedName name="__imp6" localSheetId="15" hidden="1">{#N/A,#N/A,TRUE,"AB_Vertrag";#N/A,#N/A,TRUE,"AB_BWL"}</definedName>
    <definedName name="__imp6" hidden="1">{#N/A,#N/A,TRUE,"AB_Vertrag";#N/A,#N/A,TRUE,"AB_BWL"}</definedName>
    <definedName name="__imp7" localSheetId="1" hidden="1">{#N/A,#N/A,TRUE,"AB_Vertrag";#N/A,#N/A,TRUE,"AB_BWL"}</definedName>
    <definedName name="__imp7" localSheetId="3" hidden="1">{#N/A,#N/A,TRUE,"AB_Vertrag";#N/A,#N/A,TRUE,"AB_BWL"}</definedName>
    <definedName name="__imp7" localSheetId="7" hidden="1">{#N/A,#N/A,TRUE,"AB_Vertrag";#N/A,#N/A,TRUE,"AB_BWL"}</definedName>
    <definedName name="__imp7" localSheetId="0" hidden="1">{#N/A,#N/A,TRUE,"AB_Vertrag";#N/A,#N/A,TRUE,"AB_BWL"}</definedName>
    <definedName name="__imp7" localSheetId="15" hidden="1">{#N/A,#N/A,TRUE,"AB_Vertrag";#N/A,#N/A,TRUE,"AB_BWL"}</definedName>
    <definedName name="__imp7" hidden="1">{#N/A,#N/A,TRUE,"AB_Vertrag";#N/A,#N/A,TRUE,"AB_BWL"}</definedName>
    <definedName name="__imp8" localSheetId="1" hidden="1">{#N/A,#N/A,TRUE,"AB_Vertrag";#N/A,#N/A,TRUE,"AB_BWL"}</definedName>
    <definedName name="__imp8" localSheetId="3" hidden="1">{#N/A,#N/A,TRUE,"AB_Vertrag";#N/A,#N/A,TRUE,"AB_BWL"}</definedName>
    <definedName name="__imp8" localSheetId="7" hidden="1">{#N/A,#N/A,TRUE,"AB_Vertrag";#N/A,#N/A,TRUE,"AB_BWL"}</definedName>
    <definedName name="__imp8" localSheetId="0" hidden="1">{#N/A,#N/A,TRUE,"AB_Vertrag";#N/A,#N/A,TRUE,"AB_BWL"}</definedName>
    <definedName name="__imp8" localSheetId="15" hidden="1">{#N/A,#N/A,TRUE,"AB_Vertrag";#N/A,#N/A,TRUE,"AB_BWL"}</definedName>
    <definedName name="__imp8" hidden="1">{#N/A,#N/A,TRUE,"AB_Vertrag";#N/A,#N/A,TRUE,"AB_BWL"}</definedName>
    <definedName name="__MIN2016">#REF!</definedName>
    <definedName name="__NEU1" localSheetId="1" hidden="1">{#N/A,#N/A,TRUE,"AB_Vertrag";#N/A,#N/A,TRUE,"AB_BWL"}</definedName>
    <definedName name="__NEU1" localSheetId="3" hidden="1">{#N/A,#N/A,TRUE,"AB_Vertrag";#N/A,#N/A,TRUE,"AB_BWL"}</definedName>
    <definedName name="__NEU1" localSheetId="7" hidden="1">{#N/A,#N/A,TRUE,"AB_Vertrag";#N/A,#N/A,TRUE,"AB_BWL"}</definedName>
    <definedName name="__NEU1" localSheetId="0" hidden="1">{#N/A,#N/A,TRUE,"AB_Vertrag";#N/A,#N/A,TRUE,"AB_BWL"}</definedName>
    <definedName name="__NEU1" localSheetId="15" hidden="1">{#N/A,#N/A,TRUE,"AB_Vertrag";#N/A,#N/A,TRUE,"AB_BWL"}</definedName>
    <definedName name="__NEU1" hidden="1">{#N/A,#N/A,TRUE,"AB_Vertrag";#N/A,#N/A,TRUE,"AB_BWL"}</definedName>
    <definedName name="__PRC1">#REF!</definedName>
    <definedName name="__ric1" hidden="1">#REF!</definedName>
    <definedName name="_20EURRATE" localSheetId="15">#REF!</definedName>
    <definedName name="_20EURRATE">#REF!</definedName>
    <definedName name="_bdm.4FEA325005D6463580A1603C193607D7.edm" hidden="1">'[5]Capex Plan'!$1:$1048576</definedName>
    <definedName name="_bdm.8A7D421A10804942B112A092B6C63E87.edm" hidden="1">#REF!</definedName>
    <definedName name="_bdm.8E28DD53736A44D09E4DA0ABB2D980CD.edm" hidden="1">#REF!</definedName>
    <definedName name="_bdm.9FEAC4463A834C9CA359F93E31C98564.edm" hidden="1">[5]KPIs!$1:$1048576</definedName>
    <definedName name="_CRN1">[6]Dimensions!#REF!</definedName>
    <definedName name="_CRN2">[6]Dimensions!#REF!</definedName>
    <definedName name="_DAT4">'[7]Tab 01'!#REF!</definedName>
    <definedName name="_Fill" localSheetId="15" hidden="1">#REF!</definedName>
    <definedName name="_Fill" hidden="1">#REF!</definedName>
    <definedName name="_xlnm._FilterDatabase" localSheetId="2" hidden="1">'2.1 EIL Opex'!$A$4:$AB$184</definedName>
    <definedName name="_xlnm._FilterDatabase" localSheetId="3" hidden="1">'2.2 EIL COS'!$B$4:$Z$22</definedName>
    <definedName name="_xlnm._FilterDatabase" localSheetId="4" hidden="1">'2.3 EIL Capex '!$A$4:$AP$79</definedName>
    <definedName name="_xlnm._FilterDatabase" localSheetId="5" hidden="1">'3.1 THIF Opex'!$A$2:$R$138</definedName>
    <definedName name="_xlnm._FilterDatabase" localSheetId="6" hidden="1">'3.2 THIF COS'!$A$2:$R$2</definedName>
    <definedName name="_xlnm._FilterDatabase" localSheetId="7" hidden="1">'3.3 THIF Capex'!$B$3:$G$28</definedName>
    <definedName name="_xlnm._FilterDatabase" localSheetId="10" hidden="1">'4.2 Simplify Savings'!$A$2:$AB$42</definedName>
    <definedName name="_xlnm._FilterDatabase" localSheetId="13" hidden="1">'FM PL - Operating Expenses'!$A$4:$Z$557</definedName>
    <definedName name="_xlnm._FilterDatabase" localSheetId="15" hidden="1">'[8]240 (heads)'!#REF!</definedName>
    <definedName name="_xlnm._FilterDatabase" localSheetId="8" hidden="1">THIF!$A$1:$R$164</definedName>
    <definedName name="_xlnm._FilterDatabase" hidden="1">'[8]240 (heads)'!#REF!</definedName>
    <definedName name="_imp123" localSheetId="1" hidden="1">{#N/A,#N/A,TRUE,"AB_Vertrag";#N/A,#N/A,TRUE,"AB_BWL"}</definedName>
    <definedName name="_imp123" localSheetId="3" hidden="1">{#N/A,#N/A,TRUE,"AB_Vertrag";#N/A,#N/A,TRUE,"AB_BWL"}</definedName>
    <definedName name="_imp123" localSheetId="7" hidden="1">{#N/A,#N/A,TRUE,"AB_Vertrag";#N/A,#N/A,TRUE,"AB_BWL"}</definedName>
    <definedName name="_imp123" localSheetId="0" hidden="1">{#N/A,#N/A,TRUE,"AB_Vertrag";#N/A,#N/A,TRUE,"AB_BWL"}</definedName>
    <definedName name="_imp123" localSheetId="15" hidden="1">{#N/A,#N/A,TRUE,"AB_Vertrag";#N/A,#N/A,TRUE,"AB_BWL"}</definedName>
    <definedName name="_imp123" hidden="1">{#N/A,#N/A,TRUE,"AB_Vertrag";#N/A,#N/A,TRUE,"AB_BWL"}</definedName>
    <definedName name="_imp14" localSheetId="1" hidden="1">{#N/A,#N/A,TRUE,"AB_Vertrag";#N/A,#N/A,TRUE,"AB_BWL"}</definedName>
    <definedName name="_imp14" localSheetId="3" hidden="1">{#N/A,#N/A,TRUE,"AB_Vertrag";#N/A,#N/A,TRUE,"AB_BWL"}</definedName>
    <definedName name="_imp14" localSheetId="7" hidden="1">{#N/A,#N/A,TRUE,"AB_Vertrag";#N/A,#N/A,TRUE,"AB_BWL"}</definedName>
    <definedName name="_imp14" localSheetId="0" hidden="1">{#N/A,#N/A,TRUE,"AB_Vertrag";#N/A,#N/A,TRUE,"AB_BWL"}</definedName>
    <definedName name="_imp14" localSheetId="15" hidden="1">{#N/A,#N/A,TRUE,"AB_Vertrag";#N/A,#N/A,TRUE,"AB_BWL"}</definedName>
    <definedName name="_imp14" hidden="1">{#N/A,#N/A,TRUE,"AB_Vertrag";#N/A,#N/A,TRUE,"AB_BWL"}</definedName>
    <definedName name="_imp15" localSheetId="1" hidden="1">{#N/A,#N/A,TRUE,"AB_Vertrag";#N/A,#N/A,TRUE,"AB_BWL"}</definedName>
    <definedName name="_imp15" localSheetId="3" hidden="1">{#N/A,#N/A,TRUE,"AB_Vertrag";#N/A,#N/A,TRUE,"AB_BWL"}</definedName>
    <definedName name="_imp15" localSheetId="7" hidden="1">{#N/A,#N/A,TRUE,"AB_Vertrag";#N/A,#N/A,TRUE,"AB_BWL"}</definedName>
    <definedName name="_imp15" localSheetId="0" hidden="1">{#N/A,#N/A,TRUE,"AB_Vertrag";#N/A,#N/A,TRUE,"AB_BWL"}</definedName>
    <definedName name="_imp15" localSheetId="15" hidden="1">{#N/A,#N/A,TRUE,"AB_Vertrag";#N/A,#N/A,TRUE,"AB_BWL"}</definedName>
    <definedName name="_imp15" hidden="1">{#N/A,#N/A,TRUE,"AB_Vertrag";#N/A,#N/A,TRUE,"AB_BWL"}</definedName>
    <definedName name="_imp21" localSheetId="1" hidden="1">{#N/A,#N/A,TRUE,"AB_Vertrag";#N/A,#N/A,TRUE,"AB_BWL"}</definedName>
    <definedName name="_imp21" localSheetId="3" hidden="1">{#N/A,#N/A,TRUE,"AB_Vertrag";#N/A,#N/A,TRUE,"AB_BWL"}</definedName>
    <definedName name="_imp21" localSheetId="7" hidden="1">{#N/A,#N/A,TRUE,"AB_Vertrag";#N/A,#N/A,TRUE,"AB_BWL"}</definedName>
    <definedName name="_imp21" localSheetId="0" hidden="1">{#N/A,#N/A,TRUE,"AB_Vertrag";#N/A,#N/A,TRUE,"AB_BWL"}</definedName>
    <definedName name="_imp21" localSheetId="15" hidden="1">{#N/A,#N/A,TRUE,"AB_Vertrag";#N/A,#N/A,TRUE,"AB_BWL"}</definedName>
    <definedName name="_imp21" hidden="1">{#N/A,#N/A,TRUE,"AB_Vertrag";#N/A,#N/A,TRUE,"AB_BWL"}</definedName>
    <definedName name="_imp5" localSheetId="1" hidden="1">{#N/A,#N/A,TRUE,"AB_Vertrag";#N/A,#N/A,TRUE,"AB_BWL"}</definedName>
    <definedName name="_imp5" localSheetId="3" hidden="1">{#N/A,#N/A,TRUE,"AB_Vertrag";#N/A,#N/A,TRUE,"AB_BWL"}</definedName>
    <definedName name="_imp5" localSheetId="7" hidden="1">{#N/A,#N/A,TRUE,"AB_Vertrag";#N/A,#N/A,TRUE,"AB_BWL"}</definedName>
    <definedName name="_imp5" localSheetId="0" hidden="1">{#N/A,#N/A,TRUE,"AB_Vertrag";#N/A,#N/A,TRUE,"AB_BWL"}</definedName>
    <definedName name="_imp5" localSheetId="15" hidden="1">{#N/A,#N/A,TRUE,"AB_Vertrag";#N/A,#N/A,TRUE,"AB_BWL"}</definedName>
    <definedName name="_imp5" hidden="1">{#N/A,#N/A,TRUE,"AB_Vertrag";#N/A,#N/A,TRUE,"AB_BWL"}</definedName>
    <definedName name="_imp6" localSheetId="1" hidden="1">{#N/A,#N/A,TRUE,"AB_Vertrag";#N/A,#N/A,TRUE,"AB_BWL"}</definedName>
    <definedName name="_imp6" localSheetId="3" hidden="1">{#N/A,#N/A,TRUE,"AB_Vertrag";#N/A,#N/A,TRUE,"AB_BWL"}</definedName>
    <definedName name="_imp6" localSheetId="7" hidden="1">{#N/A,#N/A,TRUE,"AB_Vertrag";#N/A,#N/A,TRUE,"AB_BWL"}</definedName>
    <definedName name="_imp6" localSheetId="0" hidden="1">{#N/A,#N/A,TRUE,"AB_Vertrag";#N/A,#N/A,TRUE,"AB_BWL"}</definedName>
    <definedName name="_imp6" localSheetId="15" hidden="1">{#N/A,#N/A,TRUE,"AB_Vertrag";#N/A,#N/A,TRUE,"AB_BWL"}</definedName>
    <definedName name="_imp6" hidden="1">{#N/A,#N/A,TRUE,"AB_Vertrag";#N/A,#N/A,TRUE,"AB_BWL"}</definedName>
    <definedName name="_imp7" localSheetId="1" hidden="1">{#N/A,#N/A,TRUE,"AB_Vertrag";#N/A,#N/A,TRUE,"AB_BWL"}</definedName>
    <definedName name="_imp7" localSheetId="3" hidden="1">{#N/A,#N/A,TRUE,"AB_Vertrag";#N/A,#N/A,TRUE,"AB_BWL"}</definedName>
    <definedName name="_imp7" localSheetId="7" hidden="1">{#N/A,#N/A,TRUE,"AB_Vertrag";#N/A,#N/A,TRUE,"AB_BWL"}</definedName>
    <definedName name="_imp7" localSheetId="0" hidden="1">{#N/A,#N/A,TRUE,"AB_Vertrag";#N/A,#N/A,TRUE,"AB_BWL"}</definedName>
    <definedName name="_imp7" localSheetId="15" hidden="1">{#N/A,#N/A,TRUE,"AB_Vertrag";#N/A,#N/A,TRUE,"AB_BWL"}</definedName>
    <definedName name="_imp7" hidden="1">{#N/A,#N/A,TRUE,"AB_Vertrag";#N/A,#N/A,TRUE,"AB_BWL"}</definedName>
    <definedName name="_imp8" localSheetId="1" hidden="1">{#N/A,#N/A,TRUE,"AB_Vertrag";#N/A,#N/A,TRUE,"AB_BWL"}</definedName>
    <definedName name="_imp8" localSheetId="3" hidden="1">{#N/A,#N/A,TRUE,"AB_Vertrag";#N/A,#N/A,TRUE,"AB_BWL"}</definedName>
    <definedName name="_imp8" localSheetId="7" hidden="1">{#N/A,#N/A,TRUE,"AB_Vertrag";#N/A,#N/A,TRUE,"AB_BWL"}</definedName>
    <definedName name="_imp8" localSheetId="0" hidden="1">{#N/A,#N/A,TRUE,"AB_Vertrag";#N/A,#N/A,TRUE,"AB_BWL"}</definedName>
    <definedName name="_imp8" localSheetId="15" hidden="1">{#N/A,#N/A,TRUE,"AB_Vertrag";#N/A,#N/A,TRUE,"AB_BWL"}</definedName>
    <definedName name="_imp8" hidden="1">{#N/A,#N/A,TRUE,"AB_Vertrag";#N/A,#N/A,TRUE,"AB_BWL"}</definedName>
    <definedName name="_Key1" localSheetId="15" hidden="1">#REF!</definedName>
    <definedName name="_Key1" hidden="1">#REF!</definedName>
    <definedName name="_Key2" localSheetId="11" hidden="1">'[2]Part reev MEE'!#REF!</definedName>
    <definedName name="_Key2" localSheetId="0" hidden="1">'[2]Part reev MEE'!#REF!</definedName>
    <definedName name="_Key2" localSheetId="15" hidden="1">#REF!</definedName>
    <definedName name="_Key2" hidden="1">#REF!</definedName>
    <definedName name="_LCP2">#REF!</definedName>
    <definedName name="_LinkPic_45022E3A814A4CCE8C24E4AE23F9E450">#REF!</definedName>
    <definedName name="_NEU1" localSheetId="1" hidden="1">{#N/A,#N/A,TRUE,"AB_Vertrag";#N/A,#N/A,TRUE,"AB_BWL"}</definedName>
    <definedName name="_NEU1" localSheetId="3" hidden="1">{#N/A,#N/A,TRUE,"AB_Vertrag";#N/A,#N/A,TRUE,"AB_BWL"}</definedName>
    <definedName name="_NEU1" localSheetId="7" hidden="1">{#N/A,#N/A,TRUE,"AB_Vertrag";#N/A,#N/A,TRUE,"AB_BWL"}</definedName>
    <definedName name="_NEU1" localSheetId="0" hidden="1">{#N/A,#N/A,TRUE,"AB_Vertrag";#N/A,#N/A,TRUE,"AB_BWL"}</definedName>
    <definedName name="_NEU1" localSheetId="15" hidden="1">{#N/A,#N/A,TRUE,"AB_Vertrag";#N/A,#N/A,TRUE,"AB_BWL"}</definedName>
    <definedName name="_NEU1" hidden="1">{#N/A,#N/A,TRUE,"AB_Vertrag";#N/A,#N/A,TRUE,"AB_BWL"}</definedName>
    <definedName name="_Order1" localSheetId="11" hidden="1">255</definedName>
    <definedName name="_Order1" localSheetId="0" hidden="1">255</definedName>
    <definedName name="_Order1" hidden="1">0</definedName>
    <definedName name="_Order2" localSheetId="11" hidden="1">255</definedName>
    <definedName name="_Order2" localSheetId="0" hidden="1">255</definedName>
    <definedName name="_Order2" hidden="1">0</definedName>
    <definedName name="_ric1" hidden="1">#REF!</definedName>
    <definedName name="_ric2">#REF!</definedName>
    <definedName name="_ric3">#REF!</definedName>
    <definedName name="_Sort" localSheetId="15" hidden="1">#REF!</definedName>
    <definedName name="_Sort" hidden="1">#REF!</definedName>
    <definedName name="_TVA1098">#REF!</definedName>
    <definedName name="aa" hidden="1">'[9]Participt non conso '!#REF!</definedName>
    <definedName name="aaa" localSheetId="11" hidden="1">{#N/A,#N/A,FALSE,"ECH IG";#N/A,#N/A,FALSE,"ECH DETTES"}</definedName>
    <definedName name="aaa" hidden="1">{#N/A,#N/A,FALSE,"ECH IG";#N/A,#N/A,FALSE,"ECH DETTES"}</definedName>
    <definedName name="AAAA" localSheetId="11" hidden="1">{#N/A,#N/A,FALSE,"budget97";#N/A,#N/A,FALSE,"budget97 (2)";#N/A,#N/A,FALSE,"Conso. Groupe BM 95 à 97";#N/A,#N/A,FALSE,"INVEST 97";#N/A,#N/A,FALSE,"Investissements";#N/A,#N/A,FALSE,"CA TRS";#N/A,#N/A,FALSE,"Tableau de Fin. social";#N/A,#N/A,FALSE,"Tableau de Fin. Conso"}</definedName>
    <definedName name="AAAA" hidden="1">{#N/A,#N/A,FALSE,"budget97";#N/A,#N/A,FALSE,"budget97 (2)";#N/A,#N/A,FALSE,"Conso. Groupe BM 95 à 97";#N/A,#N/A,FALSE,"INVEST 97";#N/A,#N/A,FALSE,"Investissements";#N/A,#N/A,FALSE,"CA TRS";#N/A,#N/A,FALSE,"Tableau de Fin. social";#N/A,#N/A,FALSE,"Tableau de Fin. Conso"}</definedName>
    <definedName name="aaaq" localSheetId="11" hidden="1">{#N/A,#N/A,FALSE,"ECH IG";#N/A,#N/A,FALSE,"ECH DETTES"}</definedName>
    <definedName name="aaaq" hidden="1">{#N/A,#N/A,FALSE,"ECH IG";#N/A,#N/A,FALSE,"ECH DETTES"}</definedName>
    <definedName name="aasiopfsdq" localSheetId="1" hidden="1">{"Détails",#N/A,FALSE,"CL1";"Détails",#N/A,FALSE,"CL2"}</definedName>
    <definedName name="aasiopfsdq" localSheetId="3" hidden="1">{"Détails",#N/A,FALSE,"CL1";"Détails",#N/A,FALSE,"CL2"}</definedName>
    <definedName name="aasiopfsdq" localSheetId="7" hidden="1">{"Détails",#N/A,FALSE,"CL1";"Détails",#N/A,FALSE,"CL2"}</definedName>
    <definedName name="aasiopfsdq" localSheetId="0" hidden="1">{"Détails",#N/A,FALSE,"CL1";"Détails",#N/A,FALSE,"CL2"}</definedName>
    <definedName name="aasiopfsdq" localSheetId="15" hidden="1">{"Détails",#N/A,FALSE,"CL1";"Détails",#N/A,FALSE,"CL2"}</definedName>
    <definedName name="aasiopfsdq" hidden="1">{"Détails",#N/A,FALSE,"CL1";"Détails",#N/A,FALSE,"CL2"}</definedName>
    <definedName name="AAZ" localSheetId="11" hidden="1">{#N/A,#N/A,FALSE,"budget97";#N/A,#N/A,FALSE,"budget97 (2)";#N/A,#N/A,FALSE,"Conso. Groupe BM 95 à 97";#N/A,#N/A,FALSE,"INVEST 97";#N/A,#N/A,FALSE,"Investissements";#N/A,#N/A,FALSE,"CA TRS";#N/A,#N/A,FALSE,"Tableau de Fin. social";#N/A,#N/A,FALSE,"Tableau de Fin. Conso"}</definedName>
    <definedName name="AAZ" hidden="1">{#N/A,#N/A,FALSE,"budget97";#N/A,#N/A,FALSE,"budget97 (2)";#N/A,#N/A,FALSE,"Conso. Groupe BM 95 à 97";#N/A,#N/A,FALSE,"INVEST 97";#N/A,#N/A,FALSE,"Investissements";#N/A,#N/A,FALSE,"CA TRS";#N/A,#N/A,FALSE,"Tableau de Fin. social";#N/A,#N/A,FALSE,"Tableau de Fin. Conso"}</definedName>
    <definedName name="Account_codes" localSheetId="7">[10]Descriptions!$D$1:$H$787</definedName>
    <definedName name="Account_codes">[11]Descriptions!$D$1:$H$787</definedName>
    <definedName name="ACE">#REF!</definedName>
    <definedName name="AEngagHB">#REF!</definedName>
    <definedName name="ake" localSheetId="11" hidden="1">{#N/A,#N/A,TRUE,"C.A. reg.";#N/A,#N/A,TRUE,"Provence";#N/A,#N/A,TRUE,"Rhône";#N/A,#N/A,TRUE,"Côte d'Azur";#N/A,#N/A,TRUE,"Briançonnais";#N/A,#N/A,TRUE,"Abt Travail";#N/A,#N/A,TRUE,"Abt EEA";#N/A,#N/A,TRUE,"Prod.Région.";#N/A,#N/A,TRUE,"ANNEXES"}</definedName>
    <definedName name="ake" hidden="1">{#N/A,#N/A,TRUE,"C.A. reg.";#N/A,#N/A,TRUE,"Provence";#N/A,#N/A,TRUE,"Rhône";#N/A,#N/A,TRUE,"Côte d'Azur";#N/A,#N/A,TRUE,"Briançonnais";#N/A,#N/A,TRUE,"Abt Travail";#N/A,#N/A,TRUE,"Abt EEA";#N/A,#N/A,TRUE,"Prod.Région.";#N/A,#N/A,TRUE,"ANNEXES"}</definedName>
    <definedName name="alex"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alex"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alt" localSheetId="1" hidden="1">{#N/A,#N/A,TRUE,"AB_Vertrag";#N/A,#N/A,TRUE,"AB_BWL"}</definedName>
    <definedName name="alt" localSheetId="3" hidden="1">{#N/A,#N/A,TRUE,"AB_Vertrag";#N/A,#N/A,TRUE,"AB_BWL"}</definedName>
    <definedName name="alt" localSheetId="7" hidden="1">{#N/A,#N/A,TRUE,"AB_Vertrag";#N/A,#N/A,TRUE,"AB_BWL"}</definedName>
    <definedName name="alt" localSheetId="0" hidden="1">{#N/A,#N/A,TRUE,"AB_Vertrag";#N/A,#N/A,TRUE,"AB_BWL"}</definedName>
    <definedName name="alt" localSheetId="15" hidden="1">{#N/A,#N/A,TRUE,"AB_Vertrag";#N/A,#N/A,TRUE,"AB_BWL"}</definedName>
    <definedName name="alt" hidden="1">{#N/A,#N/A,TRUE,"AB_Vertrag";#N/A,#N/A,TRUE,"AB_BWL"}</definedName>
    <definedName name="Andep">[12]GEFFGL!$H$2</definedName>
    <definedName name="ANNEE">[13]Feuil1!$B$1</definedName>
    <definedName name="Année2">[14]Hypothèses!$E$8</definedName>
    <definedName name="Année3">[14]Hypothèses!$E$9</definedName>
    <definedName name="ANNEEbis">[13]Feuil1!$B$1</definedName>
    <definedName name="anscount" hidden="1">1</definedName>
    <definedName name="Appendix13" localSheetId="11" hidden="1">{#N/A,#N/A,TRUE,"Title";#N/A,#N/A,TRUE,"BalanceSheetAssets";#N/A,#N/A,TRUE,"BalanceSheetLiabilities";#N/A,#N/A,TRUE,"EquityControl";#N/A,#N/A,TRUE,"IncomeStatementNature";#N/A,#N/A,TRUE,"NatureByDestination";#N/A,#N/A,TRUE,"IncomeStatement";#N/A,#N/A,TRUE,"Revenue";#N/A,#N/A,TRUE,"CashFlow";#N/A,#N/A,TRUE,"PropertyPlantEquipment"}</definedName>
    <definedName name="Appendix13" hidden="1">{#N/A,#N/A,TRUE,"Title";#N/A,#N/A,TRUE,"BalanceSheetAssets";#N/A,#N/A,TRUE,"BalanceSheetLiabilities";#N/A,#N/A,TRUE,"EquityControl";#N/A,#N/A,TRUE,"IncomeStatementNature";#N/A,#N/A,TRUE,"NatureByDestination";#N/A,#N/A,TRUE,"IncomeStatement";#N/A,#N/A,TRUE,"Revenue";#N/A,#N/A,TRUE,"CashFlow";#N/A,#N/A,TRUE,"PropertyPlantEquipment"}</definedName>
    <definedName name="AQ" localSheetId="11" hidden="1">{#N/A,#N/A,FALSE,"ECH IG";#N/A,#N/A,FALSE,"ECH DETTES"}</definedName>
    <definedName name="AQ" hidden="1">{#N/A,#N/A,FALSE,"ECH IG";#N/A,#N/A,FALSE,"ECH DETTES"}</definedName>
    <definedName name="AQW" localSheetId="11" hidden="1">{#N/A,#N/A,FALSE,"ECH IG";#N/A,#N/A,FALSE,"ECH DETTES"}</definedName>
    <definedName name="AQW" hidden="1">{#N/A,#N/A,FALSE,"ECH IG";#N/A,#N/A,FALSE,"ECH DETTES"}</definedName>
    <definedName name="archCost" localSheetId="15">#REF!</definedName>
    <definedName name="archCost">#REF!</definedName>
    <definedName name="AREP">#REF!</definedName>
    <definedName name="arf" localSheetId="11" hidden="1">{#N/A,#N/A,TRUE,"C.A. reg.";#N/A,#N/A,TRUE,"Provence";#N/A,#N/A,TRUE,"Rhône";#N/A,#N/A,TRUE,"Côte d'Azur";#N/A,#N/A,TRUE,"Briançonnais";#N/A,#N/A,TRUE,"Abt Travail";#N/A,#N/A,TRUE,"Abt EEA";#N/A,#N/A,TRUE,"Prod.Région.";#N/A,#N/A,TRUE,"ANNEXES"}</definedName>
    <definedName name="arf" hidden="1">{#N/A,#N/A,TRUE,"C.A. reg.";#N/A,#N/A,TRUE,"Provence";#N/A,#N/A,TRUE,"Rhône";#N/A,#N/A,TRUE,"Côte d'Azur";#N/A,#N/A,TRUE,"Briançonnais";#N/A,#N/A,TRUE,"Abt Travail";#N/A,#N/A,TRUE,"Abt EEA";#N/A,#N/A,TRUE,"Prod.Région.";#N/A,#N/A,TRUE,"ANNEXES"}</definedName>
    <definedName name="as" localSheetId="11" hidden="1">{#N/A,#N/A,TRUE,"C.A. reg.";#N/A,#N/A,TRUE,"Provence";#N/A,#N/A,TRUE,"Rhône";#N/A,#N/A,TRUE,"Côte d'Azur";#N/A,#N/A,TRUE,"Briançonnais";#N/A,#N/A,TRUE,"Abt Travail";#N/A,#N/A,TRUE,"Abt EEA";#N/A,#N/A,TRUE,"Prod.Région.";#N/A,#N/A,TRUE,"ANNEXES"}</definedName>
    <definedName name="as" hidden="1">{#N/A,#N/A,TRUE,"C.A. reg.";#N/A,#N/A,TRUE,"Provence";#N/A,#N/A,TRUE,"Rhône";#N/A,#N/A,TRUE,"Côte d'Azur";#N/A,#N/A,TRUE,"Briançonnais";#N/A,#N/A,TRUE,"Abt Travail";#N/A,#N/A,TRUE,"Abt EEA";#N/A,#N/A,TRUE,"Prod.Région.";#N/A,#N/A,TRUE,"ANNEXES"}</definedName>
    <definedName name="AshfordLeaseAssetCfProfile" localSheetId="7">'[15]nfm-f670-d158 (GreenSpeed)'!#REF!</definedName>
    <definedName name="AshfordLeaseAssetCfProfile" localSheetId="15">'[16]nfm-f670-d158 (GreenSpeed)'!#REF!</definedName>
    <definedName name="AshfordLeaseAssetCfProfile">'[16]nfm-f670-d158 (GreenSpeed)'!#REF!</definedName>
    <definedName name="AshfordLeaseCurrentAssetCfProfile" localSheetId="7">'[15]nfm-f670-d158 (GreenSpeed)'!#REF!</definedName>
    <definedName name="AshfordLeaseCurrentAssetCfProfile" localSheetId="15">'[16]nfm-f670-d158 (GreenSpeed)'!#REF!</definedName>
    <definedName name="AshfordLeaseCurrentAssetCfProfile">'[16]nfm-f670-d158 (GreenSpeed)'!#REF!</definedName>
    <definedName name="AshfordLeaseLongTermCreditorCfProfile" localSheetId="7">'[15]nfm-f670-d158 (GreenSpeed)'!#REF!</definedName>
    <definedName name="AshfordLeaseLongTermCreditorCfProfile" localSheetId="15">'[16]nfm-f670-d158 (GreenSpeed)'!#REF!</definedName>
    <definedName name="AshfordLeaseLongTermCreditorCfProfile">'[16]nfm-f670-d158 (GreenSpeed)'!#REF!</definedName>
    <definedName name="AshfordLeaseNonCurrentAssetCfProfile" localSheetId="7">'[15]nfm-f670-d158 (GreenSpeed)'!#REF!</definedName>
    <definedName name="AshfordLeaseNonCurrentAssetCfProfile" localSheetId="15">'[16]nfm-f670-d158 (GreenSpeed)'!#REF!</definedName>
    <definedName name="AshfordLeaseNonCurrentAssetCfProfile">'[16]nfm-f670-d158 (GreenSpeed)'!#REF!</definedName>
    <definedName name="AshfordLeaseShortTermCreditorCfProfile" localSheetId="7">'[15]nfm-f670-d158 (GreenSpeed)'!#REF!</definedName>
    <definedName name="AshfordLeaseShortTermCreditorCfProfile">'[16]nfm-f670-d158 (GreenSpeed)'!#REF!</definedName>
    <definedName name="AuditFailsStructural" localSheetId="7">[17]Audit!$F$19</definedName>
    <definedName name="AuditFailsStructural">[18]Audit!$F$19</definedName>
    <definedName name="axedoc">'[19]passage ca soc-conso'!#REF!</definedName>
    <definedName name="azds">[13]Feuil1!$B$1</definedName>
    <definedName name="AZE" localSheetId="11" hidden="1">{#N/A,#N/A,FALSE,"ECH IG";#N/A,#N/A,FALSE,"ECH DETTES"}</definedName>
    <definedName name="AZE" hidden="1">{#N/A,#N/A,FALSE,"ECH IG";#N/A,#N/A,FALSE,"ECH DETTES"}</definedName>
    <definedName name="azeas">#REF!</definedName>
    <definedName name="AZER" localSheetId="11" hidden="1">{#N/A,#N/A,FALSE,"Résultats conso";#N/A,#N/A,FALSE,"Intérêts mino N-1 à N";#N/A,#N/A,FALSE,"Réserves soc &amp; conso";#N/A,#N/A,FALSE,"Passage N-1 à N";#N/A,#N/A,FALSE,"Tab. fi. sociaux et conso"}</definedName>
    <definedName name="AZER" hidden="1">{#N/A,#N/A,FALSE,"Résultats conso";#N/A,#N/A,FALSE,"Intérêts mino N-1 à N";#N/A,#N/A,FALSE,"Réserves soc &amp; conso";#N/A,#N/A,FALSE,"Passage N-1 à N";#N/A,#N/A,FALSE,"Tab. fi. sociaux et conso"}</definedName>
    <definedName name="azerty" localSheetId="1" hidden="1">{"Détails",#N/A,FALSE,"CL1";"Détails",#N/A,FALSE,"CL2"}</definedName>
    <definedName name="azerty" localSheetId="3" hidden="1">{"Détails",#N/A,FALSE,"CL1";"Détails",#N/A,FALSE,"CL2"}</definedName>
    <definedName name="azerty" localSheetId="7" hidden="1">{"Détails",#N/A,FALSE,"CL1";"Détails",#N/A,FALSE,"CL2"}</definedName>
    <definedName name="azerty" localSheetId="0" hidden="1">{"Détails",#N/A,FALSE,"CL1";"Détails",#N/A,FALSE,"CL2"}</definedName>
    <definedName name="azerty" localSheetId="15" hidden="1">{"Détails",#N/A,FALSE,"CL1";"Détails",#N/A,FALSE,"CL2"}</definedName>
    <definedName name="azerty" hidden="1">{"Détails",#N/A,FALSE,"CL1";"Détails",#N/A,FALSE,"CL2"}</definedName>
    <definedName name="azsz">#REF!</definedName>
    <definedName name="b">[20]PowerPoint!$D$16</definedName>
    <definedName name="Base2">#REF!</definedName>
    <definedName name="BaseScenarios">#REF!</definedName>
    <definedName name="bb">[21]PowerPoint!$D$16</definedName>
    <definedName name="bbbb" localSheetId="11" hidden="1">{#N/A,#N/A,FALSE,"ECH IG";#N/A,#N/A,FALSE,"ECH DETTES"}</definedName>
    <definedName name="bbbb" hidden="1">{#N/A,#N/A,FALSE,"ECH IG";#N/A,#N/A,FALSE,"ECH DETTES"}</definedName>
    <definedName name="bd">#REF!</definedName>
    <definedName name="BELALL1">[22]offre!$K$11</definedName>
    <definedName name="BELALL2">[22]offre!$K$12</definedName>
    <definedName name="BF_CAVA_PBA_01">'[23]Trains Week'!$C$92</definedName>
    <definedName name="BF_CAVA_PBA_02">'[23]Trains Week'!$D$92</definedName>
    <definedName name="BF_CAVA_PBA_03">'[23]Trains Week'!$E$92</definedName>
    <definedName name="BF_CAVB_MLV_01">'[23]Trains Week'!$C$116</definedName>
    <definedName name="BF_CAVB_MLV_02">'[23]Trains Week'!$D$116</definedName>
    <definedName name="BF_CAVB_MLV_03">'[23]Trains Week'!$E$116</definedName>
    <definedName name="BF_CAVB_PB_01">'[23]Trains Week'!$C$44</definedName>
    <definedName name="BF_CAVB_PB_02">'[23]Trains Week'!$D$44</definedName>
    <definedName name="BF_CAVB_PB_03">'[23]Trains Week'!$E$44</definedName>
    <definedName name="BF_CAVB_PBA_01">'[23]Trains Week'!$C$80</definedName>
    <definedName name="BF_CAVB_PBA_02">'[23]Trains Week'!$D$80</definedName>
    <definedName name="BF_CAVB_PBA_03">'[23]Trains Week'!$E$80</definedName>
    <definedName name="BF_CAVB_PBK_01">'[23]Trains Week'!$K$44</definedName>
    <definedName name="BF_CAVB_PBK_02">'[23]Trains Week'!$L$44</definedName>
    <definedName name="BF_CAVB_PBK_03">'[23]Trains Week'!$M$44</definedName>
    <definedName name="BF_CAVK_PBK_01">'[23]Trains Week'!$K$62</definedName>
    <definedName name="BF_CAVK_PBK_02">'[23]Trains Week'!$L$62</definedName>
    <definedName name="BF_CAVK_PBK_03">'[23]Trains Week'!$M$62</definedName>
    <definedName name="BF_CAVP_DW_01">'[23]Trains Week'!$C$136</definedName>
    <definedName name="BF_CAVP_DW_02">'[23]Trains Week'!$D$136</definedName>
    <definedName name="BF_CAVP_DW_03">'[23]Trains Week'!$E$136</definedName>
    <definedName name="BF_CAVP_MLV_01">'[23]Trains Week'!$C$121</definedName>
    <definedName name="BF_CAVP_MLV_02">'[23]Trains Week'!$D$121</definedName>
    <definedName name="BF_CAVP_MLV_03">'[23]Trains Week'!$E$121</definedName>
    <definedName name="BF_CAVP_PB_01">'[23]Trains Week'!$C$50</definedName>
    <definedName name="BF_CAVP_PB_02">'[23]Trains Week'!$D$50</definedName>
    <definedName name="BF_CAVP_PB_03">'[23]Trains Week'!$E$50</definedName>
    <definedName name="BF_CAVP_PBA_01">'[23]Trains Week'!$C$86</definedName>
    <definedName name="BF_CAVP_PBA_02">'[23]Trains Week'!$D$86</definedName>
    <definedName name="BF_CAVP_PBA_03">'[23]Trains Week'!$E$86</definedName>
    <definedName name="BF_CAVP_PBK_01">'[23]Trains Week'!$K$50</definedName>
    <definedName name="BF_CAVP_PBK_02">'[23]Trains Week'!$L$50</definedName>
    <definedName name="BF_CAVP_PBK_03">'[23]Trains Week'!$M$50</definedName>
    <definedName name="bicr">#REF!,#REF!,#REF!,#REF!</definedName>
    <definedName name="Bilan_passif_2006_2">'[24]Bilan Passif Contributif 2007'!$A$1:$T$27</definedName>
    <definedName name="BilanN">[6]Dimensions!#REF!</definedName>
    <definedName name="BilanN1">[6]Dimensions!#REF!</definedName>
    <definedName name="BilanN1ssFlux">[6]Dimensions!#REF!</definedName>
    <definedName name="BilanNssFlux">[6]Dimensions!#REF!</definedName>
    <definedName name="BilanPub2007">[25]Dimensions!#REF!</definedName>
    <definedName name="BilanPub2007ssflux">[25]Dimensions!#REF!</definedName>
    <definedName name="Bl">'[26]5.4 Bilan EPIC'!#REF!</definedName>
    <definedName name="BSDDSSharesBY">[27]BalanceSheetAssets!#REF!</definedName>
    <definedName name="BSDDSSharesCY">[27]BalanceSheetAssets!#REF!</definedName>
    <definedName name="BSDDSSharesPQ">[27]BalanceSheetAssets!#REF!</definedName>
    <definedName name="BSDDSSharesPY">[27]BalanceSheetAssets!#REF!</definedName>
    <definedName name="BSDSASharesBY">[27]BalanceSheetAssets!#REF!</definedName>
    <definedName name="BSDSASharesCY">[27]BalanceSheetAssets!#REF!</definedName>
    <definedName name="BSDSASharesPQ">[27]BalanceSheetAssets!#REF!</definedName>
    <definedName name="BSDSASharesPY">[27]BalanceSheetAssets!#REF!</definedName>
    <definedName name="BSDSKKSharesBY">[27]BalanceSheetAssets!#REF!</definedName>
    <definedName name="BSDSKKSharesCY">[27]BalanceSheetAssets!#REF!</definedName>
    <definedName name="BSDSKKSharesPQ">[27]BalanceSheetAssets!#REF!</definedName>
    <definedName name="BSEquityBY">[27]BalanceSheetLiabilities!$L$34</definedName>
    <definedName name="BSNetIncomeBY">[27]BalanceSheetLiabilities!$L$33</definedName>
    <definedName name="BSPaidinCapitalBY">[27]BalanceSheetLiabilities!$L$30</definedName>
    <definedName name="BSRestrictedBY">[27]BalanceSheetLiabilities!$L$32</definedName>
    <definedName name="BSShareCapitalBY">[27]BalanceSheetLiabilities!$L$29</definedName>
    <definedName name="BSTEquityCY">[27]BalanceSheetLiabilities!$F$34</definedName>
    <definedName name="BSUnrestrictedBY">[27]BalanceSheetLiabilities!$L$31</definedName>
    <definedName name="Bud_Exch_Rate" localSheetId="7">[28]Setup!$A$31</definedName>
    <definedName name="Bud_Exch_Rate">[29]Setup!$A$31</definedName>
    <definedName name="Bud_exch_rateUSD" localSheetId="7">[10]Descriptions!$Q$2</definedName>
    <definedName name="Bud_exch_rateUSD">[11]Descriptions!$Q$2</definedName>
    <definedName name="BudExRate">1.37</definedName>
    <definedName name="budExRateUSD">1.5</definedName>
    <definedName name="budRate" localSheetId="15">#REF!</definedName>
    <definedName name="budRate">#REF!</definedName>
    <definedName name="C_2372_1227418">'[30]FTB 2.3.'!$G$21</definedName>
    <definedName name="C_2465_1256158">'[30]VarImmo Fi'!$Q$4</definedName>
    <definedName name="C_2639_1281361">'[26]5.4 CR EPiC'!#REF!</definedName>
    <definedName name="C_2639_1281362">'[26]5.4 CR EPiC'!#REF!</definedName>
    <definedName name="C_2639_1281363">'[26]5.4 CR EPiC'!#REF!</definedName>
    <definedName name="C_2639_1281364">'[26]5.4 CR EPiC'!#REF!</definedName>
    <definedName name="C_2639_1281365">'[26]5.4 CR EPiC'!#REF!</definedName>
    <definedName name="C_2639_1281366">'[26]5.4 CR EPiC'!#REF!</definedName>
    <definedName name="C_2639_1281367">'[26]5.4 CR EPiC'!#REF!</definedName>
    <definedName name="C_2639_1281368">'[26]5.4 CR EPiC'!#REF!</definedName>
    <definedName name="C_2639_1281369">'[26]5.4 CR EPiC'!#REF!</definedName>
    <definedName name="C_2639_1281370">'[26]5.4 CR EPiC'!#REF!</definedName>
    <definedName name="C_2639_1281371">'[26]5.4 CR EPiC'!#REF!</definedName>
    <definedName name="C_2639_1281372">'[26]5.4 CR EPiC'!#REF!</definedName>
    <definedName name="C_2639_1281373">'[26]5.4 CR EPiC'!#REF!</definedName>
    <definedName name="C_2639_1281374">'[26]5.4 CR EPiC'!#REF!</definedName>
    <definedName name="C_2639_1281375">'[26]5.4 CR EPiC'!#REF!</definedName>
    <definedName name="C_2639_1281376">'[26]5.4 CR EPiC'!#REF!</definedName>
    <definedName name="C_2641_1281382">#REF!</definedName>
    <definedName name="C_2641_1281383">#REF!</definedName>
    <definedName name="C_2641_1281384">#REF!</definedName>
    <definedName name="C_2641_1281385">#REF!</definedName>
    <definedName name="C_2641_1281386">#REF!</definedName>
    <definedName name="C_2641_1281387">#REF!</definedName>
    <definedName name="C_2641_1281388">#REF!</definedName>
    <definedName name="C_2641_1281389">#REF!</definedName>
    <definedName name="C_2642_1281390">#REF!</definedName>
    <definedName name="C_2642_1281391">#REF!</definedName>
    <definedName name="C_2642_1281392">#REF!</definedName>
    <definedName name="C_2642_1281393">#REF!</definedName>
    <definedName name="C_2642_1281394">#REF!</definedName>
    <definedName name="C_2642_1281395">#REF!</definedName>
    <definedName name="C_2642_1281396">#REF!</definedName>
    <definedName name="C_2642_1281397">#REF!</definedName>
    <definedName name="C_2642_1281398">#REF!</definedName>
    <definedName name="C_2642_1281399">#REF!</definedName>
    <definedName name="C_2642_1281400">#REF!</definedName>
    <definedName name="C_2642_1281401">#REF!</definedName>
    <definedName name="C_2642_1281402">#REF!</definedName>
    <definedName name="C_2642_1281403">#REF!</definedName>
    <definedName name="C_2642_1281404">#REF!</definedName>
    <definedName name="C_2644_1281408">#REF!</definedName>
    <definedName name="C_2644_1281409">#REF!</definedName>
    <definedName name="C_2644_1281410">#REF!</definedName>
    <definedName name="C_2644_1281411">#REF!</definedName>
    <definedName name="C_2644_1281412">#REF!</definedName>
    <definedName name="C_2644_1281413">#REF!</definedName>
    <definedName name="C_2644_1281414">#REF!</definedName>
    <definedName name="C_2644_1281415">#REF!</definedName>
    <definedName name="C_2644_1281416">#REF!</definedName>
    <definedName name="C_2645_1281417">#REF!</definedName>
    <definedName name="C_2645_1281418">#REF!</definedName>
    <definedName name="C_2645_1281419">#REF!</definedName>
    <definedName name="C_2645_1281420">#REF!</definedName>
    <definedName name="C_2645_1281421">#REF!</definedName>
    <definedName name="C_2645_1281422">#REF!</definedName>
    <definedName name="C_2645_1281423">#REF!</definedName>
    <definedName name="C_2645_1281424">#REF!</definedName>
    <definedName name="C_2645_1281425">#REF!</definedName>
    <definedName name="C_2645_1281426">#REF!</definedName>
    <definedName name="C_2645_1281427">#REF!</definedName>
    <definedName name="C_2645_1281428">#REF!</definedName>
    <definedName name="C_2646_1281429">#REF!</definedName>
    <definedName name="C_2646_1281430">#REF!</definedName>
    <definedName name="C_2646_1281431">#REF!</definedName>
    <definedName name="C_2647_1281432">#REF!</definedName>
    <definedName name="C_2647_1281433">#REF!</definedName>
    <definedName name="C_2647_1281434">#REF!</definedName>
    <definedName name="C_2647_1281435">#REF!</definedName>
    <definedName name="C_2647_1281436">#REF!</definedName>
    <definedName name="C_2647_1281437">#REF!</definedName>
    <definedName name="C_2647_1281438">#REF!</definedName>
    <definedName name="C_2647_1281439">#REF!</definedName>
    <definedName name="C_2647_1281440">#REF!</definedName>
    <definedName name="C_2647_1281441">#REF!</definedName>
    <definedName name="C_2647_1281442">#REF!</definedName>
    <definedName name="C_2647_1281443">#REF!</definedName>
    <definedName name="C_2647_1281444">#REF!</definedName>
    <definedName name="C_2647_1281445">#REF!</definedName>
    <definedName name="C_2647_1281446">#REF!</definedName>
    <definedName name="C_2647_1281447">#REF!</definedName>
    <definedName name="C_2647_1281448">#REF!</definedName>
    <definedName name="C_2648_1281449">#REF!</definedName>
    <definedName name="C_2648_1281814">#REF!</definedName>
    <definedName name="C_2648_1281815">#REF!</definedName>
    <definedName name="C_2648_1281816">#REF!</definedName>
    <definedName name="C_2648_1281817">#REF!</definedName>
    <definedName name="C_2648_1281818">#REF!</definedName>
    <definedName name="C_2648_1281819">#REF!</definedName>
    <definedName name="C_2648_1281820">#REF!</definedName>
    <definedName name="C_2648_1281821">#REF!</definedName>
    <definedName name="C_2648_1281822">#REF!</definedName>
    <definedName name="C_2648_1281823">#REF!</definedName>
    <definedName name="C_2648_1281824">#REF!</definedName>
    <definedName name="C_2648_1281825">#REF!</definedName>
    <definedName name="C_2648_1281826">#REF!</definedName>
    <definedName name="C_2648_1281827">#REF!</definedName>
    <definedName name="C_2648_1281828">#REF!</definedName>
    <definedName name="C_2648_1281829">#REF!</definedName>
    <definedName name="C_2648_1281830">#REF!</definedName>
    <definedName name="C_2648_1281831">#REF!</definedName>
    <definedName name="C_2648_1281832">#REF!</definedName>
    <definedName name="C_2648_1281833">#REF!</definedName>
    <definedName name="C_2648_1281834">#REF!</definedName>
    <definedName name="C_2648_1281835">#REF!</definedName>
    <definedName name="C_2648_1281836">#REF!</definedName>
    <definedName name="C_2648_1281837">#REF!</definedName>
    <definedName name="C_2648_1281838">#REF!</definedName>
    <definedName name="C_2648_1281839">#REF!</definedName>
    <definedName name="C_2648_1281840">#REF!</definedName>
    <definedName name="C_2648_1281841">#REF!</definedName>
    <definedName name="C_2648_1281842">#REF!</definedName>
    <definedName name="C_2648_1281843">#REF!</definedName>
    <definedName name="C_2648_1281844">#REF!</definedName>
    <definedName name="C_2648_1281845">#REF!</definedName>
    <definedName name="C_2648_1281846">#REF!</definedName>
    <definedName name="C_2648_1281847">#REF!</definedName>
    <definedName name="C_2648_1281848">#REF!</definedName>
    <definedName name="C_2648_1281849">#REF!</definedName>
    <definedName name="C_2648_1281850">#REF!</definedName>
    <definedName name="C_2648_1281851">#REF!</definedName>
    <definedName name="C_2648_1281852">#REF!</definedName>
    <definedName name="C_2648_1281853">#REF!</definedName>
    <definedName name="C_2648_1281854">#REF!</definedName>
    <definedName name="C_2648_1281855">#REF!</definedName>
    <definedName name="C_2648_1281856">#REF!</definedName>
    <definedName name="C_2648_1281857">#REF!</definedName>
    <definedName name="C_2648_1281858">#REF!</definedName>
    <definedName name="C_2648_1281859">#REF!</definedName>
    <definedName name="C_2648_1281860">#REF!</definedName>
    <definedName name="C_2648_1281861">#REF!</definedName>
    <definedName name="C_2648_1281862">#REF!</definedName>
    <definedName name="C_2648_1281863">#REF!</definedName>
    <definedName name="C_2648_1281864">#REF!</definedName>
    <definedName name="C_2648_1281865">#REF!</definedName>
    <definedName name="C_2648_1281866">#REF!</definedName>
    <definedName name="C_2648_1281867">#REF!</definedName>
    <definedName name="C_2648_1281868">#REF!</definedName>
    <definedName name="C_2648_1281869">#REF!</definedName>
    <definedName name="C_2648_1281870">#REF!</definedName>
    <definedName name="C_2648_1281871">#REF!</definedName>
    <definedName name="C_2648_1281872">#REF!</definedName>
    <definedName name="C_2648_1281873">#REF!</definedName>
    <definedName name="C_2648_1281874">#REF!</definedName>
    <definedName name="C_2648_1281875">#REF!</definedName>
    <definedName name="C_2648_1281876">#REF!</definedName>
    <definedName name="C_2648_1281877">#REF!</definedName>
    <definedName name="C_2648_1281878">#REF!</definedName>
    <definedName name="C_2648_1281879">#REF!</definedName>
    <definedName name="C_2648_1281880">#REF!</definedName>
    <definedName name="C_2648_1281881">#REF!</definedName>
    <definedName name="C_2648_1281882">#REF!</definedName>
    <definedName name="C_2648_1281883">#REF!</definedName>
    <definedName name="C_2648_1281884">#REF!</definedName>
    <definedName name="C_2648_1281885">#REF!</definedName>
    <definedName name="C_2648_1281886">#REF!</definedName>
    <definedName name="C_2648_1281887">#REF!</definedName>
    <definedName name="C_2648_1281888">#REF!</definedName>
    <definedName name="C_2648_1281889">#REF!</definedName>
    <definedName name="C_2648_1281890">#REF!</definedName>
    <definedName name="C_2648_1281891">#REF!</definedName>
    <definedName name="C_2648_1281892">#REF!</definedName>
    <definedName name="C_2648_1281893">#REF!</definedName>
    <definedName name="C_2648_1281894">#REF!</definedName>
    <definedName name="C_2648_1281895">#REF!</definedName>
    <definedName name="C_2648_1281896">#REF!</definedName>
    <definedName name="C_2648_1281897">#REF!</definedName>
    <definedName name="C_2648_1281898">#REF!</definedName>
    <definedName name="C_2648_1281899">#REF!</definedName>
    <definedName name="C_2648_1281900">#REF!</definedName>
    <definedName name="C_2648_1281901">#REF!</definedName>
    <definedName name="C_2648_1281902">#REF!</definedName>
    <definedName name="C_2648_1281903">#REF!</definedName>
    <definedName name="C_2648_1281904">#REF!</definedName>
    <definedName name="C_2648_1281905">#REF!</definedName>
    <definedName name="C_2648_1281906">#REF!</definedName>
    <definedName name="C_2648_1281907">#REF!</definedName>
    <definedName name="C_2648_1281908">#REF!</definedName>
    <definedName name="C_2648_1281909">#REF!</definedName>
    <definedName name="C_2648_1281910">#REF!</definedName>
    <definedName name="C_2648_1281911">#REF!</definedName>
    <definedName name="C_2648_1281912">#REF!</definedName>
    <definedName name="C_2648_1281913">#REF!</definedName>
    <definedName name="C_2648_1281914">#REF!</definedName>
    <definedName name="C_2648_1281915">#REF!</definedName>
    <definedName name="C_2648_1281916">#REF!</definedName>
    <definedName name="C_2648_1281917">#REF!</definedName>
    <definedName name="C_2648_1281918">#REF!</definedName>
    <definedName name="C_2648_1281919">#REF!</definedName>
    <definedName name="C_2648_1281920">#REF!</definedName>
    <definedName name="C_2648_1281921">#REF!</definedName>
    <definedName name="C_2648_1281922">#REF!</definedName>
    <definedName name="C_2648_1281923">#REF!</definedName>
    <definedName name="C_2648_1281924">#REF!</definedName>
    <definedName name="C_2648_1281925">#REF!</definedName>
    <definedName name="C_2648_1281926">#REF!</definedName>
    <definedName name="C_2648_1281927">#REF!</definedName>
    <definedName name="C_2648_1281928">#REF!</definedName>
    <definedName name="C_2648_1281929">#REF!</definedName>
    <definedName name="C_2648_1281930">#REF!</definedName>
    <definedName name="C_2648_1281931">#REF!</definedName>
    <definedName name="C_2648_1281932">#REF!</definedName>
    <definedName name="C_2648_1281933">#REF!</definedName>
    <definedName name="C_2648_1281934">#REF!</definedName>
    <definedName name="C_2648_1281935">#REF!</definedName>
    <definedName name="C_2648_1281936">#REF!</definedName>
    <definedName name="C_2648_1284903">#REF!</definedName>
    <definedName name="C_2648_1284904">#REF!</definedName>
    <definedName name="C_2648_1284905">#REF!</definedName>
    <definedName name="C_2648_1284906">#REF!</definedName>
    <definedName name="C_2649_1281450">#REF!</definedName>
    <definedName name="C_2649_1281451">#REF!</definedName>
    <definedName name="C_2649_1281452">#REF!</definedName>
    <definedName name="C_2649_1281453">#REF!</definedName>
    <definedName name="C_2649_1281454">#REF!</definedName>
    <definedName name="C_2649_1281455">#REF!</definedName>
    <definedName name="C_2649_1281456">#REF!</definedName>
    <definedName name="C_2649_1281457">#REF!</definedName>
    <definedName name="C_2649_1281458">#REF!</definedName>
    <definedName name="C_2649_1281459">#REF!</definedName>
    <definedName name="C_2649_1281460">#REF!</definedName>
    <definedName name="C_2649_1281461">#REF!</definedName>
    <definedName name="C_2649_1281462">#REF!</definedName>
    <definedName name="C_2649_1281463">#REF!</definedName>
    <definedName name="C_2649_1281464">#REF!</definedName>
    <definedName name="C_2649_1281465">#REF!</definedName>
    <definedName name="C_2649_1281466">#REF!</definedName>
    <definedName name="C_2649_1281467">#REF!</definedName>
    <definedName name="C_2649_1281468">#REF!</definedName>
    <definedName name="C_2649_1281469">#REF!</definedName>
    <definedName name="C_2649_1281470">#REF!</definedName>
    <definedName name="C_2649_1281471">#REF!</definedName>
    <definedName name="C_2649_1281472">#REF!</definedName>
    <definedName name="C_2649_1281473">#REF!</definedName>
    <definedName name="C_2649_1281474">#REF!</definedName>
    <definedName name="C_2649_1281475">#REF!</definedName>
    <definedName name="C_2649_1281476">#REF!</definedName>
    <definedName name="C_2649_1281477">#REF!</definedName>
    <definedName name="C_2649_1281478">#REF!</definedName>
    <definedName name="C_2649_1281479">#REF!</definedName>
    <definedName name="C_2649_1281480">#REF!</definedName>
    <definedName name="C_2649_1281481">#REF!</definedName>
    <definedName name="C_2649_1281482">#REF!</definedName>
    <definedName name="C_2649_1281483">#REF!</definedName>
    <definedName name="C_2649_1281484">#REF!</definedName>
    <definedName name="C_2649_1281485">#REF!</definedName>
    <definedName name="C_2649_1281486">#REF!</definedName>
    <definedName name="C_2649_1281487">#REF!</definedName>
    <definedName name="C_2649_1281488">#REF!</definedName>
    <definedName name="C_2649_1281489">#REF!</definedName>
    <definedName name="C_2649_1281490">#REF!</definedName>
    <definedName name="C_2649_1281491">#REF!</definedName>
    <definedName name="C_2649_1281492">#REF!</definedName>
    <definedName name="C_2649_1281493">#REF!</definedName>
    <definedName name="C_2649_1281494">#REF!</definedName>
    <definedName name="C_2649_1281495">#REF!</definedName>
    <definedName name="C_2649_1281496">#REF!</definedName>
    <definedName name="C_2649_1281497">#REF!</definedName>
    <definedName name="C_2649_1281498">#REF!</definedName>
    <definedName name="C_2649_1281499">#REF!</definedName>
    <definedName name="C_2649_1281500">#REF!</definedName>
    <definedName name="C_2649_1281501">#REF!</definedName>
    <definedName name="C_2649_1281502">#REF!</definedName>
    <definedName name="C_2649_1281503">#REF!</definedName>
    <definedName name="C_2649_1281504">#REF!</definedName>
    <definedName name="C_2649_1281505">#REF!</definedName>
    <definedName name="C_2649_1281506">#REF!</definedName>
    <definedName name="C_2649_1281507">#REF!</definedName>
    <definedName name="C_2649_1281508">#REF!</definedName>
    <definedName name="C_2649_1281509">#REF!</definedName>
    <definedName name="C_2649_1281510">#REF!</definedName>
    <definedName name="C_2649_1281511">#REF!</definedName>
    <definedName name="C_2649_1281512">#REF!</definedName>
    <definedName name="C_2649_1281513">#REF!</definedName>
    <definedName name="C_2649_1281514">#REF!</definedName>
    <definedName name="C_2649_1281515">#REF!</definedName>
    <definedName name="C_2649_1281516">#REF!</definedName>
    <definedName name="C_2649_1281517">#REF!</definedName>
    <definedName name="C_2649_1281518">#REF!</definedName>
    <definedName name="C_2649_1281519">#REF!</definedName>
    <definedName name="C_2649_1281520">#REF!</definedName>
    <definedName name="C_2649_1281521">#REF!</definedName>
    <definedName name="C_2649_1281522">#REF!</definedName>
    <definedName name="C_2649_1281523">#REF!</definedName>
    <definedName name="C_2649_1281524">#REF!</definedName>
    <definedName name="C_2649_1281525">#REF!</definedName>
    <definedName name="C_2649_1281526">#REF!</definedName>
    <definedName name="C_2649_1281527">#REF!</definedName>
    <definedName name="C_2650_1281528">#REF!</definedName>
    <definedName name="C_2650_1281529">#REF!</definedName>
    <definedName name="C_2650_1281530">#REF!</definedName>
    <definedName name="C_2650_1281531">#REF!</definedName>
    <definedName name="C_2650_1281532">#REF!</definedName>
    <definedName name="C_2650_1281533">#REF!</definedName>
    <definedName name="C_2650_1281534">#REF!</definedName>
    <definedName name="C_2650_1281535">#REF!</definedName>
    <definedName name="C_2650_1281536">#REF!</definedName>
    <definedName name="C_2650_1281537">#REF!</definedName>
    <definedName name="C_2650_1281538">#REF!</definedName>
    <definedName name="C_2650_1281539">#REF!</definedName>
    <definedName name="C_2650_1281540">#REF!</definedName>
    <definedName name="C_2650_1281541">#REF!</definedName>
    <definedName name="C_2650_1281542">#REF!</definedName>
    <definedName name="C_2650_1281543">#REF!</definedName>
    <definedName name="C_2650_1281544">#REF!</definedName>
    <definedName name="C_2650_1281545">#REF!</definedName>
    <definedName name="C_2650_1281546">#REF!</definedName>
    <definedName name="C_2650_1281547">#REF!</definedName>
    <definedName name="C_2650_1281548">#REF!</definedName>
    <definedName name="C_2650_1281549">#REF!</definedName>
    <definedName name="C_2650_1281550">#REF!</definedName>
    <definedName name="C_2650_1281551">#REF!</definedName>
    <definedName name="C_2650_1281552">#REF!</definedName>
    <definedName name="C_2650_1281553">#REF!</definedName>
    <definedName name="C_2650_1281554">#REF!</definedName>
    <definedName name="C_2650_1281555">#REF!</definedName>
    <definedName name="C_2650_1281556">#REF!</definedName>
    <definedName name="C_2650_1281557">#REF!</definedName>
    <definedName name="C_2650_1281558">#REF!</definedName>
    <definedName name="C_2650_1281559">#REF!</definedName>
    <definedName name="C_2650_1281560">#REF!</definedName>
    <definedName name="C_2650_1281561">#REF!</definedName>
    <definedName name="C_2650_1281562">#REF!</definedName>
    <definedName name="C_2650_1281563">#REF!</definedName>
    <definedName name="C_2650_1281564">#REF!</definedName>
    <definedName name="C_2650_1281565">#REF!</definedName>
    <definedName name="C_2651_1281566">#REF!</definedName>
    <definedName name="C_2651_1281567">#REF!</definedName>
    <definedName name="C_2651_1281568">#REF!</definedName>
    <definedName name="C_2651_1281569">#REF!</definedName>
    <definedName name="C_2651_1281570">#REF!</definedName>
    <definedName name="C_2651_1281571">#REF!</definedName>
    <definedName name="C_2651_1281572">#REF!</definedName>
    <definedName name="C_2651_1281573">#REF!</definedName>
    <definedName name="C_2651_1281574">#REF!</definedName>
    <definedName name="C_2651_1281575">#REF!</definedName>
    <definedName name="C_2651_1281576">#REF!</definedName>
    <definedName name="C_2651_1281577">#REF!</definedName>
    <definedName name="C_2651_1281578">#REF!</definedName>
    <definedName name="C_2651_1281579">#REF!</definedName>
    <definedName name="C_2651_1281580">#REF!</definedName>
    <definedName name="C_2651_1281581">#REF!</definedName>
    <definedName name="C_2651_1281582">#REF!</definedName>
    <definedName name="C_2651_1281583">#REF!</definedName>
    <definedName name="C_2651_1281584">#REF!</definedName>
    <definedName name="C_2651_1281585">#REF!</definedName>
    <definedName name="C_2651_1281586">#REF!</definedName>
    <definedName name="C_2651_1281587">#REF!</definedName>
    <definedName name="C_2651_1281588">#REF!</definedName>
    <definedName name="C_2651_1281589">#REF!</definedName>
    <definedName name="C_2651_1281590">#REF!</definedName>
    <definedName name="C_2651_1281591">#REF!</definedName>
    <definedName name="C_2651_1281592">#REF!</definedName>
    <definedName name="C_2651_1281593">#REF!</definedName>
    <definedName name="C_2651_1281594">#REF!</definedName>
    <definedName name="C_2651_1281595">#REF!</definedName>
    <definedName name="C_2651_1281596">#REF!</definedName>
    <definedName name="C_2651_1281597">#REF!</definedName>
    <definedName name="C_2651_1281598">#REF!</definedName>
    <definedName name="C_2651_1281599">#REF!</definedName>
    <definedName name="C_2651_1281600">#REF!</definedName>
    <definedName name="C_2651_1281601">#REF!</definedName>
    <definedName name="C_2651_1281602">#REF!</definedName>
    <definedName name="C_2651_1281603">#REF!</definedName>
    <definedName name="C_2651_1281604">#REF!</definedName>
    <definedName name="C_2651_1281605">#REF!</definedName>
    <definedName name="C_2651_1281606">#REF!</definedName>
    <definedName name="C_2651_1281607">#REF!</definedName>
    <definedName name="C_2651_1281608">#REF!</definedName>
    <definedName name="C_2651_1281609">#REF!</definedName>
    <definedName name="C_2651_1281610">#REF!</definedName>
    <definedName name="C_2651_1281611">#REF!</definedName>
    <definedName name="C_2651_1281612">#REF!</definedName>
    <definedName name="C_2651_1281613">#REF!</definedName>
    <definedName name="C_2651_1281614">#REF!</definedName>
    <definedName name="C_2651_1281615">#REF!</definedName>
    <definedName name="C_2651_1281616">#REF!</definedName>
    <definedName name="C_2651_1281617">#REF!</definedName>
    <definedName name="C_2651_1281618">#REF!</definedName>
    <definedName name="C_2651_1281619">#REF!</definedName>
    <definedName name="C_2651_1281620">#REF!</definedName>
    <definedName name="C_2651_1281621">#REF!</definedName>
    <definedName name="C_2651_1281622">#REF!</definedName>
    <definedName name="C_2651_1281623">#REF!</definedName>
    <definedName name="C_2651_1281624">#REF!</definedName>
    <definedName name="C_2651_1281625">#REF!</definedName>
    <definedName name="C_2651_1281626">#REF!</definedName>
    <definedName name="C_2651_1281627">#REF!</definedName>
    <definedName name="C_2651_1281628">#REF!</definedName>
    <definedName name="C_2651_1281629">#REF!</definedName>
    <definedName name="C_2651_1281630">#REF!</definedName>
    <definedName name="C_2651_1281631">#REF!</definedName>
    <definedName name="C_2651_1281632">#REF!</definedName>
    <definedName name="C_2651_1281633">#REF!</definedName>
    <definedName name="C_2651_1281634">#REF!</definedName>
    <definedName name="C_2651_1281635">#REF!</definedName>
    <definedName name="C_2651_1281636">#REF!</definedName>
    <definedName name="C_2651_1281637">#REF!</definedName>
    <definedName name="C_2651_1281638">#REF!</definedName>
    <definedName name="C_2651_1281639">#REF!</definedName>
    <definedName name="C_2651_1281640">#REF!</definedName>
    <definedName name="C_2651_1281641">#REF!</definedName>
    <definedName name="C_2651_1281642">#REF!</definedName>
    <definedName name="C_2651_1281643">#REF!</definedName>
    <definedName name="C_2651_1281644">#REF!</definedName>
    <definedName name="C_2651_1281645">#REF!</definedName>
    <definedName name="C_2651_1281646">#REF!</definedName>
    <definedName name="C_2651_1281647">#REF!</definedName>
    <definedName name="C_2651_1281648">#REF!</definedName>
    <definedName name="C_2651_1281649">#REF!</definedName>
    <definedName name="C_2651_1281650">#REF!</definedName>
    <definedName name="C_2651_1281651">#REF!</definedName>
    <definedName name="C_2651_1281652">#REF!</definedName>
    <definedName name="C_2651_1281653">#REF!</definedName>
    <definedName name="C_2651_1281654">#REF!</definedName>
    <definedName name="C_2651_1281655">#REF!</definedName>
    <definedName name="C_2651_1281656">#REF!</definedName>
    <definedName name="C_2651_1281657">#REF!</definedName>
    <definedName name="C_2651_1281658">#REF!</definedName>
    <definedName name="C_2651_1281659">#REF!</definedName>
    <definedName name="C_2651_1281660">#REF!</definedName>
    <definedName name="C_2651_1281661">#REF!</definedName>
    <definedName name="C_2651_1281662">#REF!</definedName>
    <definedName name="C_2651_1281663">#REF!</definedName>
    <definedName name="C_2651_1281664">#REF!</definedName>
    <definedName name="C_2651_1281665">#REF!</definedName>
    <definedName name="C_2651_1281666">#REF!</definedName>
    <definedName name="C_2651_1281667">#REF!</definedName>
    <definedName name="C_2651_1281668">#REF!</definedName>
    <definedName name="C_2651_1281669">#REF!</definedName>
    <definedName name="C_2651_1281670">#REF!</definedName>
    <definedName name="C_2651_1281671">#REF!</definedName>
    <definedName name="C_2651_1281672">#REF!</definedName>
    <definedName name="C_2651_1281673">#REF!</definedName>
    <definedName name="C_2651_1281674">#REF!</definedName>
    <definedName name="C_2651_1281675">#REF!</definedName>
    <definedName name="C_2651_1281676">#REF!</definedName>
    <definedName name="C_2651_1281677">#REF!</definedName>
    <definedName name="C_2651_1281678">#REF!</definedName>
    <definedName name="C_2651_1281679">#REF!</definedName>
    <definedName name="C_2651_1281680">#REF!</definedName>
    <definedName name="C_2651_1281681">#REF!</definedName>
    <definedName name="C_2651_1281682">#REF!</definedName>
    <definedName name="C_2651_1281683">#REF!</definedName>
    <definedName name="C_2651_1281684">#REF!</definedName>
    <definedName name="C_2651_1281685">#REF!</definedName>
    <definedName name="C_2651_1281686">#REF!</definedName>
    <definedName name="C_2651_1281687">#REF!</definedName>
    <definedName name="C_2651_1281688">#REF!</definedName>
    <definedName name="C_2651_1281689">#REF!</definedName>
    <definedName name="C_2651_1281690">#REF!</definedName>
    <definedName name="C_2651_1281691">#REF!</definedName>
    <definedName name="C_2651_1281692">#REF!</definedName>
    <definedName name="C_2651_1281693">#REF!</definedName>
    <definedName name="C_2651_1281694">#REF!</definedName>
    <definedName name="C_2651_1281695">#REF!</definedName>
    <definedName name="C_2651_1281696">#REF!</definedName>
    <definedName name="C_2651_1281697">#REF!</definedName>
    <definedName name="C_2651_1281698">#REF!</definedName>
    <definedName name="C_2651_1281699">#REF!</definedName>
    <definedName name="C_2651_1281700">#REF!</definedName>
    <definedName name="C_2651_1281701">#REF!</definedName>
    <definedName name="C_2651_1281702">#REF!</definedName>
    <definedName name="C_2651_1281703">#REF!</definedName>
    <definedName name="C_2651_1281704">#REF!</definedName>
    <definedName name="C_2651_1281705">#REF!</definedName>
    <definedName name="C_2651_1281706">#REF!</definedName>
    <definedName name="C_2651_1281707">#REF!</definedName>
    <definedName name="C_2651_1281708">#REF!</definedName>
    <definedName name="C_2651_1281709">#REF!</definedName>
    <definedName name="C_2651_1281710">#REF!</definedName>
    <definedName name="C_2651_1281711">#REF!</definedName>
    <definedName name="C_2651_1281712">#REF!</definedName>
    <definedName name="C_2651_1281713">#REF!</definedName>
    <definedName name="C_2651_1281714">#REF!</definedName>
    <definedName name="C_2651_1281715">#REF!</definedName>
    <definedName name="C_2651_1281716">#REF!</definedName>
    <definedName name="C_2651_1281717">#REF!</definedName>
    <definedName name="C_2651_1281718">#REF!</definedName>
    <definedName name="C_2651_1281719">#REF!</definedName>
    <definedName name="C_2651_1281720">#REF!</definedName>
    <definedName name="C_2651_1281721">#REF!</definedName>
    <definedName name="C_2651_1281722">#REF!</definedName>
    <definedName name="C_2651_1281723">#REF!</definedName>
    <definedName name="C_2651_1281724">#REF!</definedName>
    <definedName name="C_2651_1281725">#REF!</definedName>
    <definedName name="C_2651_1281726">#REF!</definedName>
    <definedName name="C_2651_1281727">#REF!</definedName>
    <definedName name="C_2651_1281728">#REF!</definedName>
    <definedName name="C_2651_1281729">#REF!</definedName>
    <definedName name="C_2651_1281730">#REF!</definedName>
    <definedName name="C_2651_1281731">#REF!</definedName>
    <definedName name="C_2651_1281732">#REF!</definedName>
    <definedName name="C_2651_1281733">#REF!</definedName>
    <definedName name="C_2651_1281734">#REF!</definedName>
    <definedName name="C_2651_1281735">#REF!</definedName>
    <definedName name="C_2651_1281736">#REF!</definedName>
    <definedName name="C_2651_1281737">#REF!</definedName>
    <definedName name="C_2651_1281738">#REF!</definedName>
    <definedName name="C_2651_1281739">#REF!</definedName>
    <definedName name="C_2651_1281740">#REF!</definedName>
    <definedName name="C_2651_1281741">#REF!</definedName>
    <definedName name="C_2651_1281742">#REF!</definedName>
    <definedName name="C_2651_1281743">#REF!</definedName>
    <definedName name="C_2651_1281744">#REF!</definedName>
    <definedName name="C_2651_1281745">#REF!</definedName>
    <definedName name="C_2651_1281746">#REF!</definedName>
    <definedName name="C_2651_1281747">#REF!</definedName>
    <definedName name="C_2651_1281748">#REF!</definedName>
    <definedName name="C_2651_1281749">#REF!</definedName>
    <definedName name="C_2651_1281750">#REF!</definedName>
    <definedName name="C_2651_1281751">#REF!</definedName>
    <definedName name="C_2651_1281752">#REF!</definedName>
    <definedName name="C_2651_1281753">#REF!</definedName>
    <definedName name="C_2651_1281754">#REF!</definedName>
    <definedName name="C_2651_1281755">#REF!</definedName>
    <definedName name="C_2651_1281756">#REF!</definedName>
    <definedName name="C_2651_1281757">#REF!</definedName>
    <definedName name="C_2652_1281758">'[26]5.4 Bilan EPIC'!#REF!</definedName>
    <definedName name="C_2652_1281759">'[26]5.4 Bilan EPIC'!#REF!</definedName>
    <definedName name="C_2652_1281760">'[26]5.4 Bilan EPIC'!#REF!</definedName>
    <definedName name="C_2652_1281761">'[26]5.4 Bilan EPIC'!#REF!</definedName>
    <definedName name="C_2652_1281762">'[26]5.4 Bilan EPIC'!#REF!</definedName>
    <definedName name="C_2652_1281763">'[26]5.4 Bilan EPIC'!#REF!</definedName>
    <definedName name="C_2652_1281764">'[26]5.4 Bilan EPIC'!#REF!</definedName>
    <definedName name="C_2652_1281765">'[26]5.4 Bilan EPIC'!#REF!</definedName>
    <definedName name="C_2652_1281766">'[26]5.4 Bilan EPIC'!#REF!</definedName>
    <definedName name="C_2652_1281767">'[26]5.4 Bilan EPIC'!#REF!</definedName>
    <definedName name="C_2652_1281768">'[26]5.4 Bilan EPIC'!#REF!</definedName>
    <definedName name="C_2652_1281769">'[26]5.4 Bilan EPIC'!#REF!</definedName>
    <definedName name="C_2652_1281770">'[26]5.4 Bilan EPIC'!#REF!</definedName>
    <definedName name="C_2652_1281771">'[26]5.4 Bilan EPIC'!#REF!</definedName>
    <definedName name="C_2652_1281772">'[26]5.4 Bilan EPIC'!#REF!</definedName>
    <definedName name="C_2652_1281773">'[26]5.4 Bilan EPIC'!#REF!</definedName>
    <definedName name="C_2652_1281774">'[26]5.4 Bilan EPIC'!#REF!</definedName>
    <definedName name="C_2652_1281775">'[26]5.4 Bilan EPIC'!#REF!</definedName>
    <definedName name="C_2652_1281776">'[26]5.4 Bilan EPIC'!#REF!</definedName>
    <definedName name="C_2652_1281777">'[26]5.4 Bilan EPIC'!#REF!</definedName>
    <definedName name="C_2652_1281778">'[26]5.4 Bilan EPIC'!#REF!</definedName>
    <definedName name="C_2652_1281779">'[26]5.4 Bilan EPIC'!#REF!</definedName>
    <definedName name="C_2652_1281780">'[26]5.4 Bilan EPIC'!#REF!</definedName>
    <definedName name="C_2652_1281781">'[26]5.4 Bilan EPIC'!#REF!</definedName>
    <definedName name="C_2652_1281782">'[26]5.4 Bilan EPIC'!#REF!</definedName>
    <definedName name="C_2652_1281783">'[26]5.4 Bilan EPIC'!#REF!</definedName>
    <definedName name="C_2652_1281784">'[26]5.4 Bilan EPIC'!#REF!</definedName>
    <definedName name="C_2652_1281785">'[26]5.4 Bilan EPIC'!#REF!</definedName>
    <definedName name="C_2652_1281786">'[26]5.4 Bilan EPIC'!#REF!</definedName>
    <definedName name="C_2652_1281787">'[26]5.4 Bilan EPIC'!#REF!</definedName>
    <definedName name="C_2652_1281788">'[26]5.4 Bilan EPIC'!#REF!</definedName>
    <definedName name="C_2652_1281789">'[26]5.4 Bilan EPIC'!#REF!</definedName>
    <definedName name="C_2652_1281790">'[26]5.4 Bilan EPIC'!#REF!</definedName>
    <definedName name="C_2652_1281791">'[26]5.4 Bilan EPIC'!#REF!</definedName>
    <definedName name="C_2652_1281792">'[26]5.4 Bilan EPIC'!#REF!</definedName>
    <definedName name="C_2652_1281793">'[26]5.4 Bilan EPIC'!#REF!</definedName>
    <definedName name="C_2652_1281794">'[26]5.4 Bilan EPIC'!#REF!</definedName>
    <definedName name="C_2652_1281795">'[26]5.4 Bilan EPIC'!#REF!</definedName>
    <definedName name="C_2652_1281796">'[26]5.4 Bilan EPIC'!#REF!</definedName>
    <definedName name="C_2652_1281797">'[26]5.4 Bilan EPIC'!#REF!</definedName>
    <definedName name="C_2652_1281798">'[26]5.4 Bilan EPIC'!#REF!</definedName>
    <definedName name="C_2652_1281799">'[26]5.4 Bilan EPIC'!#REF!</definedName>
    <definedName name="C_2652_1281800">'[26]5.4 Bilan EPIC'!#REF!</definedName>
    <definedName name="C_2652_1281801">'[26]5.4 Bilan EPIC'!#REF!</definedName>
    <definedName name="C_2652_1281802">'[26]5.4 Bilan EPIC'!#REF!</definedName>
    <definedName name="C_2652_1281803">'[26]5.4 Bilan EPIC'!#REF!</definedName>
    <definedName name="C_2652_1281804">'[26]5.4 Bilan EPIC'!#REF!</definedName>
    <definedName name="C_2652_1281805">'[26]5.4 Bilan EPIC'!#REF!</definedName>
    <definedName name="C_2652_1281806">'[26]5.4 Bilan EPIC'!#REF!</definedName>
    <definedName name="C_2652_1281807">'[26]5.4 Bilan EPIC'!#REF!</definedName>
    <definedName name="C_2652_1281808">'[26]5.4 Bilan EPIC'!#REF!</definedName>
    <definedName name="C_2652_1281809">'[26]5.4 Bilan EPIC'!#REF!</definedName>
    <definedName name="C_2652_1281810">'[26]5.4 Bilan EPIC'!#REF!</definedName>
    <definedName name="C_2652_1281811">'[26]5.4 Bilan EPIC'!#REF!</definedName>
    <definedName name="C_2652_1281812">'[26]5.4 Bilan EPIC'!#REF!</definedName>
    <definedName name="C_2652_1281813">'[26]5.4 Bilan EPIC'!#REF!</definedName>
    <definedName name="C_2653_1281937">#REF!</definedName>
    <definedName name="C_2653_1281938">#REF!</definedName>
    <definedName name="C_2653_1281939">#REF!</definedName>
    <definedName name="C_2653_1281940">#REF!</definedName>
    <definedName name="C_2653_1281941">#REF!</definedName>
    <definedName name="C_2653_1281942">#REF!</definedName>
    <definedName name="C_2653_1281943">#REF!</definedName>
    <definedName name="C_2653_1281944">#REF!</definedName>
    <definedName name="C_2653_1281945">#REF!</definedName>
    <definedName name="C_2653_1281946">#REF!</definedName>
    <definedName name="C_2653_1281947">#REF!</definedName>
    <definedName name="C_2653_1281948">#REF!</definedName>
    <definedName name="C_2653_1281949">#REF!</definedName>
    <definedName name="C_2653_1281950">#REF!</definedName>
    <definedName name="C_2653_1281951">#REF!</definedName>
    <definedName name="C_2653_1281952">#REF!</definedName>
    <definedName name="C_2653_1281953">#REF!</definedName>
    <definedName name="C_2653_1281954">#REF!</definedName>
    <definedName name="C_2653_1281955">#REF!</definedName>
    <definedName name="C_2653_1281956">#REF!</definedName>
    <definedName name="C_2653_1281957">#REF!</definedName>
    <definedName name="C_2653_1281958">#REF!</definedName>
    <definedName name="C_2653_1281959">#REF!</definedName>
    <definedName name="C_2653_1281960">#REF!</definedName>
    <definedName name="C_2653_1281961">#REF!</definedName>
    <definedName name="C_2653_1281962">#REF!</definedName>
    <definedName name="C_2653_1281963">#REF!</definedName>
    <definedName name="C_2653_1281964">#REF!</definedName>
    <definedName name="C_2653_1281965">#REF!</definedName>
    <definedName name="C_2653_1281966">#REF!</definedName>
    <definedName name="C_2653_1281967">#REF!</definedName>
    <definedName name="C_2653_1284907">#REF!</definedName>
    <definedName name="C_2654_1281968">#REF!</definedName>
    <definedName name="C_2654_1281969">#REF!</definedName>
    <definedName name="C_2654_1281970">#REF!</definedName>
    <definedName name="C_2654_1281971">#REF!</definedName>
    <definedName name="C_2654_1281972">#REF!</definedName>
    <definedName name="C_2654_1281973">#REF!</definedName>
    <definedName name="C_2654_1281974">#REF!</definedName>
    <definedName name="C_2654_1281975">#REF!</definedName>
    <definedName name="C_2654_1281976">#REF!</definedName>
    <definedName name="C_2654_1281977">#REF!</definedName>
    <definedName name="C_2654_1281978">#REF!</definedName>
    <definedName name="C_2654_1281979">#REF!</definedName>
    <definedName name="C_2654_1281980">#REF!</definedName>
    <definedName name="C_2654_1281981">#REF!</definedName>
    <definedName name="C_2654_1281982">#REF!</definedName>
    <definedName name="C_2654_1281983">#REF!</definedName>
    <definedName name="C_2654_1281984">#REF!</definedName>
    <definedName name="C_2654_1281985">#REF!</definedName>
    <definedName name="C_2654_1281986">#REF!</definedName>
    <definedName name="C_2654_1281987">#REF!</definedName>
    <definedName name="C_2654_1281988">#REF!</definedName>
    <definedName name="C_2654_1281989">#REF!</definedName>
    <definedName name="C_2654_1281990">#REF!</definedName>
    <definedName name="C_2654_1281991">#REF!</definedName>
    <definedName name="C_2654_1281992">#REF!</definedName>
    <definedName name="C_2654_1281993">#REF!</definedName>
    <definedName name="C_2654_1281994">#REF!</definedName>
    <definedName name="C_2654_1281995">#REF!</definedName>
    <definedName name="C_2654_1281996">#REF!</definedName>
    <definedName name="C_2654_1281997">#REF!</definedName>
    <definedName name="C_2654_1281998">#REF!</definedName>
    <definedName name="C_2654_1281999">#REF!</definedName>
    <definedName name="C_2654_1282000">#REF!</definedName>
    <definedName name="C_2654_1282001">#REF!</definedName>
    <definedName name="C_2654_1282002">#REF!</definedName>
    <definedName name="C_2654_1282003">#REF!</definedName>
    <definedName name="C_2655_1282004">#REF!</definedName>
    <definedName name="C_2655_1282005">#REF!</definedName>
    <definedName name="C_2655_1282006">#REF!</definedName>
    <definedName name="C_2655_1282007">#REF!</definedName>
    <definedName name="C_2655_1282008">#REF!</definedName>
    <definedName name="C_2655_1282009">#REF!</definedName>
    <definedName name="C_2655_1282010">#REF!</definedName>
    <definedName name="C_2655_1282011">#REF!</definedName>
    <definedName name="C_2655_1282012">#REF!</definedName>
    <definedName name="C_2655_1282013">#REF!</definedName>
    <definedName name="C_2655_1282014">#REF!</definedName>
    <definedName name="C_2655_1282015">#REF!</definedName>
    <definedName name="C_2655_1282016">#REF!</definedName>
    <definedName name="C_2655_1282017">#REF!</definedName>
    <definedName name="C_2655_1282018">#REF!</definedName>
    <definedName name="C_2655_1282019">#REF!</definedName>
    <definedName name="C_2655_1282020">#REF!</definedName>
    <definedName name="C_2655_1282021">#REF!</definedName>
    <definedName name="C_2655_1282022">#REF!</definedName>
    <definedName name="C_2655_1282023">#REF!</definedName>
    <definedName name="C_2655_1282024">#REF!</definedName>
    <definedName name="C_2655_1282025">#REF!</definedName>
    <definedName name="C_2655_1282026">#REF!</definedName>
    <definedName name="C_2655_1282027">#REF!</definedName>
    <definedName name="C_2655_1282028">#REF!</definedName>
    <definedName name="C_2655_1282029">#REF!</definedName>
    <definedName name="C_2655_1282030">#REF!</definedName>
    <definedName name="C_2655_1282031">#REF!</definedName>
    <definedName name="C_2655_1282032">#REF!</definedName>
    <definedName name="C_2655_1282033">#REF!</definedName>
    <definedName name="C_2655_1282034">#REF!</definedName>
    <definedName name="C_2655_1282035">#REF!</definedName>
    <definedName name="C_2655_1282036">#REF!</definedName>
    <definedName name="C_2655_1282037">#REF!</definedName>
    <definedName name="C_2655_1282038">#REF!</definedName>
    <definedName name="C_2655_1282039">#REF!</definedName>
    <definedName name="C_2655_1282040">#REF!</definedName>
    <definedName name="C_2655_1282041">#REF!</definedName>
    <definedName name="C_2655_1282042">#REF!</definedName>
    <definedName name="C_2655_1282043">#REF!</definedName>
    <definedName name="C_2655_1282044">#REF!</definedName>
    <definedName name="C_2655_1282045">#REF!</definedName>
    <definedName name="C_2655_1282046">#REF!</definedName>
    <definedName name="C_2655_1282047">#REF!</definedName>
    <definedName name="C_2655_1282048">#REF!</definedName>
    <definedName name="C_2655_1282049">#REF!</definedName>
    <definedName name="C_2655_1282050">#REF!</definedName>
    <definedName name="C_2655_1282051">#REF!</definedName>
    <definedName name="C_2655_1282052">#REF!</definedName>
    <definedName name="C_2655_1282053">#REF!</definedName>
    <definedName name="C_2655_1282054">#REF!</definedName>
    <definedName name="C_2655_1282055">#REF!</definedName>
    <definedName name="C_2655_1282056">#REF!</definedName>
    <definedName name="C_2655_1282057">#REF!</definedName>
    <definedName name="C_2655_1282058">#REF!</definedName>
    <definedName name="C_2655_1282059">#REF!</definedName>
    <definedName name="C_2655_1282060">#REF!</definedName>
    <definedName name="C_2655_1282061">#REF!</definedName>
    <definedName name="C_2655_1282062">#REF!</definedName>
    <definedName name="C_2655_1282063">#REF!</definedName>
    <definedName name="C_2655_1282064">#REF!</definedName>
    <definedName name="C_2655_1282065">#REF!</definedName>
    <definedName name="C_2655_1282066">#REF!</definedName>
    <definedName name="C_2655_1282067">#REF!</definedName>
    <definedName name="C_2655_1282068">#REF!</definedName>
    <definedName name="C_2655_1282069">#REF!</definedName>
    <definedName name="C_2655_1282070">#REF!</definedName>
    <definedName name="C_2655_1282071">#REF!</definedName>
    <definedName name="C_2655_1282072">#REF!</definedName>
    <definedName name="C_2655_1282073">#REF!</definedName>
    <definedName name="C_2655_1282074">#REF!</definedName>
    <definedName name="C_2655_1282075">#REF!</definedName>
    <definedName name="C_2655_1282076">#REF!</definedName>
    <definedName name="C_2655_1282077">#REF!</definedName>
    <definedName name="C_2655_1282078">#REF!</definedName>
    <definedName name="C_2655_1282079">#REF!</definedName>
    <definedName name="C_2655_1282080">#REF!</definedName>
    <definedName name="C_2655_1282081">#REF!</definedName>
    <definedName name="C_2655_1282082">#REF!</definedName>
    <definedName name="C_2655_1282083">#REF!</definedName>
    <definedName name="C_2655_1282084">#REF!</definedName>
    <definedName name="C_2655_1282085">#REF!</definedName>
    <definedName name="C_2655_1282086">#REF!</definedName>
    <definedName name="C_2655_1282087">#REF!</definedName>
    <definedName name="C_2655_1282088">#REF!</definedName>
    <definedName name="C_2655_1282089">#REF!</definedName>
    <definedName name="C_2655_1282090">#REF!</definedName>
    <definedName name="C_2655_1282091">#REF!</definedName>
    <definedName name="C_2655_1282092">#REF!</definedName>
    <definedName name="C_2655_1282093">#REF!</definedName>
    <definedName name="C_2655_1282094">#REF!</definedName>
    <definedName name="C_2655_1282095">#REF!</definedName>
    <definedName name="C_2655_1282096">#REF!</definedName>
    <definedName name="C_2655_1282097">#REF!</definedName>
    <definedName name="C_2655_1282098">#REF!</definedName>
    <definedName name="C_2655_1282099">#REF!</definedName>
    <definedName name="C_2655_1282100">#REF!</definedName>
    <definedName name="C_2655_1282101">#REF!</definedName>
    <definedName name="C_2655_1282102">#REF!</definedName>
    <definedName name="C_2655_1282103">#REF!</definedName>
    <definedName name="C_2655_1282104">#REF!</definedName>
    <definedName name="C_2655_1282105">#REF!</definedName>
    <definedName name="C_2655_1282106">#REF!</definedName>
    <definedName name="C_2655_1282107">#REF!</definedName>
    <definedName name="C_2655_1282108">#REF!</definedName>
    <definedName name="C_2656_1282109">'[26]5.4 TFT EPIC'!#REF!</definedName>
    <definedName name="C_2656_1282110">'[26]5.4 TFT EPIC'!#REF!</definedName>
    <definedName name="C_2656_1282111">'[26]5.4 TFT EPIC'!#REF!</definedName>
    <definedName name="C_2656_1282112">'[26]5.4 TFT EPIC'!#REF!</definedName>
    <definedName name="C_2656_1282113">'[26]5.4 TFT EPIC'!#REF!</definedName>
    <definedName name="C_2656_1282114">'[26]5.4 TFT EPIC'!#REF!</definedName>
    <definedName name="C_2656_1282115">'[26]5.4 TFT EPIC'!#REF!</definedName>
    <definedName name="C_2656_1282116">'[26]5.4 TFT EPIC'!#REF!</definedName>
    <definedName name="C_2656_1282117">'[26]5.4 TFT EPIC'!#REF!</definedName>
    <definedName name="C_2656_1282118">'[26]5.4 TFT EPIC'!#REF!</definedName>
    <definedName name="C_2656_1282119">'[26]5.4 TFT EPIC'!#REF!</definedName>
    <definedName name="C_2656_1282120">'[26]5.4 TFT EPIC'!#REF!</definedName>
    <definedName name="C_2656_1282121">'[26]5.4 TFT EPIC'!#REF!</definedName>
    <definedName name="C_2656_1282122">'[26]5.4 TFT EPIC'!#REF!</definedName>
    <definedName name="C_2656_1282123">'[26]5.4 TFT EPIC'!#REF!</definedName>
    <definedName name="C_2656_1282124">'[26]5.4 TFT EPIC'!#REF!</definedName>
    <definedName name="C_2656_1282125">'[26]5.4 TFT EPIC'!#REF!</definedName>
    <definedName name="C_2656_1282126">'[26]5.4 TFT EPIC'!#REF!</definedName>
    <definedName name="C_2656_1282127">'[26]5.4 TFT EPIC'!#REF!</definedName>
    <definedName name="C_2656_1282128">'[26]5.4 TFT EPIC'!#REF!</definedName>
    <definedName name="C_2656_1282129">'[26]5.4 TFT EPIC'!#REF!</definedName>
    <definedName name="C_2656_1282130">'[26]5.4 TFT EPIC'!#REF!</definedName>
    <definedName name="C_2656_1282131">'[26]5.4 TFT EPIC'!#REF!</definedName>
    <definedName name="C_2656_1282132">'[26]5.4 TFT EPIC'!#REF!</definedName>
    <definedName name="C_2656_1282133">'[26]5.4 TFT EPIC'!#REF!</definedName>
    <definedName name="C_2656_1282134">'[26]5.4 TFT EPIC'!#REF!</definedName>
    <definedName name="C_2656_1282135">'[26]5.4 TFT EPIC'!#REF!</definedName>
    <definedName name="C_2656_1285006">'[26]5.4 TFT EPIC'!#REF!</definedName>
    <definedName name="C_2657_1282136">#REF!</definedName>
    <definedName name="C_2657_1282137">#REF!</definedName>
    <definedName name="C_2657_1282138">#REF!</definedName>
    <definedName name="C_2657_1282139">#REF!</definedName>
    <definedName name="C_2657_1282140">#REF!</definedName>
    <definedName name="C_2657_1282141">#REF!</definedName>
    <definedName name="C_2657_1282142">#REF!</definedName>
    <definedName name="C_2657_1282143">#REF!</definedName>
    <definedName name="C_2657_1282144">#REF!</definedName>
    <definedName name="C_2657_1282145">#REF!</definedName>
    <definedName name="C_2657_1282146">#REF!</definedName>
    <definedName name="C_2657_1282147">#REF!</definedName>
    <definedName name="C_2657_1282148">#REF!</definedName>
    <definedName name="C_2657_1282149">#REF!</definedName>
    <definedName name="C_2657_1282150">#REF!</definedName>
    <definedName name="C_2657_1282151">#REF!</definedName>
    <definedName name="C_2657_1282152">#REF!</definedName>
    <definedName name="C_2657_1282153">#REF!</definedName>
    <definedName name="C_2657_1282154">#REF!</definedName>
    <definedName name="C_2657_1282155">#REF!</definedName>
    <definedName name="C_2657_1282156">#REF!</definedName>
    <definedName name="C_2657_1282157">#REF!</definedName>
    <definedName name="C_2657_1282158">#REF!</definedName>
    <definedName name="C_2657_1282159">#REF!</definedName>
    <definedName name="C_2657_1282160">#REF!</definedName>
    <definedName name="C_2657_1282161">#REF!</definedName>
    <definedName name="C_2657_1282162">#REF!</definedName>
    <definedName name="C_2657_1282163">#REF!</definedName>
    <definedName name="C_2657_1282164">#REF!</definedName>
    <definedName name="C_2657_1282165">#REF!</definedName>
    <definedName name="C_2657_1282166">#REF!</definedName>
    <definedName name="C_2657_1282167">#REF!</definedName>
    <definedName name="C_2657_1282168">#REF!</definedName>
    <definedName name="C_2657_1282169">#REF!</definedName>
    <definedName name="C_2657_1282170">#REF!</definedName>
    <definedName name="C_2657_1282171">#REF!</definedName>
    <definedName name="C_2657_1282172">#REF!</definedName>
    <definedName name="C_2657_1282173">#REF!</definedName>
    <definedName name="C_2657_1282174">#REF!</definedName>
    <definedName name="C_2657_1282175">#REF!</definedName>
    <definedName name="C_2657_1282176">#REF!</definedName>
    <definedName name="C_2657_1282177">#REF!</definedName>
    <definedName name="C_2657_1282178">#REF!</definedName>
    <definedName name="C_2657_1282179">#REF!</definedName>
    <definedName name="C_2657_1282180">#REF!</definedName>
    <definedName name="C_2657_1282181">#REF!</definedName>
    <definedName name="C_2657_1282182">#REF!</definedName>
    <definedName name="C_2657_1282183">#REF!</definedName>
    <definedName name="C_2657_1282184">#REF!</definedName>
    <definedName name="C_2657_1282185">#REF!</definedName>
    <definedName name="C_2657_1282186">#REF!</definedName>
    <definedName name="C_2657_1282187">#REF!</definedName>
    <definedName name="C_2657_1282188">#REF!</definedName>
    <definedName name="C_2657_1282189">#REF!</definedName>
    <definedName name="C_2657_1282190">#REF!</definedName>
    <definedName name="C_2657_1282191">#REF!</definedName>
    <definedName name="C_2657_1282192">#REF!</definedName>
    <definedName name="C_2657_1282193">#REF!</definedName>
    <definedName name="C_2657_1282194">#REF!</definedName>
    <definedName name="C_2657_1282195">#REF!</definedName>
    <definedName name="C_2662_1282296">#REF!</definedName>
    <definedName name="C_2662_1282297">#REF!</definedName>
    <definedName name="C_2662_1282298">#REF!</definedName>
    <definedName name="C_2662_1282299">#REF!</definedName>
    <definedName name="C_2662_1282300">#REF!</definedName>
    <definedName name="C_2662_1282301">#REF!</definedName>
    <definedName name="C_2662_1282302">#REF!</definedName>
    <definedName name="C_2662_1282303">#REF!</definedName>
    <definedName name="C_2662_1282304">#REF!</definedName>
    <definedName name="C_2662_1282305">#REF!</definedName>
    <definedName name="C_2662_1282306">#REF!</definedName>
    <definedName name="C_2662_1282307">#REF!</definedName>
    <definedName name="C_2662_1282308">#REF!</definedName>
    <definedName name="C_2662_1282309">#REF!</definedName>
    <definedName name="C_2662_1282310">#REF!</definedName>
    <definedName name="C_2662_1282311">#REF!</definedName>
    <definedName name="C_2662_1282312">#REF!</definedName>
    <definedName name="C_2662_1282313">#REF!</definedName>
    <definedName name="C_2662_1282314">#REF!</definedName>
    <definedName name="C_2662_1282315">#REF!</definedName>
    <definedName name="C_2662_1282316">#REF!</definedName>
    <definedName name="C_2662_1282317">#REF!</definedName>
    <definedName name="C_2662_1282318">#REF!</definedName>
    <definedName name="C_2662_1282319">#REF!</definedName>
    <definedName name="C_2662_1282320">#REF!</definedName>
    <definedName name="C_2662_1282321">#REF!</definedName>
    <definedName name="C_2662_1282322">#REF!</definedName>
    <definedName name="C_2662_1282323">#REF!</definedName>
    <definedName name="C_2662_1282324">#REF!</definedName>
    <definedName name="C_2662_1282325">#REF!</definedName>
    <definedName name="C_2662_1282326">#REF!</definedName>
    <definedName name="C_2662_1282327">#REF!</definedName>
    <definedName name="C_2662_1282328">#REF!</definedName>
    <definedName name="C_2662_1282329">#REF!</definedName>
    <definedName name="C_2662_1282330">#REF!</definedName>
    <definedName name="C_2662_1282331">#REF!</definedName>
    <definedName name="C_2662_1282332">#REF!</definedName>
    <definedName name="C_2662_1282333">#REF!</definedName>
    <definedName name="C_2662_1282334">#REF!</definedName>
    <definedName name="C_2662_1282335">#REF!</definedName>
    <definedName name="C_2662_1282336">#REF!</definedName>
    <definedName name="C_2662_1282337">#REF!</definedName>
    <definedName name="C_2662_1282338">#REF!</definedName>
    <definedName name="C_2662_1282339">#REF!</definedName>
    <definedName name="C_2662_1282340">#REF!</definedName>
    <definedName name="C_2662_1282341">#REF!</definedName>
    <definedName name="C_2662_1282342">#REF!</definedName>
    <definedName name="C_2662_1282343">#REF!</definedName>
    <definedName name="C_2662_1282344">#REF!</definedName>
    <definedName name="C_2662_1282617">#REF!</definedName>
    <definedName name="C_2662_1282621">#REF!</definedName>
    <definedName name="C_2662_1282622">#REF!</definedName>
    <definedName name="C_2662_1282623">#REF!</definedName>
    <definedName name="C_2662_1282624">#REF!</definedName>
    <definedName name="C_2662_1282625">#REF!</definedName>
    <definedName name="C_2662_1282626">#REF!</definedName>
    <definedName name="C_2662_1282627">#REF!</definedName>
    <definedName name="C_2662_1282628">#REF!</definedName>
    <definedName name="C_2662_1282629">#REF!</definedName>
    <definedName name="C_2662_1282630">#REF!</definedName>
    <definedName name="C_2662_1282631">#REF!</definedName>
    <definedName name="C_2662_1282632">#REF!</definedName>
    <definedName name="C_2662_1282633">#REF!</definedName>
    <definedName name="C_2662_1282634">#REF!</definedName>
    <definedName name="C_2662_1282635">#REF!</definedName>
    <definedName name="C_2662_1282636">#REF!</definedName>
    <definedName name="C_2662_1282637">#REF!</definedName>
    <definedName name="C_2662_1282638">#REF!</definedName>
    <definedName name="C_2662_1282639">#REF!</definedName>
    <definedName name="C_2662_1282640">#REF!</definedName>
    <definedName name="C_2662_1282641">#REF!</definedName>
    <definedName name="C_2662_1282642">#REF!</definedName>
    <definedName name="C_2663_1282346">#REF!</definedName>
    <definedName name="C_2663_1282347">#REF!</definedName>
    <definedName name="C_2663_1282348">#REF!</definedName>
    <definedName name="C_2663_1282349">#REF!</definedName>
    <definedName name="C_2663_1282350">#REF!</definedName>
    <definedName name="C_2663_1282351">#REF!</definedName>
    <definedName name="C_2663_1282352">#REF!</definedName>
    <definedName name="C_2663_1282353">#REF!</definedName>
    <definedName name="C_2663_1282354">#REF!</definedName>
    <definedName name="C_2663_1282355">#REF!</definedName>
    <definedName name="C_2663_1282356">#REF!</definedName>
    <definedName name="C_2663_1282357">#REF!</definedName>
    <definedName name="C_2663_1282358">#REF!</definedName>
    <definedName name="C_2663_1282359">#REF!</definedName>
    <definedName name="C_2663_1282360">#REF!</definedName>
    <definedName name="C_2663_1282361">#REF!</definedName>
    <definedName name="C_2663_1282362">#REF!</definedName>
    <definedName name="C_2663_1282363">#REF!</definedName>
    <definedName name="C_2663_1282364">#REF!</definedName>
    <definedName name="C_2663_1282365">#REF!</definedName>
    <definedName name="C_2664_1282367">#REF!</definedName>
    <definedName name="C_2664_1282368">#REF!</definedName>
    <definedName name="C_2664_1282369">#REF!</definedName>
    <definedName name="C_2664_1282370">#REF!</definedName>
    <definedName name="C_2664_1282371">#REF!</definedName>
    <definedName name="C_2664_1282372">#REF!</definedName>
    <definedName name="C_2664_1282373">#REF!</definedName>
    <definedName name="C_2664_1282374">#REF!</definedName>
    <definedName name="C_2664_1282375">#REF!</definedName>
    <definedName name="C_2664_1282376">#REF!</definedName>
    <definedName name="C_2664_1282377">#REF!</definedName>
    <definedName name="C_2664_1282378">#REF!</definedName>
    <definedName name="C_2664_1282379">#REF!</definedName>
    <definedName name="C_2664_1282380">#REF!</definedName>
    <definedName name="C_2664_1282381">#REF!</definedName>
    <definedName name="C_2664_1282382">#REF!</definedName>
    <definedName name="C_2664_1282383">#REF!</definedName>
    <definedName name="C_2664_1282384">#REF!</definedName>
    <definedName name="C_2664_1282385">#REF!</definedName>
    <definedName name="C_2664_1282386">#REF!</definedName>
    <definedName name="C_2664_1282387">#REF!</definedName>
    <definedName name="C_2664_1282388">#REF!</definedName>
    <definedName name="C_2664_1282389">#REF!</definedName>
    <definedName name="C_2664_1282390">#REF!</definedName>
    <definedName name="C_2664_1282391">#REF!</definedName>
    <definedName name="C_2664_1282392">#REF!</definedName>
    <definedName name="C_2664_1282393">#REF!</definedName>
    <definedName name="C_2664_1282394">#REF!</definedName>
    <definedName name="C_2664_1282395">#REF!</definedName>
    <definedName name="C_2664_1282396">#REF!</definedName>
    <definedName name="C_2664_1282397">#REF!</definedName>
    <definedName name="C_2664_1282398">#REF!</definedName>
    <definedName name="C_2664_1282399">#REF!</definedName>
    <definedName name="C_2664_1282400">#REF!</definedName>
    <definedName name="C_2664_1282401">#REF!</definedName>
    <definedName name="C_2664_1282402">#REF!</definedName>
    <definedName name="C_2664_1282403">#REF!</definedName>
    <definedName name="C_2664_1282404">#REF!</definedName>
    <definedName name="C_2664_1282405">#REF!</definedName>
    <definedName name="C_2664_1282406">#REF!</definedName>
    <definedName name="C_2664_1282407">#REF!</definedName>
    <definedName name="C_2664_1282408">#REF!</definedName>
    <definedName name="C_2664_1282409">#REF!</definedName>
    <definedName name="C_2664_1282410">#REF!</definedName>
    <definedName name="C_2664_1282411">#REF!</definedName>
    <definedName name="C_2664_1282412">#REF!</definedName>
    <definedName name="C_2664_1282413">#REF!</definedName>
    <definedName name="C_2664_1282414">#REF!</definedName>
    <definedName name="C_2664_1282415">#REF!</definedName>
    <definedName name="C_2664_1282416">#REF!</definedName>
    <definedName name="C_2666_1282417">#REF!</definedName>
    <definedName name="C_2666_1282418">#REF!</definedName>
    <definedName name="C_2666_1282419">#REF!</definedName>
    <definedName name="C_2666_1282420">#REF!</definedName>
    <definedName name="C_2666_1282421">#REF!</definedName>
    <definedName name="C_2666_1282422">#REF!</definedName>
    <definedName name="C_2666_1282423">#REF!</definedName>
    <definedName name="C_2666_1282424">#REF!</definedName>
    <definedName name="C_2666_1282425">#REF!</definedName>
    <definedName name="C_2666_1282426">#REF!</definedName>
    <definedName name="C_2666_1282427">#REF!</definedName>
    <definedName name="C_2666_1282428">#REF!</definedName>
    <definedName name="C_2666_1282429">#REF!</definedName>
    <definedName name="C_2666_1282430">#REF!</definedName>
    <definedName name="C_2666_1282431">#REF!</definedName>
    <definedName name="C_2666_1282432">#REF!</definedName>
    <definedName name="C_2666_1282433">#REF!</definedName>
    <definedName name="C_2666_1282434">#REF!</definedName>
    <definedName name="C_2666_1282435">#REF!</definedName>
    <definedName name="C_2666_1282436">#REF!</definedName>
    <definedName name="C_2666_1282437">#REF!</definedName>
    <definedName name="C_2666_1282438">#REF!</definedName>
    <definedName name="C_2666_1282439">#REF!</definedName>
    <definedName name="C_2666_1282440">#REF!</definedName>
    <definedName name="C_2666_1282441">#REF!</definedName>
    <definedName name="C_2666_1282442">#REF!</definedName>
    <definedName name="C_2666_1282443">#REF!</definedName>
    <definedName name="C_2666_1282444">#REF!</definedName>
    <definedName name="C_2666_1282445">#REF!</definedName>
    <definedName name="C_2666_1282446">#REF!</definedName>
    <definedName name="C_2666_1282447">#REF!</definedName>
    <definedName name="C_2666_1282448">#REF!</definedName>
    <definedName name="C_2666_1282449">#REF!</definedName>
    <definedName name="C_2666_1282450">#REF!</definedName>
    <definedName name="C_2666_1282451">#REF!</definedName>
    <definedName name="C_2666_1282452">#REF!</definedName>
    <definedName name="C_2666_1282453">#REF!</definedName>
    <definedName name="C_2666_1282454">#REF!</definedName>
    <definedName name="C_2666_1282455">#REF!</definedName>
    <definedName name="C_2666_1282456">#REF!</definedName>
    <definedName name="C_2666_1282457">#REF!</definedName>
    <definedName name="C_2666_1282458">#REF!</definedName>
    <definedName name="C_2666_1282459">#REF!</definedName>
    <definedName name="C_2666_1282460">#REF!</definedName>
    <definedName name="C_2666_1282461">#REF!</definedName>
    <definedName name="C_2666_1282462">#REF!</definedName>
    <definedName name="C_2666_1282463">#REF!</definedName>
    <definedName name="C_2666_1282464">#REF!</definedName>
    <definedName name="C_2666_1282465">#REF!</definedName>
    <definedName name="C_2666_1282466">#REF!</definedName>
    <definedName name="C_2666_1282467">#REF!</definedName>
    <definedName name="C_2666_1282468">#REF!</definedName>
    <definedName name="C_2666_1282469">#REF!</definedName>
    <definedName name="C_2666_1282470">#REF!</definedName>
    <definedName name="C_2666_1282471">#REF!</definedName>
    <definedName name="C_2666_1282472">#REF!</definedName>
    <definedName name="C_2666_1282473">#REF!</definedName>
    <definedName name="C_2666_1282474">#REF!</definedName>
    <definedName name="C_2666_1282475">#REF!</definedName>
    <definedName name="C_2666_1282476">#REF!</definedName>
    <definedName name="C_2666_1282477">#REF!</definedName>
    <definedName name="C_2666_1282478">#REF!</definedName>
    <definedName name="C_2666_1282479">#REF!</definedName>
    <definedName name="C_2666_1282480">#REF!</definedName>
    <definedName name="C_2666_1282481">#REF!</definedName>
    <definedName name="C_2666_1282482">#REF!</definedName>
    <definedName name="C_2666_1282483">#REF!</definedName>
    <definedName name="C_2666_1282484">#REF!</definedName>
    <definedName name="C_2666_1282485">#REF!</definedName>
    <definedName name="C_2666_1282486">#REF!</definedName>
    <definedName name="C_2666_1282487">#REF!</definedName>
    <definedName name="C_2666_1282488">#REF!</definedName>
    <definedName name="C_2666_1282489">#REF!</definedName>
    <definedName name="C_2666_1282490">#REF!</definedName>
    <definedName name="C_2666_1282491">#REF!</definedName>
    <definedName name="C_2666_1282492">#REF!</definedName>
    <definedName name="C_2666_1282493">#REF!</definedName>
    <definedName name="C_2666_1282494">#REF!</definedName>
    <definedName name="C_2666_1282495">#REF!</definedName>
    <definedName name="C_2666_1282496">#REF!</definedName>
    <definedName name="C_2667_1282497">#REF!</definedName>
    <definedName name="C_2667_1282498">#REF!</definedName>
    <definedName name="C_2667_1282499">#REF!</definedName>
    <definedName name="C_2667_1282500">#REF!</definedName>
    <definedName name="C_2667_1282501">#REF!</definedName>
    <definedName name="C_2667_1282502">#REF!</definedName>
    <definedName name="C_2667_1282503">#REF!</definedName>
    <definedName name="C_2667_1282504">#REF!</definedName>
    <definedName name="C_2667_1282505">#REF!</definedName>
    <definedName name="C_2667_1282506">#REF!</definedName>
    <definedName name="C_2667_1282507">#REF!</definedName>
    <definedName name="C_2667_1282508">#REF!</definedName>
    <definedName name="C_2668_1282509">#REF!</definedName>
    <definedName name="C_2668_1282510">#REF!</definedName>
    <definedName name="C_2668_1282511">#REF!</definedName>
    <definedName name="C_2668_1282512">#REF!</definedName>
    <definedName name="C_2668_1282513">#REF!</definedName>
    <definedName name="C_2668_1282514">#REF!</definedName>
    <definedName name="C_2668_1282515">#REF!</definedName>
    <definedName name="C_2668_1282516">#REF!</definedName>
    <definedName name="C_2668_1282517">#REF!</definedName>
    <definedName name="C_2668_1282518">#REF!</definedName>
    <definedName name="C_2668_1282519">#REF!</definedName>
    <definedName name="C_2668_1282520">#REF!</definedName>
    <definedName name="C_2668_1282521">#REF!</definedName>
    <definedName name="C_2668_1282522">#REF!</definedName>
    <definedName name="C_2668_1282523">#REF!</definedName>
    <definedName name="C_2668_1282524">#REF!</definedName>
    <definedName name="C_2668_1282525">#REF!</definedName>
    <definedName name="C_2668_1282526">#REF!</definedName>
    <definedName name="C_2668_1282527">#REF!</definedName>
    <definedName name="C_2668_1282528">#REF!</definedName>
    <definedName name="C_2668_1282529">#REF!</definedName>
    <definedName name="C_2668_1282530">#REF!</definedName>
    <definedName name="C_2668_1282531">#REF!</definedName>
    <definedName name="C_2668_1282532">#REF!</definedName>
    <definedName name="C_2668_1282533">#REF!</definedName>
    <definedName name="C_2668_1282534">#REF!</definedName>
    <definedName name="C_2668_1282535">#REF!</definedName>
    <definedName name="C_2668_1282536">#REF!</definedName>
    <definedName name="C_2668_1282537">#REF!</definedName>
    <definedName name="C_2668_1282538">#REF!</definedName>
    <definedName name="C_2668_1282539">#REF!</definedName>
    <definedName name="C_2668_1282540">#REF!</definedName>
    <definedName name="C_2668_1282541">#REF!</definedName>
    <definedName name="C_2668_1282542">#REF!</definedName>
    <definedName name="C_2668_1282543">#REF!</definedName>
    <definedName name="C_2668_1282544">#REF!</definedName>
    <definedName name="C_2668_1282545">#REF!</definedName>
    <definedName name="C_2668_1282546">#REF!</definedName>
    <definedName name="C_2668_1282547">#REF!</definedName>
    <definedName name="C_2668_1282548">#REF!</definedName>
    <definedName name="C_2668_1282549">#REF!</definedName>
    <definedName name="C_2668_1282550">#REF!</definedName>
    <definedName name="C_2668_1282551">#REF!</definedName>
    <definedName name="C_2668_1282552">#REF!</definedName>
    <definedName name="C_2668_1282553">#REF!</definedName>
    <definedName name="C_2668_1282554">#REF!</definedName>
    <definedName name="C_2668_1282555">#REF!</definedName>
    <definedName name="C_2668_1282556">#REF!</definedName>
    <definedName name="C_2668_1282557">#REF!</definedName>
    <definedName name="C_2668_1282558">#REF!</definedName>
    <definedName name="C_2668_1282559">#REF!</definedName>
    <definedName name="C_2668_1282560">#REF!</definedName>
    <definedName name="C_2668_1282561">#REF!</definedName>
    <definedName name="C_2668_1282562">#REF!</definedName>
    <definedName name="C_2668_1282563">#REF!</definedName>
    <definedName name="C_2668_1282564">#REF!</definedName>
    <definedName name="C_2668_1282565">#REF!</definedName>
    <definedName name="C_2668_1282566">#REF!</definedName>
    <definedName name="C_2668_1282567">#REF!</definedName>
    <definedName name="C_2668_1282568">#REF!</definedName>
    <definedName name="C_2668_1282569">#REF!</definedName>
    <definedName name="C_2668_1282570">#REF!</definedName>
    <definedName name="C_2668_1282571">#REF!</definedName>
    <definedName name="C_2668_1282572">#REF!</definedName>
    <definedName name="C_2668_1282573">#REF!</definedName>
    <definedName name="C_2668_1282574">#REF!</definedName>
    <definedName name="C_2668_1282575">#REF!</definedName>
    <definedName name="C_2668_1282576">#REF!</definedName>
    <definedName name="C_2668_1282577">#REF!</definedName>
    <definedName name="C_2668_1282578">#REF!</definedName>
    <definedName name="C_2668_1282579">#REF!</definedName>
    <definedName name="C_2668_1282580">#REF!</definedName>
    <definedName name="C_2668_1282581">#REF!</definedName>
    <definedName name="C_2668_1282582">#REF!</definedName>
    <definedName name="C_2668_1282583">#REF!</definedName>
    <definedName name="C_2668_1282584">#REF!</definedName>
    <definedName name="C_2668_1282585">#REF!</definedName>
    <definedName name="C_2668_1282586">#REF!</definedName>
    <definedName name="C_2668_1282587">#REF!</definedName>
    <definedName name="C_2668_1282588">#REF!</definedName>
    <definedName name="C_2668_1282589">#REF!</definedName>
    <definedName name="C_2668_1282590">#REF!</definedName>
    <definedName name="C_2668_1282591">#REF!</definedName>
    <definedName name="C_2668_1282592">#REF!</definedName>
    <definedName name="C_2668_1282593">#REF!</definedName>
    <definedName name="C_2668_1282594">#REF!</definedName>
    <definedName name="C_2668_1282595">#REF!</definedName>
    <definedName name="C_2668_1282596">#REF!</definedName>
    <definedName name="C_2668_1282597">#REF!</definedName>
    <definedName name="C_2668_1282598">#REF!</definedName>
    <definedName name="C_2668_1282599">#REF!</definedName>
    <definedName name="C_2668_1282600">#REF!</definedName>
    <definedName name="C_2668_1282601">#REF!</definedName>
    <definedName name="C_2668_1282602">#REF!</definedName>
    <definedName name="C_2668_1282603">#REF!</definedName>
    <definedName name="C_2668_1282604">#REF!</definedName>
    <definedName name="C_2668_1282605">#REF!</definedName>
    <definedName name="C_2668_1282606">#REF!</definedName>
    <definedName name="C_2668_1282607">#REF!</definedName>
    <definedName name="C_2668_1282608">#REF!</definedName>
    <definedName name="C_2668_1282609">#REF!</definedName>
    <definedName name="C_2668_1282610">#REF!</definedName>
    <definedName name="C_2668_1282611">#REF!</definedName>
    <definedName name="C_2668_1282612">#REF!</definedName>
    <definedName name="C_2668_1282613">#REF!</definedName>
    <definedName name="C_2668_1282614">#REF!</definedName>
    <definedName name="C_2668_1282615">#REF!</definedName>
    <definedName name="C_2668_1282616">#REF!</definedName>
    <definedName name="C_2670_1282679">#REF!</definedName>
    <definedName name="C_2670_1282680">#REF!</definedName>
    <definedName name="C_2670_1282681">#REF!</definedName>
    <definedName name="C_2670_1282682">#REF!</definedName>
    <definedName name="C_2670_1282683">#REF!</definedName>
    <definedName name="C_2670_1282684">#REF!</definedName>
    <definedName name="C_2670_1282685">#REF!</definedName>
    <definedName name="C_2670_1282686">#REF!</definedName>
    <definedName name="C_2670_1282687">#REF!</definedName>
    <definedName name="C_2670_1282688">#REF!</definedName>
    <definedName name="C_2670_1282689">#REF!</definedName>
    <definedName name="C_2670_1282690">#REF!</definedName>
    <definedName name="C_2670_1282691">#REF!</definedName>
    <definedName name="C_2670_1282692">#REF!</definedName>
    <definedName name="C_2670_1282693">#REF!</definedName>
    <definedName name="C_2670_1282694">#REF!</definedName>
    <definedName name="C_2670_1282695">#REF!</definedName>
    <definedName name="C_2670_1282696">#REF!</definedName>
    <definedName name="C_2670_1282697">#REF!</definedName>
    <definedName name="C_2670_1282698">#REF!</definedName>
    <definedName name="C_2670_1282699">#REF!</definedName>
    <definedName name="C_2670_1282700">#REF!</definedName>
    <definedName name="C_2670_1282701">#REF!</definedName>
    <definedName name="C_2670_1282702">#REF!</definedName>
    <definedName name="C_2671_1282703">#REF!</definedName>
    <definedName name="C_2671_1282704">#REF!</definedName>
    <definedName name="C_2671_1282705">#REF!</definedName>
    <definedName name="C_2671_1282706">#REF!</definedName>
    <definedName name="C_2671_1282707">#REF!</definedName>
    <definedName name="C_2671_1282708">#REF!</definedName>
    <definedName name="C_2671_1282709">#REF!</definedName>
    <definedName name="C_2671_1282710">#REF!</definedName>
    <definedName name="C_2671_1282711">#REF!</definedName>
    <definedName name="C_2671_1282712">#REF!</definedName>
    <definedName name="C_2671_1282713">#REF!</definedName>
    <definedName name="C_2671_1282714">#REF!</definedName>
    <definedName name="C_2671_1282715">#REF!</definedName>
    <definedName name="C_2671_1282716">#REF!</definedName>
    <definedName name="C_2671_1282717">#REF!</definedName>
    <definedName name="C_2671_1282718">#REF!</definedName>
    <definedName name="C_2671_1282719">#REF!</definedName>
    <definedName name="C_2671_1282720">#REF!</definedName>
    <definedName name="C_2672_1282721">#REF!</definedName>
    <definedName name="C_2672_1282722">#REF!</definedName>
    <definedName name="C_2672_1282723">#REF!</definedName>
    <definedName name="C_2672_1282724">#REF!</definedName>
    <definedName name="C_2673_1282725">#REF!</definedName>
    <definedName name="C_2673_1282726">#REF!</definedName>
    <definedName name="C_2674_1282727">#REF!</definedName>
    <definedName name="C_2674_1282728">#REF!</definedName>
    <definedName name="C_2674_1282729">#REF!</definedName>
    <definedName name="C_2674_1282730">#REF!</definedName>
    <definedName name="C_2674_1282731">#REF!</definedName>
    <definedName name="C_2675_1282732">#REF!</definedName>
    <definedName name="C_2675_1282733">#REF!</definedName>
    <definedName name="C_2675_1282734">#REF!</definedName>
    <definedName name="C_2675_1282735">#REF!</definedName>
    <definedName name="C_2675_1282736">#REF!</definedName>
    <definedName name="C_2675_1282737">#REF!</definedName>
    <definedName name="C_2675_1282738">#REF!</definedName>
    <definedName name="C_2675_1282739">#REF!</definedName>
    <definedName name="C_2675_1282740">#REF!</definedName>
    <definedName name="C_2675_1282741">#REF!</definedName>
    <definedName name="C_2676_1282742">#REF!</definedName>
    <definedName name="C_2676_1282743">#REF!</definedName>
    <definedName name="C_2676_1282744">#REF!</definedName>
    <definedName name="C_2676_1282745">#REF!</definedName>
    <definedName name="C_2676_1282746">#REF!</definedName>
    <definedName name="C_2677_1282747">#REF!</definedName>
    <definedName name="C_2677_1282748">#REF!</definedName>
    <definedName name="C_2677_1282749">#REF!</definedName>
    <definedName name="C_2677_1282750">#REF!</definedName>
    <definedName name="C_2677_1282751">#REF!</definedName>
    <definedName name="C_2677_1282752">#REF!</definedName>
    <definedName name="C_2677_1282753">#REF!</definedName>
    <definedName name="C_2677_1282754">#REF!</definedName>
    <definedName name="C_2677_1282755">#REF!</definedName>
    <definedName name="C_2677_1282756">#REF!</definedName>
    <definedName name="C_2677_1282757">#REF!</definedName>
    <definedName name="C_2677_1282758">#REF!</definedName>
    <definedName name="C_2677_1282759">#REF!</definedName>
    <definedName name="C_2677_1282760">#REF!</definedName>
    <definedName name="C_2677_1282761">#REF!</definedName>
    <definedName name="C_2677_1282762">#REF!</definedName>
    <definedName name="C_2677_1282763">#REF!</definedName>
    <definedName name="C_2677_1282764">#REF!</definedName>
    <definedName name="C_2679_1282771">#REF!</definedName>
    <definedName name="C_2679_1282772">#REF!</definedName>
    <definedName name="C_2679_1282773">#REF!</definedName>
    <definedName name="C_2679_1282774">#REF!</definedName>
    <definedName name="C_2679_1282775">#REF!</definedName>
    <definedName name="C_2679_1282776">#REF!</definedName>
    <definedName name="C_2679_1282777">#REF!</definedName>
    <definedName name="C_2679_1282778">#REF!</definedName>
    <definedName name="C_2679_1282779">#REF!</definedName>
    <definedName name="C_2679_1282780">#REF!</definedName>
    <definedName name="C_2679_1282831">#REF!</definedName>
    <definedName name="C_2681_1282790">#REF!</definedName>
    <definedName name="C_2681_1282791">#REF!</definedName>
    <definedName name="C_2681_1282792">#REF!</definedName>
    <definedName name="C_2681_1282793">#REF!</definedName>
    <definedName name="C_2681_1282794">#REF!</definedName>
    <definedName name="C_2681_1282795">#REF!</definedName>
    <definedName name="C_2681_1282796">#REF!</definedName>
    <definedName name="C_2681_1282797">#REF!</definedName>
    <definedName name="C_2681_1282798">#REF!</definedName>
    <definedName name="C_2681_1282799">#REF!</definedName>
    <definedName name="C_2681_1282800">#REF!</definedName>
    <definedName name="C_2681_1282801">#REF!</definedName>
    <definedName name="C_2681_1282802">#REF!</definedName>
    <definedName name="C_2681_1282803">#REF!</definedName>
    <definedName name="C_2681_1282804">#REF!</definedName>
    <definedName name="C_2681_1282805">#REF!</definedName>
    <definedName name="C_2681_1282806">#REF!</definedName>
    <definedName name="C_2681_1282807">#REF!</definedName>
    <definedName name="C_2681_1282808">#REF!</definedName>
    <definedName name="C_2681_1282809">#REF!</definedName>
    <definedName name="C_2681_1282810">#REF!</definedName>
    <definedName name="C_2681_1282811">#REF!</definedName>
    <definedName name="C_2681_1282812">#REF!</definedName>
    <definedName name="C_2681_1282813">#REF!</definedName>
    <definedName name="C_2682_1282814">#REF!</definedName>
    <definedName name="C_2682_1282815">#REF!</definedName>
    <definedName name="C_2682_1282816">#REF!</definedName>
    <definedName name="C_2682_1282817">#REF!</definedName>
    <definedName name="C_2682_1282818">#REF!</definedName>
    <definedName name="C_2682_1282819">#REF!</definedName>
    <definedName name="C_2682_1282820">#REF!</definedName>
    <definedName name="C_2682_1282821">#REF!</definedName>
    <definedName name="C_2682_1282822">#REF!</definedName>
    <definedName name="C_2682_1282823">#REF!</definedName>
    <definedName name="C_2682_1282824">#REF!</definedName>
    <definedName name="C_2682_1282825">#REF!</definedName>
    <definedName name="C_2683_1282826">#REF!</definedName>
    <definedName name="C_2683_1282827">#REF!</definedName>
    <definedName name="C_2683_1282828">#REF!</definedName>
    <definedName name="C_2683_1282829">#REF!</definedName>
    <definedName name="C_2683_1282830">#REF!</definedName>
    <definedName name="C_2687_1284009">#REF!</definedName>
    <definedName name="C_2687_1284010">#REF!</definedName>
    <definedName name="C_2687_1284011">#REF!</definedName>
    <definedName name="C_2687_1284012">#REF!</definedName>
    <definedName name="C_2687_1284013">#REF!</definedName>
    <definedName name="C_2687_1284014">#REF!</definedName>
    <definedName name="C_2687_1284015">#REF!</definedName>
    <definedName name="C_2687_1284016">#REF!</definedName>
    <definedName name="C_2687_1284017">#REF!</definedName>
    <definedName name="C_2687_1284018">#REF!</definedName>
    <definedName name="C_2687_1284019">#REF!</definedName>
    <definedName name="C_2687_1284020">#REF!</definedName>
    <definedName name="C_2687_1284021">#REF!</definedName>
    <definedName name="C_2687_1284022">#REF!</definedName>
    <definedName name="C_2687_1284023">#REF!</definedName>
    <definedName name="C_2687_1284024">#REF!</definedName>
    <definedName name="C_2687_1284025">#REF!</definedName>
    <definedName name="C_2687_1284026">#REF!</definedName>
    <definedName name="C_2687_1284027">#REF!</definedName>
    <definedName name="C_2687_1284028">#REF!</definedName>
    <definedName name="C_2687_1284029">#REF!</definedName>
    <definedName name="C_2687_1284030">#REF!</definedName>
    <definedName name="C_2687_1284031">#REF!</definedName>
    <definedName name="C_2687_1284032">#REF!</definedName>
    <definedName name="C_2687_1284033">#REF!</definedName>
    <definedName name="C_2687_1284034">#REF!</definedName>
    <definedName name="C_2687_1284035">#REF!</definedName>
    <definedName name="C_2687_1284036">#REF!</definedName>
    <definedName name="C_2687_1284037">#REF!</definedName>
    <definedName name="C_2687_1284038">#REF!</definedName>
    <definedName name="C_2687_1284039">#REF!</definedName>
    <definedName name="C_2687_1284040">#REF!</definedName>
    <definedName name="C_2687_1284041">#REF!</definedName>
    <definedName name="C_2687_1284042">#REF!</definedName>
    <definedName name="C_2687_1284043">#REF!</definedName>
    <definedName name="C_2687_1284044">#REF!</definedName>
    <definedName name="C_2687_1284045">#REF!</definedName>
    <definedName name="C_2687_1284046">#REF!</definedName>
    <definedName name="C_2687_1284047">#REF!</definedName>
    <definedName name="C_2687_1284048">#REF!</definedName>
    <definedName name="C_2687_1284049">#REF!</definedName>
    <definedName name="C_2687_1284050">#REF!</definedName>
    <definedName name="C_2687_1284051">#REF!</definedName>
    <definedName name="C_2687_1284052">#REF!</definedName>
    <definedName name="C_2687_1284053">#REF!</definedName>
    <definedName name="C_2687_1284054">#REF!</definedName>
    <definedName name="C_2687_1284055">#REF!</definedName>
    <definedName name="C_2687_1284056">#REF!</definedName>
    <definedName name="C_2687_1284057">#REF!</definedName>
    <definedName name="C_2687_1284058">#REF!</definedName>
    <definedName name="C_2687_1284059">#REF!</definedName>
    <definedName name="C_2687_1284060">#REF!</definedName>
    <definedName name="C_2687_1284061">#REF!</definedName>
    <definedName name="C_2687_1284062">#REF!</definedName>
    <definedName name="C_2687_1284063">#REF!</definedName>
    <definedName name="C_2687_1284064">#REF!</definedName>
    <definedName name="C_2687_1284065">#REF!</definedName>
    <definedName name="C_2687_1284066">#REF!</definedName>
    <definedName name="C_2687_1284067">#REF!</definedName>
    <definedName name="C_2687_1284068">#REF!</definedName>
    <definedName name="C_2687_1284069">#REF!</definedName>
    <definedName name="C_2687_1284070">#REF!</definedName>
    <definedName name="C_2687_1284071">#REF!</definedName>
    <definedName name="C_2687_1284072">#REF!</definedName>
    <definedName name="C_2687_1284073">#REF!</definedName>
    <definedName name="C_2687_1284074">#REF!</definedName>
    <definedName name="C_2687_1284075">#REF!</definedName>
    <definedName name="C_2687_1284076">#REF!</definedName>
    <definedName name="C_2687_1284077">#REF!</definedName>
    <definedName name="C_2687_1284078">#REF!</definedName>
    <definedName name="C_2687_1284079">#REF!</definedName>
    <definedName name="C_2687_1284080">#REF!</definedName>
    <definedName name="C_2687_1284081">#REF!</definedName>
    <definedName name="C_2687_1284082">#REF!</definedName>
    <definedName name="C_2687_1284083">#REF!</definedName>
    <definedName name="C_2687_1284084">#REF!</definedName>
    <definedName name="C_2687_1284085">#REF!</definedName>
    <definedName name="C_2687_1284086">#REF!</definedName>
    <definedName name="C_2687_1284087">#REF!</definedName>
    <definedName name="C_2687_1284088">#REF!</definedName>
    <definedName name="C_2687_1284089">#REF!</definedName>
    <definedName name="C_2687_1284090">#REF!</definedName>
    <definedName name="C_2687_1284091">#REF!</definedName>
    <definedName name="C_2687_1284092">#REF!</definedName>
    <definedName name="C_2687_1284093">#REF!</definedName>
    <definedName name="C_2687_1284094">#REF!</definedName>
    <definedName name="C_2687_1284095">#REF!</definedName>
    <definedName name="C_2687_1284096">#REF!</definedName>
    <definedName name="C_2687_1284097">#REF!</definedName>
    <definedName name="C_2687_1284098">#REF!</definedName>
    <definedName name="C_2687_1284099">#REF!</definedName>
    <definedName name="C_2687_1284100">#REF!</definedName>
    <definedName name="C_2687_1284101">#REF!</definedName>
    <definedName name="C_2687_1284102">#REF!</definedName>
    <definedName name="C_2687_1284103">#REF!</definedName>
    <definedName name="C_2687_1284104">#REF!</definedName>
    <definedName name="C_2687_1284105">#REF!</definedName>
    <definedName name="C_2687_1284106">#REF!</definedName>
    <definedName name="C_2687_1284107">#REF!</definedName>
    <definedName name="C_2687_1284108">#REF!</definedName>
    <definedName name="C_2689_1284194">#REF!</definedName>
    <definedName name="C_2689_1284195">#REF!</definedName>
    <definedName name="C_2689_1284196">#REF!</definedName>
    <definedName name="C_2689_1284197">#REF!</definedName>
    <definedName name="C_2689_1284198">#REF!</definedName>
    <definedName name="C_2689_1284199">#REF!</definedName>
    <definedName name="C_2689_1284200">#REF!</definedName>
    <definedName name="C_2689_1284201">#REF!</definedName>
    <definedName name="C_2689_1284202">#REF!</definedName>
    <definedName name="C_2689_1284203">#REF!</definedName>
    <definedName name="C_2689_1284204">#REF!</definedName>
    <definedName name="C_2689_1284205">#REF!</definedName>
    <definedName name="C_2691_1284908">#REF!</definedName>
    <definedName name="C_2691_1284909">#REF!</definedName>
    <definedName name="C_2691_1284910">#REF!</definedName>
    <definedName name="C_2691_1284911">#REF!</definedName>
    <definedName name="C_2691_1284912">#REF!</definedName>
    <definedName name="C_2691_1284913">#REF!</definedName>
    <definedName name="C_2691_1284914">#REF!</definedName>
    <definedName name="C_2691_1284915">#REF!</definedName>
    <definedName name="C_2691_1284916">#REF!</definedName>
    <definedName name="C_2691_1284917">#REF!</definedName>
    <definedName name="C_2691_1284918">#REF!</definedName>
    <definedName name="C_2691_1284919">#REF!</definedName>
    <definedName name="C_2691_1284920">#REF!</definedName>
    <definedName name="C_2691_1284921">#REF!</definedName>
    <definedName name="C_2691_1284922">#REF!</definedName>
    <definedName name="C_2691_1284923">#REF!</definedName>
    <definedName name="C_2691_1284924">#REF!</definedName>
    <definedName name="C_2691_1284925">#REF!</definedName>
    <definedName name="C_2691_1284926">#REF!</definedName>
    <definedName name="C_2691_1284927">#REF!</definedName>
    <definedName name="C_2692_1284928">'[26]5.4 TFT EPIC'!#REF!</definedName>
    <definedName name="C_2692_1284929">'[26]5.4 TFT EPIC'!#REF!</definedName>
    <definedName name="C_2692_1284930">'[26]5.4 TFT EPIC'!#REF!</definedName>
    <definedName name="C_2692_1284931">'[26]5.4 TFT EPIC'!#REF!</definedName>
    <definedName name="C_2692_1284932">'[26]5.4 TFT EPIC'!#REF!</definedName>
    <definedName name="C_2692_1284933">'[26]5.4 TFT EPIC'!#REF!</definedName>
    <definedName name="C_2692_1284934">'[26]5.4 TFT EPIC'!#REF!</definedName>
    <definedName name="C_2692_1284935">'[26]5.4 TFT EPIC'!#REF!</definedName>
    <definedName name="C_2692_1284936">'[26]5.4 TFT EPIC'!#REF!</definedName>
    <definedName name="C_2692_1284937">'[26]5.4 TFT EPIC'!#REF!</definedName>
    <definedName name="C_2692_1284938">'[26]5.4 TFT EPIC'!#REF!</definedName>
    <definedName name="C_2692_1284939">'[26]5.4 TFT EPIC'!#REF!</definedName>
    <definedName name="C_2692_1284940">'[26]5.4 TFT EPIC'!#REF!</definedName>
    <definedName name="C_2692_1284941">'[26]5.4 TFT EPIC'!#REF!</definedName>
    <definedName name="C_2692_1284942">'[26]5.4 TFT EPIC'!#REF!</definedName>
    <definedName name="C_2692_1284943">'[26]5.4 TFT EPIC'!#REF!</definedName>
    <definedName name="C_2692_1284944">'[26]5.4 TFT EPIC'!#REF!</definedName>
    <definedName name="C_2692_1284945">'[26]5.4 TFT EPIC'!#REF!</definedName>
    <definedName name="C_2692_1284946">'[26]5.4 TFT EPIC'!#REF!</definedName>
    <definedName name="C_2692_1284947">'[26]5.4 TFT EPIC'!#REF!</definedName>
    <definedName name="C_2692_1284948">'[26]5.4 TFT EPIC'!#REF!</definedName>
    <definedName name="C_2692_1284949">'[26]5.4 TFT EPIC'!#REF!</definedName>
    <definedName name="C_2692_1284950">'[26]5.4 TFT EPIC'!#REF!</definedName>
    <definedName name="C_2692_1284951">'[26]5.4 TFT EPIC'!#REF!</definedName>
    <definedName name="C_2692_1284952">'[26]5.4 TFT EPIC'!#REF!</definedName>
    <definedName name="C_2692_1284953">'[26]5.4 TFT EPIC'!#REF!</definedName>
    <definedName name="C_2692_1284954">'[26]5.4 TFT EPIC'!#REF!</definedName>
    <definedName name="C_2692_1285007">'[26]5.4 TFT EPIC'!#REF!</definedName>
    <definedName name="CA">#REF!</definedName>
    <definedName name="CA.reg" localSheetId="11" hidden="1">{#N/A,#N/A,TRUE,"C.A. reg.";#N/A,#N/A,TRUE,"Provence";#N/A,#N/A,TRUE,"Rhône";#N/A,#N/A,TRUE,"Côte d'Azur";#N/A,#N/A,TRUE,"Briançonnais";#N/A,#N/A,TRUE,"Abt Travail";#N/A,#N/A,TRUE,"Abt EEA";#N/A,#N/A,TRUE,"Prod.Région.";#N/A,#N/A,TRUE,"ANNEXES"}</definedName>
    <definedName name="CA.reg" hidden="1">{#N/A,#N/A,TRUE,"C.A. reg.";#N/A,#N/A,TRUE,"Provence";#N/A,#N/A,TRUE,"Rhône";#N/A,#N/A,TRUE,"Côte d'Azur";#N/A,#N/A,TRUE,"Briançonnais";#N/A,#N/A,TRUE,"Abt Travail";#N/A,#N/A,TRUE,"Abt EEA";#N/A,#N/A,TRUE,"Prod.Région.";#N/A,#N/A,TRUE,"ANNEXES"}</definedName>
    <definedName name="CAC">'[31]31-12-2001'!#REF!</definedName>
    <definedName name="CAcf1">#REF!</definedName>
    <definedName name="capexMonths" localSheetId="7">[32]iSetup!$A$2:$A$49</definedName>
    <definedName name="capexMonths">[33]iSetup!$A$2:$A$49</definedName>
    <definedName name="CashManagementActionsEUR" localSheetId="7">'[15]nfm-f670-d158 (GreenSpeed)'!#REF!</definedName>
    <definedName name="CashManagementActionsEUR">'[16]nfm-f670-d158 (GreenSpeed)'!#REF!</definedName>
    <definedName name="CashManagementActionsGBP" localSheetId="7">'[15]nfm-f670-d158 (GreenSpeed)'!#REF!</definedName>
    <definedName name="CashManagementActionsGBP">'[16]nfm-f670-d158 (GreenSpeed)'!#REF!</definedName>
    <definedName name="CashManagementActionsUSD" localSheetId="7">'[15]nfm-f670-d158 (GreenSpeed)'!#REF!</definedName>
    <definedName name="CashManagementActionsUSD">'[16]nfm-f670-d158 (GreenSpeed)'!#REF!</definedName>
    <definedName name="Cat">#REF!</definedName>
    <definedName name="CAVPPBBF">'[34]base F&amp;B'!#REF!</definedName>
    <definedName name="CAVPPBBF1">'[34]base F&amp;B'!#REF!</definedName>
    <definedName name="CAVPPBBF2">'[34]base F&amp;B'!#REF!</definedName>
    <definedName name="CAVPPBBF3">'[34]base F&amp;B'!#REF!</definedName>
    <definedName name="CAVPPBBFL">'[34]base F&amp;B'!#REF!</definedName>
    <definedName name="CAVPPBGA">'[34]base F&amp;B'!#REF!</definedName>
    <definedName name="CAVPPBGG">'[34]base F&amp;B'!#REF!</definedName>
    <definedName name="CAVPPBGT">'[34]base F&amp;B'!#REF!</definedName>
    <definedName name="CAVPPBLD">'[34]base F&amp;B'!#REF!</definedName>
    <definedName name="CAVPPBLUL">'[34]base F&amp;B'!#REF!</definedName>
    <definedName name="CAVPPBWDT">'[34]base F&amp;B'!#REF!</definedName>
    <definedName name="cc" localSheetId="11" hidden="1">{#N/A,#N/A,FALSE,"Résultats conso";#N/A,#N/A,FALSE,"Intérêts mino N-1 à N";#N/A,#N/A,FALSE,"Réserves soc &amp; conso";#N/A,#N/A,FALSE,"Passage N-1 à N";#N/A,#N/A,FALSE,"Tab. fi. sociaux et conso"}</definedName>
    <definedName name="cc" hidden="1">{#N/A,#N/A,FALSE,"Résultats conso";#N/A,#N/A,FALSE,"Intérêts mino N-1 à N";#N/A,#N/A,FALSE,"Réserves soc &amp; conso";#N/A,#N/A,FALSE,"Passage N-1 à N";#N/A,#N/A,FALSE,"Tab. fi. sociaux et conso"}</definedName>
    <definedName name="cccd" localSheetId="11" hidden="1">{#N/A,#N/A,FALSE,"ECH IG";#N/A,#N/A,FALSE,"ECH DETTES"}</definedName>
    <definedName name="cccd" hidden="1">{#N/A,#N/A,FALSE,"ECH IG";#N/A,#N/A,FALSE,"ECH DETTES"}</definedName>
    <definedName name="celine">[12]GEFFGL!$H$2</definedName>
    <definedName name="cere" localSheetId="1" hidden="1">{#N/A,#N/A,TRUE,"AB_Vertrag";#N/A,#N/A,TRUE,"AB_BWL"}</definedName>
    <definedName name="cere" localSheetId="3" hidden="1">{#N/A,#N/A,TRUE,"AB_Vertrag";#N/A,#N/A,TRUE,"AB_BWL"}</definedName>
    <definedName name="cere" localSheetId="7" hidden="1">{#N/A,#N/A,TRUE,"AB_Vertrag";#N/A,#N/A,TRUE,"AB_BWL"}</definedName>
    <definedName name="cere" localSheetId="0" hidden="1">{#N/A,#N/A,TRUE,"AB_Vertrag";#N/A,#N/A,TRUE,"AB_BWL"}</definedName>
    <definedName name="cere" localSheetId="15" hidden="1">{#N/A,#N/A,TRUE,"AB_Vertrag";#N/A,#N/A,TRUE,"AB_BWL"}</definedName>
    <definedName name="cere" hidden="1">{#N/A,#N/A,TRUE,"AB_Vertrag";#N/A,#N/A,TRUE,"AB_BWL"}</definedName>
    <definedName name="CERE1" localSheetId="1" hidden="1">{#N/A,#N/A,TRUE,"AB_Vertrag";#N/A,#N/A,TRUE,"AB_BWL"}</definedName>
    <definedName name="CERE1" localSheetId="3" hidden="1">{#N/A,#N/A,TRUE,"AB_Vertrag";#N/A,#N/A,TRUE,"AB_BWL"}</definedName>
    <definedName name="CERE1" localSheetId="7" hidden="1">{#N/A,#N/A,TRUE,"AB_Vertrag";#N/A,#N/A,TRUE,"AB_BWL"}</definedName>
    <definedName name="CERE1" localSheetId="0" hidden="1">{#N/A,#N/A,TRUE,"AB_Vertrag";#N/A,#N/A,TRUE,"AB_BWL"}</definedName>
    <definedName name="CERE1" localSheetId="15" hidden="1">{#N/A,#N/A,TRUE,"AB_Vertrag";#N/A,#N/A,TRUE,"AB_BWL"}</definedName>
    <definedName name="CERE1" hidden="1">{#N/A,#N/A,TRUE,"AB_Vertrag";#N/A,#N/A,TRUE,"AB_BWL"}</definedName>
    <definedName name="CERE2" localSheetId="1" hidden="1">{#N/A,#N/A,TRUE,"AB_Vertrag";#N/A,#N/A,TRUE,"AB_BWL"}</definedName>
    <definedName name="CERE2" localSheetId="3" hidden="1">{#N/A,#N/A,TRUE,"AB_Vertrag";#N/A,#N/A,TRUE,"AB_BWL"}</definedName>
    <definedName name="CERE2" localSheetId="7" hidden="1">{#N/A,#N/A,TRUE,"AB_Vertrag";#N/A,#N/A,TRUE,"AB_BWL"}</definedName>
    <definedName name="CERE2" localSheetId="0" hidden="1">{#N/A,#N/A,TRUE,"AB_Vertrag";#N/A,#N/A,TRUE,"AB_BWL"}</definedName>
    <definedName name="CERE2" localSheetId="15" hidden="1">{#N/A,#N/A,TRUE,"AB_Vertrag";#N/A,#N/A,TRUE,"AB_BWL"}</definedName>
    <definedName name="CERE2" hidden="1">{#N/A,#N/A,TRUE,"AB_Vertrag";#N/A,#N/A,TRUE,"AB_BWL"}</definedName>
    <definedName name="ceren" localSheetId="1" hidden="1">{#N/A,#N/A,TRUE,"AB_Vertrag";#N/A,#N/A,TRUE,"AB_BWL"}</definedName>
    <definedName name="ceren" localSheetId="3" hidden="1">{#N/A,#N/A,TRUE,"AB_Vertrag";#N/A,#N/A,TRUE,"AB_BWL"}</definedName>
    <definedName name="ceren" localSheetId="7" hidden="1">{#N/A,#N/A,TRUE,"AB_Vertrag";#N/A,#N/A,TRUE,"AB_BWL"}</definedName>
    <definedName name="ceren" localSheetId="0" hidden="1">{#N/A,#N/A,TRUE,"AB_Vertrag";#N/A,#N/A,TRUE,"AB_BWL"}</definedName>
    <definedName name="ceren" localSheetId="15" hidden="1">{#N/A,#N/A,TRUE,"AB_Vertrag";#N/A,#N/A,TRUE,"AB_BWL"}</definedName>
    <definedName name="ceren" hidden="1">{#N/A,#N/A,TRUE,"AB_Vertrag";#N/A,#N/A,TRUE,"AB_BWL"}</definedName>
    <definedName name="CEREN1" localSheetId="1" hidden="1">{#N/A,#N/A,TRUE,"AB_Vertrag";#N/A,#N/A,TRUE,"AB_BWL"}</definedName>
    <definedName name="CEREN1" localSheetId="3" hidden="1">{#N/A,#N/A,TRUE,"AB_Vertrag";#N/A,#N/A,TRUE,"AB_BWL"}</definedName>
    <definedName name="CEREN1" localSheetId="7" hidden="1">{#N/A,#N/A,TRUE,"AB_Vertrag";#N/A,#N/A,TRUE,"AB_BWL"}</definedName>
    <definedName name="CEREN1" localSheetId="0" hidden="1">{#N/A,#N/A,TRUE,"AB_Vertrag";#N/A,#N/A,TRUE,"AB_BWL"}</definedName>
    <definedName name="CEREN1" localSheetId="15" hidden="1">{#N/A,#N/A,TRUE,"AB_Vertrag";#N/A,#N/A,TRUE,"AB_BWL"}</definedName>
    <definedName name="CEREN1" hidden="1">{#N/A,#N/A,TRUE,"AB_Vertrag";#N/A,#N/A,TRUE,"AB_BWL"}</definedName>
    <definedName name="CEREN123" localSheetId="1" hidden="1">{#N/A,#N/A,TRUE,"AB_Vertrag";#N/A,#N/A,TRUE,"AB_BWL"}</definedName>
    <definedName name="CEREN123" localSheetId="3" hidden="1">{#N/A,#N/A,TRUE,"AB_Vertrag";#N/A,#N/A,TRUE,"AB_BWL"}</definedName>
    <definedName name="CEREN123" localSheetId="7" hidden="1">{#N/A,#N/A,TRUE,"AB_Vertrag";#N/A,#N/A,TRUE,"AB_BWL"}</definedName>
    <definedName name="CEREN123" localSheetId="0" hidden="1">{#N/A,#N/A,TRUE,"AB_Vertrag";#N/A,#N/A,TRUE,"AB_BWL"}</definedName>
    <definedName name="CEREN123" localSheetId="15" hidden="1">{#N/A,#N/A,TRUE,"AB_Vertrag";#N/A,#N/A,TRUE,"AB_BWL"}</definedName>
    <definedName name="CEREN123" hidden="1">{#N/A,#N/A,TRUE,"AB_Vertrag";#N/A,#N/A,TRUE,"AB_BWL"}</definedName>
    <definedName name="CHAMP1">#REF!</definedName>
    <definedName name="circu">[22]offre!$K$32</definedName>
    <definedName name="circuw">[35]offre!#REF!</definedName>
    <definedName name="CleBME"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eBME"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BMH"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BMH"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CI"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CI"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PPP"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PPP"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RET"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RET"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Retrait"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Retrait"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Retraite"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Retraite"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TOP"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ésTOP"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clôture">#REF!</definedName>
    <definedName name="Company">[27]ReadMeFirst!$E$5</definedName>
    <definedName name="conso">'[36]Variables Communes'!$B$10</definedName>
    <definedName name="Contrat_de_vente_n__8330.4.1.3502">#REF!</definedName>
    <definedName name="Contrat_de_vente_n__8330.5.1.2500">#REF!</definedName>
    <definedName name="Correspondants_des_services_comptables_SNCF">#REF!</definedName>
    <definedName name="CostSalesTicketVariableAllEURPctIn" localSheetId="7">'[15]nfm-f670-d158 (GreenSpeed)'!#REF!</definedName>
    <definedName name="CostSalesTicketVariableAllEURPctIn">'[16]nfm-f670-d158 (GreenSpeed)'!#REF!</definedName>
    <definedName name="CostSalesTicketVariableAllGBPPctIn" localSheetId="7">'[15]nfm-f670-d158 (GreenSpeed)'!#REF!</definedName>
    <definedName name="CostSalesTicketVariableAllGBPPctIn">'[16]nfm-f670-d158 (GreenSpeed)'!#REF!</definedName>
    <definedName name="CostSalesTicketVariableAllUSDPctIn" localSheetId="7">'[15]nfm-f670-d158 (GreenSpeed)'!#REF!</definedName>
    <definedName name="CostSalesTicketVariableAllUSDPctIn">'[16]nfm-f670-d158 (GreenSpeed)'!#REF!</definedName>
    <definedName name="CostSalesTicketVariableEILEURPctIn" localSheetId="7">'[15]nfm-f670-d158 (GreenSpeed)'!#REF!</definedName>
    <definedName name="CostSalesTicketVariableEILEURPctIn">'[16]nfm-f670-d158 (GreenSpeed)'!#REF!</definedName>
    <definedName name="CostSalesTicketVariableEILGBPPctIn" localSheetId="7">'[15]nfm-f670-d158 (GreenSpeed)'!#REF!</definedName>
    <definedName name="CostSalesTicketVariableEILGBPPctIn">'[16]nfm-f670-d158 (GreenSpeed)'!#REF!</definedName>
    <definedName name="CostSalesTicketVariableEILUSDPctIn" localSheetId="7">'[15]nfm-f670-d158 (GreenSpeed)'!#REF!</definedName>
    <definedName name="CostSalesTicketVariableEILUSDPctIn">'[16]nfm-f670-d158 (GreenSpeed)'!#REF!</definedName>
    <definedName name="CostSalesTicketVariableOtherEURPctIn" localSheetId="7">'[15]nfm-f670-d158 (GreenSpeed)'!#REF!</definedName>
    <definedName name="CostSalesTicketVariableOtherEURPctIn">'[16]nfm-f670-d158 (GreenSpeed)'!#REF!</definedName>
    <definedName name="CostSalesTicketVariableOtherGBPPctIn" localSheetId="7">'[15]nfm-f670-d158 (GreenSpeed)'!#REF!</definedName>
    <definedName name="CostSalesTicketVariableOtherGBPPctIn">'[16]nfm-f670-d158 (GreenSpeed)'!#REF!</definedName>
    <definedName name="CostSalesTicketVariableOtherUSDPctIn" localSheetId="7">'[15]nfm-f670-d158 (GreenSpeed)'!#REF!</definedName>
    <definedName name="CostSalesTicketVariableOtherUSDPctIn">'[16]nfm-f670-d158 (GreenSpeed)'!#REF!</definedName>
    <definedName name="CostTrainLeasesProfileEUR" localSheetId="7">'[15]nfm-f670-d158 (GreenSpeed)'!#REF!</definedName>
    <definedName name="CostTrainLeasesProfileEUR">'[16]nfm-f670-d158 (GreenSpeed)'!#REF!</definedName>
    <definedName name="CostTrainLeasesProfileGBP" localSheetId="7">'[15]nfm-f670-d158 (GreenSpeed)'!#REF!</definedName>
    <definedName name="CostTrainLeasesProfileGBP">'[16]nfm-f670-d158 (GreenSpeed)'!#REF!</definedName>
    <definedName name="Counterparties" localSheetId="7">[10]Descriptions!$L$1:$N$58</definedName>
    <definedName name="Counterparties">[11]Descriptions!$L$1:$N$58</definedName>
    <definedName name="CP">#REF!</definedName>
    <definedName name="CPP">#REF!</definedName>
    <definedName name="CréditBail">#REF!</definedName>
    <definedName name="CRN">[37]Dimensions!#REF!</definedName>
    <definedName name="CRN1ssFlux">[6]Dimensions!#REF!</definedName>
    <definedName name="CRN2ssFlux">[6]Dimensions!#REF!</definedName>
    <definedName name="CRNssFlux">[37]Dimensions!#REF!</definedName>
    <definedName name="CRNV9">#REF!</definedName>
    <definedName name="CRseptN">[38]Dimensions!#REF!</definedName>
    <definedName name="csDesignMode">1</definedName>
    <definedName name="Cumul" localSheetId="11" hidden="1">{#N/A,#N/A,TRUE,"C.A. reg.";#N/A,#N/A,TRUE,"Provence";#N/A,#N/A,TRUE,"Rhône";#N/A,#N/A,TRUE,"Côte d'Azur";#N/A,#N/A,TRUE,"Briançonnais";#N/A,#N/A,TRUE,"Abt Travail";#N/A,#N/A,TRUE,"Abt EEA";#N/A,#N/A,TRUE,"Prod.Région.";#N/A,#N/A,TRUE,"ANNEXES"}</definedName>
    <definedName name="Cumul" hidden="1">{#N/A,#N/A,TRUE,"C.A. reg.";#N/A,#N/A,TRUE,"Provence";#N/A,#N/A,TRUE,"Rhône";#N/A,#N/A,TRUE,"Côte d'Azur";#N/A,#N/A,TRUE,"Briançonnais";#N/A,#N/A,TRUE,"Abt Travail";#N/A,#N/A,TRUE,"Abt EEA";#N/A,#N/A,TRUE,"Prod.Région.";#N/A,#N/A,TRUE,"ANNEXES"}</definedName>
    <definedName name="CurrentYtd">[27]ReadMeFirst!$E$6</definedName>
    <definedName name="Cxexploit">#REF!</definedName>
    <definedName name="cyrus" localSheetId="1" hidden="1">{"Détails",#N/A,FALSE,"CL1";"Détails",#N/A,FALSE,"CL2"}</definedName>
    <definedName name="cyrus" localSheetId="3" hidden="1">{"Détails",#N/A,FALSE,"CL1";"Détails",#N/A,FALSE,"CL2"}</definedName>
    <definedName name="cyrus" localSheetId="7" hidden="1">{"Détails",#N/A,FALSE,"CL1";"Détails",#N/A,FALSE,"CL2"}</definedName>
    <definedName name="cyrus" localSheetId="0" hidden="1">{"Détails",#N/A,FALSE,"CL1";"Détails",#N/A,FALSE,"CL2"}</definedName>
    <definedName name="cyrus" localSheetId="15" hidden="1">{"Détails",#N/A,FALSE,"CL1";"Détails",#N/A,FALSE,"CL2"}</definedName>
    <definedName name="cyrus" hidden="1">{"Détails",#N/A,FALSE,"CL1";"Détails",#N/A,FALSE,"CL2"}</definedName>
    <definedName name="_xlnm.Database">#REF!</definedName>
    <definedName name="dataCharERR">"ERR"</definedName>
    <definedName name="dataCharOK">"ok"</definedName>
    <definedName name="dataCharWARN">"WARN"</definedName>
    <definedName name="DateActualsEnd" localSheetId="7">[17]wGeneral!$G$17</definedName>
    <definedName name="DateActualsEnd">[18]wGeneral!$G$17</definedName>
    <definedName name="DateBN">[6]Dimensions!#REF!</definedName>
    <definedName name="DateBN1">[6]Dimensions!#REF!</definedName>
    <definedName name="datec">[39]Dimensions!$S$5</definedName>
    <definedName name="datecbis">#REF!</definedName>
    <definedName name="DateCRN">[6]Dimensions!#REF!</definedName>
    <definedName name="DateCRN1">[6]Dimensions!#REF!</definedName>
    <definedName name="DateCRN2">[6]Dimensions!#REF!</definedName>
    <definedName name="dateo">[39]Dimensions!$S$6</definedName>
    <definedName name="dateobis">#REF!</definedName>
    <definedName name="Days360" localSheetId="7">[40]i_Gen!$E$25</definedName>
    <definedName name="Days360">[41]i_Gen!$E$25</definedName>
    <definedName name="Days365" localSheetId="7">[40]i_Gen!$E$26</definedName>
    <definedName name="Days365">[41]i_Gen!$E$26</definedName>
    <definedName name="DaysInYear">365</definedName>
    <definedName name="DaysPaymentsOutstanding" localSheetId="7">'[15]nfm-f670-d158 (GreenSpeed)'!#REF!</definedName>
    <definedName name="DaysPaymentsOutstanding">'[16]nfm-f670-d158 (GreenSpeed)'!#REF!</definedName>
    <definedName name="DaysSalesOutstanding" localSheetId="7">'[15]nfm-f670-d158 (GreenSpeed)'!#REF!</definedName>
    <definedName name="DaysSalesOutstanding">'[16]nfm-f670-d158 (GreenSpeed)'!#REF!</definedName>
    <definedName name="dbaCost" localSheetId="15">#REF!</definedName>
    <definedName name="dbaCost">#REF!</definedName>
    <definedName name="DBS" localSheetId="11" hidden="1">{#N/A,#N/A,TRUE,"C.A. reg.";#N/A,#N/A,TRUE,"Provence";#N/A,#N/A,TRUE,"Rhône";#N/A,#N/A,TRUE,"Côte d'Azur";#N/A,#N/A,TRUE,"Briançonnais";#N/A,#N/A,TRUE,"Abt Travail";#N/A,#N/A,TRUE,"Abt EEA";#N/A,#N/A,TRUE,"Prod.Région.";#N/A,#N/A,TRUE,"ANNEXES"}</definedName>
    <definedName name="DBS" hidden="1">{#N/A,#N/A,TRUE,"C.A. reg.";#N/A,#N/A,TRUE,"Provence";#N/A,#N/A,TRUE,"Rhône";#N/A,#N/A,TRUE,"Côte d'Azur";#N/A,#N/A,TRUE,"Briançonnais";#N/A,#N/A,TRUE,"Abt Travail";#N/A,#N/A,TRUE,"Abt EEA";#N/A,#N/A,TRUE,"Prod.Région.";#N/A,#N/A,TRUE,"ANNEXES"}</definedName>
    <definedName name="dc5YPend">[42]aSysData!$G$12</definedName>
    <definedName name="dc5YPstart">[42]aSysData!$G$11</definedName>
    <definedName name="dcActualsMonth" localSheetId="7">[43]cActuals!$C$10</definedName>
    <definedName name="dcActualsMonth">[44]cActuals!$C$10</definedName>
    <definedName name="dcActualsYear" localSheetId="7">[43]cActuals!$C$9</definedName>
    <definedName name="dcActualsYear">[44]cActuals!$C$9</definedName>
    <definedName name="dcAMSe320min">[42]iProjAMS!$Z$5</definedName>
    <definedName name="dcBalSheetTol">0.2</definedName>
    <definedName name="dcBEAMAlabourIndexApr14">[42]iTSSSA!$K$26</definedName>
    <definedName name="dcBEAMAmaterialsIndexApr14">[42]iTSSSA!$J$26</definedName>
    <definedName name="dcBEprepayEC4T" localSheetId="7">[45]aSysData!$L$44</definedName>
    <definedName name="dcBEprepayEC4T">[46]aSysData!$L$44</definedName>
    <definedName name="dcBEprepayTAC" localSheetId="7">[45]aSysData!$L$43</definedName>
    <definedName name="dcBEprepayTAC">[46]aSysData!$L$43</definedName>
    <definedName name="dcBStol" localSheetId="7">[45]aSysData!$H$22</definedName>
    <definedName name="dcBStol">[46]aSysData!$H$22</definedName>
    <definedName name="dcBudgetMode">[42]aSysData!$G$6</definedName>
    <definedName name="dcCashAdjustSwitch" localSheetId="7">[43]cActuals!$C$13</definedName>
    <definedName name="dcCashAdjustSwitch">[44]cActuals!$C$13</definedName>
    <definedName name="dcCurrentYear" localSheetId="7">[45]aSysData!$G$8</definedName>
    <definedName name="dcCurrentYear">[46]aSysData!$G$8</definedName>
    <definedName name="dcCurrentYearText">[42]aSysData!$H$38</definedName>
    <definedName name="dcDateFirstOptionUnit">[42]iTSSSA!$M$26</definedName>
    <definedName name="dcDaysInYr">364</definedName>
    <definedName name="dcDepnFactor">[42]cFAplan!$F$7</definedName>
    <definedName name="dcE300fleet">[42]aSysData!$O$10</definedName>
    <definedName name="dcEndDate">[42]iTMIbill!$D$187</definedName>
    <definedName name="dcERR" localSheetId="7">[45]aSysData!$H$25</definedName>
    <definedName name="dcERR">[46]aSysData!$H$25</definedName>
    <definedName name="dcETprepayReleasePeriod">[42]iVolumes!$Z$136</definedName>
    <definedName name="dcETprepayReleaseStart">[42]iVolumes!$Z$135</definedName>
    <definedName name="dcEURk" localSheetId="7">[45]aSysData!$G$16</definedName>
    <definedName name="dcEURk">[46]aSysData!$G$16</definedName>
    <definedName name="dcfinalYear">[42]aSysData!$G$9</definedName>
    <definedName name="dcFirst5YPyear" localSheetId="7">[45]aSysData!$G$7</definedName>
    <definedName name="dcFirst5YPyear">[46]aSysData!$G$7</definedName>
    <definedName name="dcFirstMonth" localSheetId="7">[43]iTMIbill!$D$6</definedName>
    <definedName name="dcFirstMonth">[44]iTMIbill!$D$6</definedName>
    <definedName name="dcGBPk" localSheetId="7">[45]aSysData!$G$15</definedName>
    <definedName name="dcGBPk">[46]aSysData!$G$15</definedName>
    <definedName name="dcGBPm">[42]aSysData!$H$15</definedName>
    <definedName name="dcHistoryText">[42]aSysData!$H$37</definedName>
    <definedName name="dcHS1prepay" localSheetId="7">[45]aSysData!$L$40</definedName>
    <definedName name="dcHS1prepay">[46]aSysData!$L$40</definedName>
    <definedName name="dcLongTermText">[42]aSysData!$H$40</definedName>
    <definedName name="dcMillion">1000000</definedName>
    <definedName name="dcMthsInQtr">3</definedName>
    <definedName name="dcMthsInSA">6</definedName>
    <definedName name="dcMthsInYr">12</definedName>
    <definedName name="dcNA" localSheetId="7">[45]aSysData!$H$26</definedName>
    <definedName name="dcNA">[46]aSysData!$H$26</definedName>
    <definedName name="dcOK" localSheetId="7">[45]aSysData!$H$24</definedName>
    <definedName name="dcOK">[46]aSysData!$H$24</definedName>
    <definedName name="dcOpexAdjustSwitch" localSheetId="7">[43]cActuals!$C$18</definedName>
    <definedName name="dcOpexAdjustSwitch">[44]cActuals!$C$18</definedName>
    <definedName name="dcOptionOrderSize">[42]aSysData!$D$26</definedName>
    <definedName name="dcPlanText">[42]aSysData!$H$39</definedName>
    <definedName name="dcR1basepcm">[42]iTSSSA!$D$46</definedName>
    <definedName name="dcR1basevalue">[42]iTSSSA!$D$45</definedName>
    <definedName name="dcR1maxExams" localSheetId="15">#REF!</definedName>
    <definedName name="dcR1maxExams">#REF!</definedName>
    <definedName name="dcR1periodicity">[42]iTSSSA!$D$44</definedName>
    <definedName name="dcR2basepcm">[42]iTSSSA!$E$46</definedName>
    <definedName name="dcR2basevalue">[42]iTSSSA!$E$45</definedName>
    <definedName name="dcR2maxExams" localSheetId="15">#REF!</definedName>
    <definedName name="dcR2maxExams">#REF!</definedName>
    <definedName name="dcR2periodicity">[42]iTSSSA!$E$44</definedName>
    <definedName name="dcRevFcastFinalYear">[42]aSysData!$G$10</definedName>
    <definedName name="dcRexamsAdjustSwitch" localSheetId="7">[43]cActuals!$C$23</definedName>
    <definedName name="dcRexamsAdjustSwitch">[44]cActuals!$C$23</definedName>
    <definedName name="dcRFFprepayA" localSheetId="7">[45]aSysData!$L$41</definedName>
    <definedName name="dcRFFprepayA">[46]aSysData!$L$41</definedName>
    <definedName name="dcRFFprepayM" localSheetId="7">[45]aSysData!$L$42</definedName>
    <definedName name="dcRFFprepayM">[46]aSysData!$L$42</definedName>
    <definedName name="dcThousand">1000</definedName>
    <definedName name="dcTMSTlastYear">[42]aSysData!$O$7</definedName>
    <definedName name="dcTol" localSheetId="7">[45]aSysData!$H$20</definedName>
    <definedName name="dcTol">[46]aSysData!$H$20</definedName>
    <definedName name="dcTolDelta">0.01</definedName>
    <definedName name="dcToThousands" localSheetId="7">[45]aSysData!$H$33</definedName>
    <definedName name="dcToThousands">[46]aSysData!$H$33</definedName>
    <definedName name="dcUseLOW">[42]iPMbaseLOW!$A$3</definedName>
    <definedName name="dcUseMID">[42]iPMbaseMID!$A$3</definedName>
    <definedName name="dcVelDebtPaidOffYear" localSheetId="7">[45]aSysData!$G$13</definedName>
    <definedName name="dcVelDebtPaidOffYear">[46]aSysData!$G$13</definedName>
    <definedName name="dcVelocityOrderSize">[42]aSysData!$D$25</definedName>
    <definedName name="dcVeryLargeNumber">1000000000</definedName>
    <definedName name="dcVolk" localSheetId="7">[45]aSysData!$G$18</definedName>
    <definedName name="dcVolk">[46]aSysData!$G$18</definedName>
    <definedName name="dcVolm" localSheetId="7">[45]aSysData!$H$18</definedName>
    <definedName name="dcVolm">[46]aSysData!$H$18</definedName>
    <definedName name="dcWarn">[42]aSysData!$H$28</definedName>
    <definedName name="ddd" localSheetId="11" hidden="1">{#N/A,#N/A,FALSE,"budget97";#N/A,#N/A,FALSE,"budget97 (2)";#N/A,#N/A,FALSE,"Conso. Groupe BM 95 à 97";#N/A,#N/A,FALSE,"INVEST 97";#N/A,#N/A,FALSE,"Investissements";#N/A,#N/A,FALSE,"CA TRS";#N/A,#N/A,FALSE,"Tableau de Fin. social";#N/A,#N/A,FALSE,"Tableau de Fin. Conso"}</definedName>
    <definedName name="ddd" hidden="1">{#N/A,#N/A,FALSE,"budget97";#N/A,#N/A,FALSE,"budget97 (2)";#N/A,#N/A,FALSE,"Conso. Groupe BM 95 à 97";#N/A,#N/A,FALSE,"INVEST 97";#N/A,#N/A,FALSE,"Investissements";#N/A,#N/A,FALSE,"CA TRS";#N/A,#N/A,FALSE,"Tableau de Fin. social";#N/A,#N/A,FALSE,"Tableau de Fin. Conso"}</definedName>
    <definedName name="ddes" localSheetId="11" hidden="1">{#N/A,#N/A,FALSE,"Résultats conso";#N/A,#N/A,FALSE,"Intérêts mino N-1 à N";#N/A,#N/A,FALSE,"Réserves soc &amp; conso";#N/A,#N/A,FALSE,"Passage N-1 à N";#N/A,#N/A,FALSE,"Tab. fi. sociaux et conso"}</definedName>
    <definedName name="ddes" hidden="1">{#N/A,#N/A,FALSE,"Résultats conso";#N/A,#N/A,FALSE,"Intérêts mino N-1 à N";#N/A,#N/A,FALSE,"Réserves soc &amp; conso";#N/A,#N/A,FALSE,"Passage N-1 à N";#N/A,#N/A,FALSE,"Tab. fi. sociaux et conso"}</definedName>
    <definedName name="DE"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DE"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débit_cap_global">#REF!</definedName>
    <definedName name="dee" hidden="1">'[9]Participt non conso '!#REF!</definedName>
    <definedName name="Déroulé_élims">'[47]RAF CA'!$B$7:$B$33</definedName>
    <definedName name="Dettesex">#REF!</definedName>
    <definedName name="devCost" localSheetId="15">#REF!</definedName>
    <definedName name="devCost">#REF!</definedName>
    <definedName name="devise">'[36]Variables Communes'!$B$1</definedName>
    <definedName name="DEVISE_CONSO">[48]LISTES!$I$2:$I$203</definedName>
    <definedName name="dfNetIncomeFactor">[42]iVolumes!$Z$112</definedName>
    <definedName name="dfsqklqsdpvdsqiopg" localSheetId="1" hidden="1">{#N/A,#N/A,FALSE,"ANNEXES CLIM"}</definedName>
    <definedName name="dfsqklqsdpvdsqiopg" localSheetId="3" hidden="1">{#N/A,#N/A,FALSE,"ANNEXES CLIM"}</definedName>
    <definedName name="dfsqklqsdpvdsqiopg" localSheetId="7" hidden="1">{#N/A,#N/A,FALSE,"ANNEXES CLIM"}</definedName>
    <definedName name="dfsqklqsdpvdsqiopg" localSheetId="0" hidden="1">{#N/A,#N/A,FALSE,"ANNEXES CLIM"}</definedName>
    <definedName name="dfsqklqsdpvdsqiopg" localSheetId="15" hidden="1">{#N/A,#N/A,FALSE,"ANNEXES CLIM"}</definedName>
    <definedName name="dfsqklqsdpvdsqiopg" hidden="1">{#N/A,#N/A,FALSE,"ANNEXES CLIM"}</definedName>
    <definedName name="dfTVAsales">[42]aSysData!$R$29:$R$35</definedName>
    <definedName name="dgfdsfg" localSheetId="11" hidden="1">{#N/A,#N/A,TRUE,"Title";#N/A,#N/A,TRUE,"BalanceSheetAssets";#N/A,#N/A,TRUE,"BalanceSheetLiabilities";#N/A,#N/A,TRUE,"EquityControl";#N/A,#N/A,TRUE,"IncomeStatementNature";#N/A,#N/A,TRUE,"NatureByDestination";#N/A,#N/A,TRUE,"IncomeStatement";#N/A,#N/A,TRUE,"Revenue";#N/A,#N/A,TRUE,"CashFlow";#N/A,#N/A,TRUE,"PropertyPlantEquipment"}</definedName>
    <definedName name="dgfdsfg" hidden="1">{#N/A,#N/A,TRUE,"Title";#N/A,#N/A,TRUE,"BalanceSheetAssets";#N/A,#N/A,TRUE,"BalanceSheetLiabilities";#N/A,#N/A,TRUE,"EquityControl";#N/A,#N/A,TRUE,"IncomeStatementNature";#N/A,#N/A,TRUE,"NatureByDestination";#N/A,#N/A,TRUE,"IncomeStatement";#N/A,#N/A,TRUE,"Revenue";#N/A,#N/A,TRUE,"CashFlow";#N/A,#N/A,TRUE,"PropertyPlantEquipment"}</definedName>
    <definedName name="dgj"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dgj"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dirR1dates">[42]iTSSSA!$I$6:$L$22</definedName>
    <definedName name="dirR1values">[42]iTSSSA!$P$6:$S$22</definedName>
    <definedName name="dirR2dates">[42]iTSSSA!$M$6:$N$22</definedName>
    <definedName name="dirR2values">[42]iTSSSA!$T$6:$U$22</definedName>
    <definedName name="DividendOverride" localSheetId="7">'[15]nfm-f670-d158 (GreenSpeed)'!#REF!</definedName>
    <definedName name="DividendOverride">'[16]nfm-f670-d158 (GreenSpeed)'!#REF!</definedName>
    <definedName name="dl">"_"</definedName>
    <definedName name="dlBelowEBIT">[42]aSysData!$U$83:$U$96</definedName>
    <definedName name="dlCapexEUR">[42]aSysData!$Q$108:$Q$113</definedName>
    <definedName name="dlCapexGBP">[42]aSysData!$Q$100:$Q$105</definedName>
    <definedName name="dlCommCS">[42]aSysData!$G$71:$G$81</definedName>
    <definedName name="dlCoS">[42]aSysData!$Q$71:$Q$77</definedName>
    <definedName name="dlDivOptions">[42]aSysData!$B$62:$B$65</definedName>
    <definedName name="dlInfrastructure">[42]aSysData!$M$71:$M$113</definedName>
    <definedName name="dlOpsDelivery">[42]aSysData!$D$71:$D$89</definedName>
    <definedName name="dlRevenue">[42]aSysData!$U$71:$U$77</definedName>
    <definedName name="dlSandP">[42]aSysData!$B$71:$B$92</definedName>
    <definedName name="Domaines_OBC">#REF!</definedName>
    <definedName name="DPO" localSheetId="7">[40]i_Gen!$E$32</definedName>
    <definedName name="DPO">[41]i_Gen!$E$32</definedName>
    <definedName name="dSemisInYr">2</definedName>
    <definedName name="dTol">0.001</definedName>
    <definedName name="e">6.55957</definedName>
    <definedName name="E320DebtDrawdownProfileEUR" localSheetId="7">'[15]nfm-f670-d158 (GreenSpeed)'!#REF!</definedName>
    <definedName name="E320DebtDrawdownProfileEUR">'[16]nfm-f670-d158 (GreenSpeed)'!#REF!</definedName>
    <definedName name="E320DebtDrawdownProfileGBP" localSheetId="7">'[15]nfm-f670-d158 (GreenSpeed)'!#REF!</definedName>
    <definedName name="E320DebtDrawdownProfileGBP">'[16]nfm-f670-d158 (GreenSpeed)'!#REF!</definedName>
    <definedName name="E320DebtFeesPaidProfileEUR" localSheetId="7">'[15]nfm-f670-d158 (GreenSpeed)'!#REF!</definedName>
    <definedName name="E320DebtFeesPaidProfileEUR">'[16]nfm-f670-d158 (GreenSpeed)'!#REF!</definedName>
    <definedName name="E320DebtFeesPaidProfileGBP" localSheetId="7">'[15]nfm-f670-d158 (GreenSpeed)'!#REF!</definedName>
    <definedName name="E320DebtFeesPaidProfileGBP">'[16]nfm-f670-d158 (GreenSpeed)'!#REF!</definedName>
    <definedName name="E320DebtInterestEffectiveProfileEUR" localSheetId="7">'[15]nfm-f670-d158 (GreenSpeed)'!#REF!</definedName>
    <definedName name="E320DebtInterestEffectiveProfileEUR">'[16]nfm-f670-d158 (GreenSpeed)'!#REF!</definedName>
    <definedName name="E320DebtInterestEffectiveProfileGBP" localSheetId="7">'[15]nfm-f670-d158 (GreenSpeed)'!#REF!</definedName>
    <definedName name="E320DebtInterestEffectiveProfileGBP">'[16]nfm-f670-d158 (GreenSpeed)'!#REF!</definedName>
    <definedName name="E320DebtInterestPaidProfileEUR" localSheetId="7">'[15]nfm-f670-d158 (GreenSpeed)'!#REF!</definedName>
    <definedName name="E320DebtInterestPaidProfileEUR">'[16]nfm-f670-d158 (GreenSpeed)'!#REF!</definedName>
    <definedName name="E320DebtInterestPaidProfileGBP" localSheetId="7">'[15]nfm-f670-d158 (GreenSpeed)'!#REF!</definedName>
    <definedName name="E320DebtInterestPaidProfileGBP">'[16]nfm-f670-d158 (GreenSpeed)'!#REF!</definedName>
    <definedName name="E320DebtRepaymentBalloonProfileEUR" localSheetId="7">'[15]nfm-f670-d158 (GreenSpeed)'!#REF!</definedName>
    <definedName name="E320DebtRepaymentBalloonProfileEUR">'[16]nfm-f670-d158 (GreenSpeed)'!#REF!</definedName>
    <definedName name="E320DebtRepaymentBalloonProfileGBP" localSheetId="7">'[15]nfm-f670-d158 (GreenSpeed)'!#REF!</definedName>
    <definedName name="E320DebtRepaymentBalloonProfileGBP">'[16]nfm-f670-d158 (GreenSpeed)'!#REF!</definedName>
    <definedName name="E320DebtRepaymentProfileEUR" localSheetId="7">'[15]nfm-f670-d158 (GreenSpeed)'!#REF!</definedName>
    <definedName name="E320DebtRepaymentProfileEUR">'[16]nfm-f670-d158 (GreenSpeed)'!#REF!</definedName>
    <definedName name="E320DebtRepaymentProfileGBP" localSheetId="7">'[15]nfm-f670-d158 (GreenSpeed)'!#REF!</definedName>
    <definedName name="E320DebtRepaymentProfileGBP">'[16]nfm-f670-d158 (GreenSpeed)'!#REF!</definedName>
    <definedName name="ecn"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ecn"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ED" localSheetId="11" hidden="1">{#N/A,#N/A,FALSE,"ECH IG";#N/A,#N/A,FALSE,"ECH DETTES"}</definedName>
    <definedName name="ED" hidden="1">{#N/A,#N/A,FALSE,"ECH IG";#N/A,#N/A,FALSE,"ECH DETTES"}</definedName>
    <definedName name="edc"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edc"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EDF" localSheetId="11" hidden="1">{#N/A,#N/A,FALSE,"ECH IG";#N/A,#N/A,FALSE,"ECH DETTES"}</definedName>
    <definedName name="EDF" hidden="1">{#N/A,#N/A,FALSE,"ECH IG";#N/A,#N/A,FALSE,"ECH DETTES"}</definedName>
    <definedName name="EE">[49]recapRes!#REF!</definedName>
    <definedName name="ef">#REF!</definedName>
    <definedName name="EmpruntsdettesDOF">#REF!</definedName>
    <definedName name="en" localSheetId="11" hidden="1">{#N/A,#N/A,FALSE,"budget97";#N/A,#N/A,FALSE,"budget97 (2)";#N/A,#N/A,FALSE,"Conso. Groupe BM 95 à 97";#N/A,#N/A,FALSE,"INVEST 97";#N/A,#N/A,FALSE,"Investissements";#N/A,#N/A,FALSE,"CA TRS";#N/A,#N/A,FALSE,"Tableau de Fin. social";#N/A,#N/A,FALSE,"Tableau de Fin. Conso"}</definedName>
    <definedName name="en" hidden="1">{#N/A,#N/A,FALSE,"budget97";#N/A,#N/A,FALSE,"budget97 (2)";#N/A,#N/A,FALSE,"Conso. Groupe BM 95 à 97";#N/A,#N/A,FALSE,"INVEST 97";#N/A,#N/A,FALSE,"Investissements";#N/A,#N/A,FALSE,"CA TRS";#N/A,#N/A,FALSE,"Tableau de Fin. social";#N/A,#N/A,FALSE,"Tableau de Fin. Conso"}</definedName>
    <definedName name="Endetnetgest">#REF!</definedName>
    <definedName name="Engagderetraites">#REF!</definedName>
    <definedName name="EngagHB">#REF!</definedName>
    <definedName name="Engagretraites">#REF!</definedName>
    <definedName name="Ent">#REF!</definedName>
    <definedName name="ENTITES">[48]LISTES!$C$2:$C$45</definedName>
    <definedName name="entités">#REF!</definedName>
    <definedName name="epic">'[36]Variables Communes'!$B$4</definedName>
    <definedName name="EquityClosing">#REF!</definedName>
    <definedName name="EquityIncome">#REF!</definedName>
    <definedName name="EquityOpening">#REF!</definedName>
    <definedName name="ere"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ere"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erqwwq" localSheetId="1" hidden="1">{#N/A,#N/A,TRUE,"AB_Vertrag";#N/A,#N/A,TRUE,"AB_BWL"}</definedName>
    <definedName name="erqwwq" localSheetId="3" hidden="1">{#N/A,#N/A,TRUE,"AB_Vertrag";#N/A,#N/A,TRUE,"AB_BWL"}</definedName>
    <definedName name="erqwwq" localSheetId="7" hidden="1">{#N/A,#N/A,TRUE,"AB_Vertrag";#N/A,#N/A,TRUE,"AB_BWL"}</definedName>
    <definedName name="erqwwq" localSheetId="0" hidden="1">{#N/A,#N/A,TRUE,"AB_Vertrag";#N/A,#N/A,TRUE,"AB_BWL"}</definedName>
    <definedName name="erqwwq" localSheetId="15" hidden="1">{#N/A,#N/A,TRUE,"AB_Vertrag";#N/A,#N/A,TRUE,"AB_BWL"}</definedName>
    <definedName name="erqwwq" hidden="1">{#N/A,#N/A,TRUE,"AB_Vertrag";#N/A,#N/A,TRUE,"AB_BWL"}</definedName>
    <definedName name="ert"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ert"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erzr" localSheetId="1" hidden="1">{#N/A,#N/A,FALSE,"ANNEXES CLIM"}</definedName>
    <definedName name="erzr" localSheetId="3" hidden="1">{#N/A,#N/A,FALSE,"ANNEXES CLIM"}</definedName>
    <definedName name="erzr" localSheetId="7" hidden="1">{#N/A,#N/A,FALSE,"ANNEXES CLIM"}</definedName>
    <definedName name="erzr" localSheetId="0" hidden="1">{#N/A,#N/A,FALSE,"ANNEXES CLIM"}</definedName>
    <definedName name="erzr" localSheetId="15" hidden="1">{#N/A,#N/A,FALSE,"ANNEXES CLIM"}</definedName>
    <definedName name="erzr" hidden="1">{#N/A,#N/A,FALSE,"ANNEXES CLIM"}</definedName>
    <definedName name="esc" localSheetId="11" hidden="1">{#N/A,#N/A,FALSE,"Résultats conso";#N/A,#N/A,FALSE,"Intérêts mino N-1 à N";#N/A,#N/A,FALSE,"Réserves soc &amp; conso";#N/A,#N/A,FALSE,"Passage N-1 à N";#N/A,#N/A,FALSE,"Tab. fi. sociaux et conso"}</definedName>
    <definedName name="esc" hidden="1">{#N/A,#N/A,FALSE,"Résultats conso";#N/A,#N/A,FALSE,"Intérêts mino N-1 à N";#N/A,#N/A,FALSE,"Réserves soc &amp; conso";#N/A,#N/A,FALSE,"Passage N-1 à N";#N/A,#N/A,FALSE,"Tab. fi. sociaux et conso"}</definedName>
    <definedName name="essai" localSheetId="1" hidden="1">{#N/A,#N/A,FALSE,"ANNEXES CLIM"}</definedName>
    <definedName name="essai" localSheetId="3" hidden="1">{#N/A,#N/A,FALSE,"ANNEXES CLIM"}</definedName>
    <definedName name="essai" localSheetId="7" hidden="1">{#N/A,#N/A,FALSE,"ANNEXES CLIM"}</definedName>
    <definedName name="essai" localSheetId="0" hidden="1">{#N/A,#N/A,FALSE,"ANNEXES CLIM"}</definedName>
    <definedName name="essai" localSheetId="15" hidden="1">{#N/A,#N/A,FALSE,"ANNEXES CLIM"}</definedName>
    <definedName name="essai" hidden="1">{#N/A,#N/A,FALSE,"ANNEXES CLIM"}</definedName>
    <definedName name="état_1.2">#REF!</definedName>
    <definedName name="Etat_1.3">#REF!</definedName>
    <definedName name="Etatsfisaad">#REF!</definedName>
    <definedName name="etu"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etu"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eur">#REF!</definedName>
    <definedName name="euro">[50]Recap!#REF!</definedName>
    <definedName name="Exercice">#REF!</definedName>
    <definedName name="eyo"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eyo"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ezfaf">[49]recapRes!#REF!</definedName>
    <definedName name="f">#REF!</definedName>
    <definedName name="fdasfed" localSheetId="1" hidden="1">{#N/A,#N/A,TRUE,"AB_Vertrag";#N/A,#N/A,TRUE,"AB_BWL"}</definedName>
    <definedName name="fdasfed" localSheetId="3" hidden="1">{#N/A,#N/A,TRUE,"AB_Vertrag";#N/A,#N/A,TRUE,"AB_BWL"}</definedName>
    <definedName name="fdasfed" localSheetId="7" hidden="1">{#N/A,#N/A,TRUE,"AB_Vertrag";#N/A,#N/A,TRUE,"AB_BWL"}</definedName>
    <definedName name="fdasfed" localSheetId="0" hidden="1">{#N/A,#N/A,TRUE,"AB_Vertrag";#N/A,#N/A,TRUE,"AB_BWL"}</definedName>
    <definedName name="fdasfed" localSheetId="15" hidden="1">{#N/A,#N/A,TRUE,"AB_Vertrag";#N/A,#N/A,TRUE,"AB_BWL"}</definedName>
    <definedName name="fdasfed" hidden="1">{#N/A,#N/A,TRUE,"AB_Vertrag";#N/A,#N/A,TRUE,"AB_BWL"}</definedName>
    <definedName name="FDD" localSheetId="11" hidden="1">{#N/A,#N/A,FALSE,"budget97";#N/A,#N/A,FALSE,"budget97 (2)";#N/A,#N/A,FALSE,"Conso. Groupe BM 95 à 97";#N/A,#N/A,FALSE,"INVEST 97";#N/A,#N/A,FALSE,"Investissements";#N/A,#N/A,FALSE,"CA TRS";#N/A,#N/A,FALSE,"Tableau de Fin. social";#N/A,#N/A,FALSE,"Tableau de Fin. Conso"}</definedName>
    <definedName name="FDD" hidden="1">{#N/A,#N/A,FALSE,"budget97";#N/A,#N/A,FALSE,"budget97 (2)";#N/A,#N/A,FALSE,"Conso. Groupe BM 95 à 97";#N/A,#N/A,FALSE,"INVEST 97";#N/A,#N/A,FALSE,"Investissements";#N/A,#N/A,FALSE,"CA TRS";#N/A,#N/A,FALSE,"Tableau de Fin. social";#N/A,#N/A,FALSE,"Tableau de Fin. Conso"}</definedName>
    <definedName name="FE" localSheetId="11" hidden="1">{#N/A,#N/A,FALSE,"budget97";#N/A,#N/A,FALSE,"budget97 (2)";#N/A,#N/A,FALSE,"Conso. Groupe BM 95 à 97";#N/A,#N/A,FALSE,"INVEST 97";#N/A,#N/A,FALSE,"Investissements";#N/A,#N/A,FALSE,"CA TRS";#N/A,#N/A,FALSE,"Tableau de Fin. social";#N/A,#N/A,FALSE,"Tableau de Fin. Conso"}</definedName>
    <definedName name="FE" hidden="1">{#N/A,#N/A,FALSE,"budget97";#N/A,#N/A,FALSE,"budget97 (2)";#N/A,#N/A,FALSE,"Conso. Groupe BM 95 à 97";#N/A,#N/A,FALSE,"INVEST 97";#N/A,#N/A,FALSE,"Investissements";#N/A,#N/A,FALSE,"CA TRS";#N/A,#N/A,FALSE,"Tableau de Fin. social";#N/A,#N/A,FALSE,"Tableau de Fin. Conso"}</definedName>
    <definedName name="FEUILLE3" localSheetId="11" hidden="1">{#N/A,#N/A,TRUE,"C.A. reg.";#N/A,#N/A,TRUE,"Provence";#N/A,#N/A,TRUE,"Rhône";#N/A,#N/A,TRUE,"Côte d'Azur";#N/A,#N/A,TRUE,"Briançonnais";#N/A,#N/A,TRUE,"Abt Travail";#N/A,#N/A,TRUE,"Abt EEA";#N/A,#N/A,TRUE,"Prod.Région.";#N/A,#N/A,TRUE,"ANNEXES"}</definedName>
    <definedName name="FEUILLE3" hidden="1">{#N/A,#N/A,TRUE,"C.A. reg.";#N/A,#N/A,TRUE,"Provence";#N/A,#N/A,TRUE,"Rhône";#N/A,#N/A,TRUE,"Côte d'Azur";#N/A,#N/A,TRUE,"Briançonnais";#N/A,#N/A,TRUE,"Abt Travail";#N/A,#N/A,TRUE,"Abt EEA";#N/A,#N/A,TRUE,"Prod.Région.";#N/A,#N/A,TRUE,"ANNEXES"}</definedName>
    <definedName name="ff" localSheetId="11" hidden="1">{#N/A,#N/A,FALSE,"Résultats conso";#N/A,#N/A,FALSE,"Intérêts mino N-1 à N";#N/A,#N/A,FALSE,"Réserves soc &amp; conso";#N/A,#N/A,FALSE,"Passage N-1 à N";#N/A,#N/A,FALSE,"Tab. fi. sociaux et conso"}</definedName>
    <definedName name="ff" localSheetId="0" hidden="1">{#N/A,#N/A,FALSE,"Résultats conso";#N/A,#N/A,FALSE,"Intérêts mino N-1 à N";#N/A,#N/A,FALSE,"Réserves soc &amp; conso";#N/A,#N/A,FALSE,"Passage N-1 à N";#N/A,#N/A,FALSE,"Tab. fi. sociaux et conso"}</definedName>
    <definedName name="ff" localSheetId="15" hidden="1">#REF!</definedName>
    <definedName name="ff" hidden="1">#REF!</definedName>
    <definedName name="FICHIER">#REF!</definedName>
    <definedName name="FICHIER1">#REF!</definedName>
    <definedName name="fichier111">'[21]BD Macro'!$C$2</definedName>
    <definedName name="FICHIER2">#REF!</definedName>
    <definedName name="fichierb">'[21]BD Macro'!$C$1</definedName>
    <definedName name="Fil">#REF!</definedName>
    <definedName name="Filiale">[51]Sommaire!$U$1</definedName>
    <definedName name="FinanceLeaseInterestProfile" localSheetId="7">'[15]nfm-f670-d158 (GreenSpeed)'!#REF!</definedName>
    <definedName name="FinanceLeaseInterestProfile" localSheetId="15">'[16]nfm-f670-d158 (GreenSpeed)'!#REF!</definedName>
    <definedName name="FinanceLeaseInterestProfile">'[16]nfm-f670-d158 (GreenSpeed)'!#REF!</definedName>
    <definedName name="fiveYP_inflation" localSheetId="15">#REF!</definedName>
    <definedName name="fiveYP_inflation">#REF!</definedName>
    <definedName name="fiveYP_wageInflation" localSheetId="15">#REF!</definedName>
    <definedName name="fiveYP_wageInflation">#REF!</definedName>
    <definedName name="FixedAssetBrandCfIn" localSheetId="7">'[15]nfm-f670-d158 (GreenSpeed)'!#REF!</definedName>
    <definedName name="FixedAssetBrandCfIn" localSheetId="15">'[16]nfm-f670-d158 (GreenSpeed)'!#REF!</definedName>
    <definedName name="FixedAssetBrandCfIn">'[16]nfm-f670-d158 (GreenSpeed)'!#REF!</definedName>
    <definedName name="FixedAssete300IntPartsDepreciationGBPIn" localSheetId="7">'[15]nfm-f670-d158 (GreenSpeed)'!#REF!</definedName>
    <definedName name="FixedAssete300IntPartsDepreciationGBPIn" localSheetId="15">'[16]nfm-f670-d158 (GreenSpeed)'!#REF!</definedName>
    <definedName name="FixedAssete300IntPartsDepreciationGBPIn">'[16]nfm-f670-d158 (GreenSpeed)'!#REF!</definedName>
    <definedName name="FixedAssete300IntPartsIncreaseCashEURIn" localSheetId="7">'[15]nfm-f670-d158 (GreenSpeed)'!#REF!</definedName>
    <definedName name="FixedAssete300IntPartsIncreaseCashEURIn" localSheetId="15">'[16]nfm-f670-d158 (GreenSpeed)'!#REF!</definedName>
    <definedName name="FixedAssete300IntPartsIncreaseCashEURIn">'[16]nfm-f670-d158 (GreenSpeed)'!#REF!</definedName>
    <definedName name="FixedAssete300IntPartsIncreaseCashGBPIn" localSheetId="7">'[15]nfm-f670-d158 (GreenSpeed)'!#REF!</definedName>
    <definedName name="FixedAssete300IntPartsIncreaseCashGBPIn" localSheetId="15">'[16]nfm-f670-d158 (GreenSpeed)'!#REF!</definedName>
    <definedName name="FixedAssete300IntPartsIncreaseCashGBPIn">'[16]nfm-f670-d158 (GreenSpeed)'!#REF!</definedName>
    <definedName name="FixedAssete300LocalRepairablesDepreciationGBPIn" localSheetId="7">'[15]nfm-f670-d158 (GreenSpeed)'!#REF!</definedName>
    <definedName name="FixedAssete300LocalRepairablesDepreciationGBPIn" localSheetId="15">'[16]nfm-f670-d158 (GreenSpeed)'!#REF!</definedName>
    <definedName name="FixedAssete300LocalRepairablesDepreciationGBPIn">'[16]nfm-f670-d158 (GreenSpeed)'!#REF!</definedName>
    <definedName name="FixedAssete300LocalRepairablesIncreaseCashEURIn" localSheetId="7">'[15]nfm-f670-d158 (GreenSpeed)'!#REF!</definedName>
    <definedName name="FixedAssete300LocalRepairablesIncreaseCashEURIn">'[16]nfm-f670-d158 (GreenSpeed)'!#REF!</definedName>
    <definedName name="FixedAssete300LocalRepairablesIncreaseCashGBPIn" localSheetId="7">'[15]nfm-f670-d158 (GreenSpeed)'!#REF!</definedName>
    <definedName name="FixedAssete300LocalRepairablesIncreaseCashGBPIn">'[16]nfm-f670-d158 (GreenSpeed)'!#REF!</definedName>
    <definedName name="FixedAssete320RepairablesDepreciationGBPIn" localSheetId="7">'[15]nfm-f670-d158 (GreenSpeed)'!#REF!</definedName>
    <definedName name="FixedAssete320RepairablesDepreciationGBPIn">'[16]nfm-f670-d158 (GreenSpeed)'!#REF!</definedName>
    <definedName name="FixedAssete320RepairablesIncreaseCashEURIn" localSheetId="7">'[15]nfm-f670-d158 (GreenSpeed)'!#REF!</definedName>
    <definedName name="FixedAssete320RepairablesIncreaseCashEURIn">'[16]nfm-f670-d158 (GreenSpeed)'!#REF!</definedName>
    <definedName name="FixedAssete320RepairablesIncreaseCashGBPIn" localSheetId="7">'[15]nfm-f670-d158 (GreenSpeed)'!#REF!</definedName>
    <definedName name="FixedAssete320RepairablesIncreaseCashGBPIn">'[16]nfm-f670-d158 (GreenSpeed)'!#REF!</definedName>
    <definedName name="FixedAssetFixturesDepreciationGBPIn" localSheetId="7">'[15]nfm-f670-d158 (GreenSpeed)'!#REF!</definedName>
    <definedName name="FixedAssetFixturesDepreciationGBPIn">'[16]nfm-f670-d158 (GreenSpeed)'!#REF!</definedName>
    <definedName name="FixedAssetFixturesIncreaseCashEURIn" localSheetId="7">'[15]nfm-f670-d158 (GreenSpeed)'!#REF!</definedName>
    <definedName name="FixedAssetFixturesIncreaseCashEURIn">'[16]nfm-f670-d158 (GreenSpeed)'!#REF!</definedName>
    <definedName name="FixedAssetFixturesIncreaseCashGBPIn" localSheetId="7">'[15]nfm-f670-d158 (GreenSpeed)'!#REF!</definedName>
    <definedName name="FixedAssetFixturesIncreaseCashGBPIn">'[16]nfm-f670-d158 (GreenSpeed)'!#REF!</definedName>
    <definedName name="FixedAssetITEquipmentDepreciationGBPIn" localSheetId="7">'[15]nfm-f670-d158 (GreenSpeed)'!#REF!</definedName>
    <definedName name="FixedAssetITEquipmentDepreciationGBPIn">'[16]nfm-f670-d158 (GreenSpeed)'!#REF!</definedName>
    <definedName name="FixedAssetITEquipmentIncreaseCashEURIn" localSheetId="7">'[15]nfm-f670-d158 (GreenSpeed)'!#REF!</definedName>
    <definedName name="FixedAssetITEquipmentIncreaseCashEURIn">'[16]nfm-f670-d158 (GreenSpeed)'!#REF!</definedName>
    <definedName name="FixedAssetITEquipmentIncreaseCashGBPIn" localSheetId="7">'[15]nfm-f670-d158 (GreenSpeed)'!#REF!</definedName>
    <definedName name="FixedAssetITEquipmentIncreaseCashGBPIn">'[16]nfm-f670-d158 (GreenSpeed)'!#REF!</definedName>
    <definedName name="FixedAssetLeaseholdBuildingsDepreciationGBPIn" localSheetId="7">'[15]nfm-f670-d158 (GreenSpeed)'!#REF!</definedName>
    <definedName name="FixedAssetLeaseholdBuildingsDepreciationGBPIn">'[16]nfm-f670-d158 (GreenSpeed)'!#REF!</definedName>
    <definedName name="FixedAssetLeaseholdBuildingsIncreaseCashEURIn" localSheetId="7">'[15]nfm-f670-d158 (GreenSpeed)'!#REF!</definedName>
    <definedName name="FixedAssetLeaseholdBuildingsIncreaseCashEURIn">'[16]nfm-f670-d158 (GreenSpeed)'!#REF!</definedName>
    <definedName name="FixedAssetLeaseholdBuildingsIncreaseCashGBPIn" localSheetId="7">'[15]nfm-f670-d158 (GreenSpeed)'!#REF!</definedName>
    <definedName name="FixedAssetLeaseholdBuildingsIncreaseCashGBPIn">'[16]nfm-f670-d158 (GreenSpeed)'!#REF!</definedName>
    <definedName name="FixedAssetPandMDepreciationGBPIn" localSheetId="7">'[15]nfm-f670-d158 (GreenSpeed)'!#REF!</definedName>
    <definedName name="FixedAssetPandMDepreciationGBPIn">'[16]nfm-f670-d158 (GreenSpeed)'!#REF!</definedName>
    <definedName name="FixedAssetPandMIncreaseCashEURIn" localSheetId="7">'[15]nfm-f670-d158 (GreenSpeed)'!#REF!</definedName>
    <definedName name="FixedAssetPandMIncreaseCashEURIn">'[16]nfm-f670-d158 (GreenSpeed)'!#REF!</definedName>
    <definedName name="FixedAssetPandMIncreaseCashGBPIn" localSheetId="7">'[15]nfm-f670-d158 (GreenSpeed)'!#REF!</definedName>
    <definedName name="FixedAssetPandMIncreaseCashGBPIn">'[16]nfm-f670-d158 (GreenSpeed)'!#REF!</definedName>
    <definedName name="FixedAssetSoftwareDepreciationGBPIn" localSheetId="7">'[15]nfm-f670-d158 (GreenSpeed)'!#REF!</definedName>
    <definedName name="FixedAssetSoftwareDepreciationGBPIn">'[16]nfm-f670-d158 (GreenSpeed)'!#REF!</definedName>
    <definedName name="FixedAssetSoftwareDynamicIncreaseCashEURIn" localSheetId="7">'[15]nfm-f670-d158 (GreenSpeed)'!#REF!</definedName>
    <definedName name="FixedAssetSoftwareDynamicIncreaseCashEURIn">'[16]nfm-f670-d158 (GreenSpeed)'!#REF!</definedName>
    <definedName name="FixedAssetSoftwareDynamicIncreaseCashGBPIn" localSheetId="7">'[15]nfm-f670-d158 (GreenSpeed)'!#REF!</definedName>
    <definedName name="FixedAssetSoftwareDynamicIncreaseCashGBPIn">'[16]nfm-f670-d158 (GreenSpeed)'!#REF!</definedName>
    <definedName name="FixedAssetSoftwareOtherIncreaseCashEURIn" localSheetId="7">'[15]nfm-f670-d158 (GreenSpeed)'!#REF!</definedName>
    <definedName name="FixedAssetSoftwareOtherIncreaseCashEURIn">'[16]nfm-f670-d158 (GreenSpeed)'!#REF!</definedName>
    <definedName name="FixedAssetSoftwareOtherIncreaseCashGBPIn" localSheetId="7">'[15]nfm-f670-d158 (GreenSpeed)'!#REF!</definedName>
    <definedName name="FixedAssetSoftwareOtherIncreaseCashGBPIn">'[16]nfm-f670-d158 (GreenSpeed)'!#REF!</definedName>
    <definedName name="FixedAssetSoftwareSqillsIncreaseCashEURIn" localSheetId="7">'[15]nfm-f670-d158 (GreenSpeed)'!#REF!</definedName>
    <definedName name="FixedAssetSoftwareSqillsIncreaseCashEURIn">'[16]nfm-f670-d158 (GreenSpeed)'!#REF!</definedName>
    <definedName name="FixedAssetSoftwareSqillsIncreaseCashGBPIn" localSheetId="7">'[15]nfm-f670-d158 (GreenSpeed)'!#REF!</definedName>
    <definedName name="FixedAssetSoftwareSqillsIncreaseCashGBPIn">'[16]nfm-f670-d158 (GreenSpeed)'!#REF!</definedName>
    <definedName name="forecast_check" localSheetId="7">'[10]Forecast Detail'!$AQ:$AS</definedName>
    <definedName name="forecast_check">'[11]Forecast Detail'!$AQ:$AS</definedName>
    <definedName name="forecast_type" localSheetId="7">[10]Sheet1!$D$2:$D$4</definedName>
    <definedName name="forecast_type">[11]Sheet1!$D$2:$D$4</definedName>
    <definedName name="Forecast_versions" localSheetId="7">[10]Sheet1!$C$2:$C$14</definedName>
    <definedName name="Forecast_versions">[11]Sheet1!$C$2:$C$14</definedName>
    <definedName name="forecastVersion">[52]iSetup!$B$2:$B$14</definedName>
    <definedName name="FR" localSheetId="11" hidden="1">{#N/A,#N/A,FALSE,"budget97";#N/A,#N/A,FALSE,"budget97 (2)";#N/A,#N/A,FALSE,"Conso. Groupe BM 95 à 97";#N/A,#N/A,FALSE,"INVEST 97";#N/A,#N/A,FALSE,"Investissements";#N/A,#N/A,FALSE,"CA TRS";#N/A,#N/A,FALSE,"Tableau de Fin. social";#N/A,#N/A,FALSE,"Tableau de Fin. Conso"}</definedName>
    <definedName name="FR" hidden="1">{#N/A,#N/A,FALSE,"budget97";#N/A,#N/A,FALSE,"budget97 (2)";#N/A,#N/A,FALSE,"Conso. Groupe BM 95 à 97";#N/A,#N/A,FALSE,"INVEST 97";#N/A,#N/A,FALSE,"Investissements";#N/A,#N/A,FALSE,"CA TRS";#N/A,#N/A,FALSE,"Tableau de Fin. social";#N/A,#N/A,FALSE,"Tableau de Fin. Conso"}</definedName>
    <definedName name="FR_sal_increase" localSheetId="15">#REF!</definedName>
    <definedName name="FR_sal_increase">#REF!</definedName>
    <definedName name="FRET">#REF!</definedName>
    <definedName name="frzeffzf">'[53]passage ca soc-conso'!#REF!</definedName>
    <definedName name="FtePensionOtherIn" localSheetId="7">'[15]nfm-f670-d158 (GreenSpeed)'!#REF!</definedName>
    <definedName name="FtePensionOtherIn" localSheetId="15">'[16]nfm-f670-d158 (GreenSpeed)'!#REF!</definedName>
    <definedName name="FtePensionOtherIn">'[16]nfm-f670-d158 (GreenSpeed)'!#REF!</definedName>
    <definedName name="FtePensionUKIn" localSheetId="7">'[15]nfm-f670-d158 (GreenSpeed)'!#REF!</definedName>
    <definedName name="FtePensionUKIn" localSheetId="15">'[16]nfm-f670-d158 (GreenSpeed)'!#REF!</definedName>
    <definedName name="FtePensionUKIn">'[16]nfm-f670-d158 (GreenSpeed)'!#REF!</definedName>
    <definedName name="FXHedgeBalanceCfGBPIn" localSheetId="7">'[15]nfm-f670-d158 (GreenSpeed)'!#REF!</definedName>
    <definedName name="FXHedgeBalanceCfGBPIn" localSheetId="15">'[16]nfm-f670-d158 (GreenSpeed)'!#REF!</definedName>
    <definedName name="FXHedgeBalanceCfGBPIn">'[16]nfm-f670-d158 (GreenSpeed)'!#REF!</definedName>
    <definedName name="GaresR">#REF!</definedName>
    <definedName name="GBP2EUR">'[54]Reference '!$E$12</definedName>
    <definedName name="gdsqjipgqsdjiopgqsd" localSheetId="1" hidden="1">{#N/A,#N/A,FALSE,"TITCAISVIO";#N/A,#N/A,FALSE,"SOMMCAIS";#N/A,#N/A,FALSE,"PREVCAIS";#N/A,#N/A,FALSE,"RESCAIS";"Expertise CA1",#N/A,FALSE,"CA1";#N/A,#N/A,FALSE,"ANXECAIS";#N/A,#N/A,FALSE,"COMPCAIS"}</definedName>
    <definedName name="gdsqjipgqsdjiopgqsd" localSheetId="3" hidden="1">{#N/A,#N/A,FALSE,"TITCAISVIO";#N/A,#N/A,FALSE,"SOMMCAIS";#N/A,#N/A,FALSE,"PREVCAIS";#N/A,#N/A,FALSE,"RESCAIS";"Expertise CA1",#N/A,FALSE,"CA1";#N/A,#N/A,FALSE,"ANXECAIS";#N/A,#N/A,FALSE,"COMPCAIS"}</definedName>
    <definedName name="gdsqjipgqsdjiopgqsd" localSheetId="7" hidden="1">{#N/A,#N/A,FALSE,"TITCAISVIO";#N/A,#N/A,FALSE,"SOMMCAIS";#N/A,#N/A,FALSE,"PREVCAIS";#N/A,#N/A,FALSE,"RESCAIS";"Expertise CA1",#N/A,FALSE,"CA1";#N/A,#N/A,FALSE,"ANXECAIS";#N/A,#N/A,FALSE,"COMPCAIS"}</definedName>
    <definedName name="gdsqjipgqsdjiopgqsd" localSheetId="0" hidden="1">{#N/A,#N/A,FALSE,"TITCAISVIO";#N/A,#N/A,FALSE,"SOMMCAIS";#N/A,#N/A,FALSE,"PREVCAIS";#N/A,#N/A,FALSE,"RESCAIS";"Expertise CA1",#N/A,FALSE,"CA1";#N/A,#N/A,FALSE,"ANXECAIS";#N/A,#N/A,FALSE,"COMPCAIS"}</definedName>
    <definedName name="gdsqjipgqsdjiopgqsd" localSheetId="15" hidden="1">{#N/A,#N/A,FALSE,"TITCAISVIO";#N/A,#N/A,FALSE,"SOMMCAIS";#N/A,#N/A,FALSE,"PREVCAIS";#N/A,#N/A,FALSE,"RESCAIS";"Expertise CA1",#N/A,FALSE,"CA1";#N/A,#N/A,FALSE,"ANXECAIS";#N/A,#N/A,FALSE,"COMPCAIS"}</definedName>
    <definedName name="gdsqjipgqsdjiopgqsd" hidden="1">{#N/A,#N/A,FALSE,"TITCAISVIO";#N/A,#N/A,FALSE,"SOMMCAIS";#N/A,#N/A,FALSE,"PREVCAIS";#N/A,#N/A,FALSE,"RESCAIS";"Expertise CA1",#N/A,FALSE,"CA1";#N/A,#N/A,FALSE,"ANXECAIS";#N/A,#N/A,FALSE,"COMPCAIS"}</definedName>
    <definedName name="geo">[12]GEFFGL!$H$2</definedName>
    <definedName name="gfqsuiopgsqjiopqsg" localSheetId="1" hidden="1">{"Détails",#N/A,FALSE,"CL1";"Détails",#N/A,FALSE,"CL2"}</definedName>
    <definedName name="gfqsuiopgsqjiopqsg" localSheetId="3" hidden="1">{"Détails",#N/A,FALSE,"CL1";"Détails",#N/A,FALSE,"CL2"}</definedName>
    <definedName name="gfqsuiopgsqjiopqsg" localSheetId="7" hidden="1">{"Détails",#N/A,FALSE,"CL1";"Détails",#N/A,FALSE,"CL2"}</definedName>
    <definedName name="gfqsuiopgsqjiopqsg" localSheetId="0" hidden="1">{"Détails",#N/A,FALSE,"CL1";"Détails",#N/A,FALSE,"CL2"}</definedName>
    <definedName name="gfqsuiopgsqjiopqsg" localSheetId="15" hidden="1">{"Détails",#N/A,FALSE,"CL1";"Détails",#N/A,FALSE,"CL2"}</definedName>
    <definedName name="gfqsuiopgsqjiopqsg" hidden="1">{"Détails",#N/A,FALSE,"CL1";"Détails",#N/A,FALSE,"CL2"}</definedName>
    <definedName name="GG" localSheetId="11" hidden="1">{#N/A,#N/A,TRUE,"C.A. reg.";#N/A,#N/A,TRUE,"Provence";#N/A,#N/A,TRUE,"Rhône";#N/A,#N/A,TRUE,"Côte d'Azur";#N/A,#N/A,TRUE,"Briançonnais";#N/A,#N/A,TRUE,"Abt Travail";#N/A,#N/A,TRUE,"Abt EEA";#N/A,#N/A,TRUE,"Prod.Région.";#N/A,#N/A,TRUE,"ANNEXES"}</definedName>
    <definedName name="GG" hidden="1">{#N/A,#N/A,TRUE,"C.A. reg.";#N/A,#N/A,TRUE,"Provence";#N/A,#N/A,TRUE,"Rhône";#N/A,#N/A,TRUE,"Côte d'Azur";#N/A,#N/A,TRUE,"Briançonnais";#N/A,#N/A,TRUE,"Abt Travail";#N/A,#N/A,TRUE,"Abt EEA";#N/A,#N/A,TRUE,"Prod.Région.";#N/A,#N/A,TRUE,"ANNEXES"}</definedName>
    <definedName name="gherhhhqersdbhq" localSheetId="1" hidden="1">{"Détails",#N/A,FALSE,"CL1";"Détails",#N/A,FALSE,"CL2"}</definedName>
    <definedName name="gherhhhqersdbhq" localSheetId="3" hidden="1">{"Détails",#N/A,FALSE,"CL1";"Détails",#N/A,FALSE,"CL2"}</definedName>
    <definedName name="gherhhhqersdbhq" localSheetId="7" hidden="1">{"Détails",#N/A,FALSE,"CL1";"Détails",#N/A,FALSE,"CL2"}</definedName>
    <definedName name="gherhhhqersdbhq" localSheetId="0" hidden="1">{"Détails",#N/A,FALSE,"CL1";"Détails",#N/A,FALSE,"CL2"}</definedName>
    <definedName name="gherhhhqersdbhq" localSheetId="15" hidden="1">{"Détails",#N/A,FALSE,"CL1";"Détails",#N/A,FALSE,"CL2"}</definedName>
    <definedName name="gherhhhqersdbhq" hidden="1">{"Détails",#N/A,FALSE,"CL1";"Détails",#N/A,FALSE,"CL2"}</definedName>
    <definedName name="gklugkjl"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gklugkjl"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global">#REF!</definedName>
    <definedName name="gqsrgsqgrqsgh" localSheetId="1" hidden="1">{"Détails",#N/A,FALSE,"CL1";"Détails",#N/A,FALSE,"CL2"}</definedName>
    <definedName name="gqsrgsqgrqsgh" localSheetId="3" hidden="1">{"Détails",#N/A,FALSE,"CL1";"Détails",#N/A,FALSE,"CL2"}</definedName>
    <definedName name="gqsrgsqgrqsgh" localSheetId="7" hidden="1">{"Détails",#N/A,FALSE,"CL1";"Détails",#N/A,FALSE,"CL2"}</definedName>
    <definedName name="gqsrgsqgrqsgh" localSheetId="0" hidden="1">{"Détails",#N/A,FALSE,"CL1";"Détails",#N/A,FALSE,"CL2"}</definedName>
    <definedName name="gqsrgsqgrqsgh" localSheetId="15" hidden="1">{"Détails",#N/A,FALSE,"CL1";"Détails",#N/A,FALSE,"CL2"}</definedName>
    <definedName name="gqsrgsqgrqsgh" hidden="1">{"Détails",#N/A,FALSE,"CL1";"Détails",#N/A,FALSE,"CL2"}</definedName>
    <definedName name="graphe" hidden="1">'[2]Participt non conso '!#REF!</definedName>
    <definedName name="GT"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GT"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GY" localSheetId="11" hidden="1">{#N/A,#N/A,FALSE,"Résultats conso";#N/A,#N/A,FALSE,"Intérêts mino N-1 à N";#N/A,#N/A,FALSE,"Réserves soc &amp; conso";#N/A,#N/A,FALSE,"Passage N-1 à N";#N/A,#N/A,FALSE,"Tab. fi. sociaux et conso"}</definedName>
    <definedName name="GY" hidden="1">{#N/A,#N/A,FALSE,"Résultats conso";#N/A,#N/A,FALSE,"Intérêts mino N-1 à N";#N/A,#N/A,FALSE,"Réserves soc &amp; conso";#N/A,#N/A,FALSE,"Passage N-1 à N";#N/A,#N/A,FALSE,"Tab. fi. sociaux et conso"}</definedName>
    <definedName name="h" localSheetId="1" hidden="1">{"Couverture",#N/A,FALSE,"garde";#N/A,#N/A,FALSE,"En tête";"Caisse",#N/A,FALSE,"Caisse";"Clim",#N/A,FALSE,"clim";"Electriq",#N/A,FALSE,"electrique";"Electron",#N/A,FALSE,"Electronique";"Frein",#N/A,FALSE,"Frein";"Mécan",#N/A,FALSE,"Mecanique"}</definedName>
    <definedName name="h" localSheetId="3" hidden="1">{"Couverture",#N/A,FALSE,"garde";#N/A,#N/A,FALSE,"En tête";"Caisse",#N/A,FALSE,"Caisse";"Clim",#N/A,FALSE,"clim";"Electriq",#N/A,FALSE,"electrique";"Electron",#N/A,FALSE,"Electronique";"Frein",#N/A,FALSE,"Frein";"Mécan",#N/A,FALSE,"Mecanique"}</definedName>
    <definedName name="h" localSheetId="7" hidden="1">{"Couverture",#N/A,FALSE,"garde";#N/A,#N/A,FALSE,"En tête";"Caisse",#N/A,FALSE,"Caisse";"Clim",#N/A,FALSE,"clim";"Electriq",#N/A,FALSE,"electrique";"Electron",#N/A,FALSE,"Electronique";"Frein",#N/A,FALSE,"Frein";"Mécan",#N/A,FALSE,"Mecanique"}</definedName>
    <definedName name="h" localSheetId="0" hidden="1">{"Couverture",#N/A,FALSE,"garde";#N/A,#N/A,FALSE,"En tête";"Caisse",#N/A,FALSE,"Caisse";"Clim",#N/A,FALSE,"clim";"Electriq",#N/A,FALSE,"electrique";"Electron",#N/A,FALSE,"Electronique";"Frein",#N/A,FALSE,"Frein";"Mécan",#N/A,FALSE,"Mecanique"}</definedName>
    <definedName name="h" localSheetId="15" hidden="1">{"Couverture",#N/A,FALSE,"garde";#N/A,#N/A,FALSE,"En tête";"Caisse",#N/A,FALSE,"Caisse";"Clim",#N/A,FALSE,"clim";"Electriq",#N/A,FALSE,"electrique";"Electron",#N/A,FALSE,"Electronique";"Frein",#N/A,FALSE,"Frein";"Mécan",#N/A,FALSE,"Mecanique"}</definedName>
    <definedName name="h" hidden="1">{"Couverture",#N/A,FALSE,"garde";#N/A,#N/A,FALSE,"En tête";"Caisse",#N/A,FALSE,"Caisse";"Clim",#N/A,FALSE,"clim";"Electriq",#N/A,FALSE,"electrique";"Electron",#N/A,FALSE,"Electronique";"Frein",#N/A,FALSE,"Frein";"Mécan",#N/A,FALSE,"Mecanique"}</definedName>
    <definedName name="HCACBXL">[55]HSL!#REF!</definedName>
    <definedName name="HCBXLAC">[55]HSL!#REF!</definedName>
    <definedName name="HCBXLCOL">[55]HSL!#REF!</definedName>
    <definedName name="HCBXLF">'[56]infra SNCB'!#REF!</definedName>
    <definedName name="HCBXLLG">[55]HSL!#REF!</definedName>
    <definedName name="HCBXLNL">[55]HSL!#REF!</definedName>
    <definedName name="HCBXLS">'[56]infra SNCB'!#REF!</definedName>
    <definedName name="HCDFOST">#REF!</definedName>
    <definedName name="HCDWLG">#REF!</definedName>
    <definedName name="HCFBXL">'[56]infra SNCB'!#REF!</definedName>
    <definedName name="HCLGBXL">[55]HSL!#REF!</definedName>
    <definedName name="HCNLBXL">'[56]infra SNCB'!#REF!</definedName>
    <definedName name="HCOSTDF">#REF!</definedName>
    <definedName name="HCSBXL">[55]HSL!#REF!</definedName>
    <definedName name="hdrshdsbfxc" localSheetId="1" hidden="1">{#N/A,#N/A,FALSE,"ANNEXES CLIM"}</definedName>
    <definedName name="hdrshdsbfxc" localSheetId="3" hidden="1">{#N/A,#N/A,FALSE,"ANNEXES CLIM"}</definedName>
    <definedName name="hdrshdsbfxc" localSheetId="7" hidden="1">{#N/A,#N/A,FALSE,"ANNEXES CLIM"}</definedName>
    <definedName name="hdrshdsbfxc" localSheetId="0" hidden="1">{#N/A,#N/A,FALSE,"ANNEXES CLIM"}</definedName>
    <definedName name="hdrshdsbfxc" localSheetId="15" hidden="1">{#N/A,#N/A,FALSE,"ANNEXES CLIM"}</definedName>
    <definedName name="hdrshdsbfxc" hidden="1">{#N/A,#N/A,FALSE,"ANNEXES CLIM"}</definedName>
    <definedName name="HeadOfficeStaffNumberOther" localSheetId="7">'[15]nfm-f670-d158 (GreenSpeed)'!#REF!</definedName>
    <definedName name="HeadOfficeStaffNumberOther">'[16]nfm-f670-d158 (GreenSpeed)'!#REF!</definedName>
    <definedName name="HeadOfficeStaffNumberUK" localSheetId="7">'[15]nfm-f670-d158 (GreenSpeed)'!#REF!</definedName>
    <definedName name="HeadOfficeStaffNumberUK">'[16]nfm-f670-d158 (GreenSpeed)'!#REF!</definedName>
    <definedName name="HedgeFairValueCfEURIn" localSheetId="7">'[15]nfm-f670-d158 (GreenSpeed)'!#REF!</definedName>
    <definedName name="HedgeFairValueCfEURIn">'[16]nfm-f670-d158 (GreenSpeed)'!#REF!</definedName>
    <definedName name="HedgeFairValueCfGBPIn" localSheetId="7">'[15]nfm-f670-d158 (GreenSpeed)'!#REF!</definedName>
    <definedName name="HedgeFairValueCfGBPIn">'[16]nfm-f670-d158 (GreenSpeed)'!#REF!</definedName>
    <definedName name="hj">#REF!</definedName>
    <definedName name="hjsdqjkqsdf" hidden="1">'[2]Participt non conso '!#REF!</definedName>
    <definedName name="hlmkhmlkjhmoze">'[57]5.4 TFT EPIC'!#REF!</definedName>
    <definedName name="HLP">[58]CDR!#REF!</definedName>
    <definedName name="HNALHPBSMI">'[56]infra sncf'!#REF!</definedName>
    <definedName name="HNBXLF">'[56]infra SNCB'!#REF!</definedName>
    <definedName name="HNFBXL">'[56]infra SNCB'!#REF!</definedName>
    <definedName name="HNHPBOGEI">'[56]infra sncf'!#REF!</definedName>
    <definedName name="HNHPCRMLVP">'[56]infra sncf'!#REF!</definedName>
    <definedName name="HNHPCRP">'[56]infra sncf'!#REF!</definedName>
    <definedName name="HNHPGOI">'[56]infra sncf'!#REF!</definedName>
    <definedName name="HNHPGOP">'[56]infra sncf'!#REF!</definedName>
    <definedName name="HNHPHNBDXI">'[56]infra sncf'!#REF!</definedName>
    <definedName name="HNHPPKI">'[56]infra sncf'!#REF!</definedName>
    <definedName name="HNHPPKMOI">'[56]infra sncf'!#REF!</definedName>
    <definedName name="HNPASHPMARI">'[56]infra sncf'!#REF!</definedName>
    <definedName name="HNTTBSMP">'[56]infra sncf'!#REF!</definedName>
    <definedName name="HNTTGEMLVP">'[56]infra sncf'!#REF!</definedName>
    <definedName name="HNTTI">'[56]infra sncf'!#REF!</definedName>
    <definedName name="HNTTMARSP">'[56]infra sncf'!#REF!</definedName>
    <definedName name="HNTTMLVI">'[56]infra sncf'!#REF!</definedName>
    <definedName name="HNTTMLVP">'[56]infra sncf'!#REF!</definedName>
    <definedName name="HNTTP">'[56]infra sncf'!#REF!</definedName>
    <definedName name="hors_cap">#REF!</definedName>
    <definedName name="HoursInDayIn">24</definedName>
    <definedName name="HPBXLCOL">[55]HSL!#REF!</definedName>
    <definedName name="HPBXLF">'[56]infra SNCB'!#REF!</definedName>
    <definedName name="HPBXLNL">[55]HSL!#REF!</definedName>
    <definedName name="HPBXLS">'[56]infra SNCB'!#REF!</definedName>
    <definedName name="HPFBXL">'[56]infra SNCB'!#REF!</definedName>
    <definedName name="HPHNCRMLVI">'[56]infra sncf'!#REF!</definedName>
    <definedName name="HPHNCRP">'[56]infra sncf'!#REF!</definedName>
    <definedName name="HPHNGOI">'[56]infra sncf'!#REF!</definedName>
    <definedName name="HPHNGOP">'[56]infra sncf'!#REF!</definedName>
    <definedName name="HPHNHPBDXP">'[56]infra sncf'!#REF!</definedName>
    <definedName name="HPHNMOP">'[56]infra sncf'!#REF!</definedName>
    <definedName name="HPHNPKI">'[56]infra sncf'!#REF!</definedName>
    <definedName name="HPHNROI">'[56]infra sncf'!#REF!</definedName>
    <definedName name="HPHNROP">'[56]infra sncf'!#REF!</definedName>
    <definedName name="HPHNVEMLVI">'[56]infra sncf'!#REF!</definedName>
    <definedName name="HPHNVEMLVP">'[56]infra sncf'!#REF!</definedName>
    <definedName name="HPLGDW">#REF!</definedName>
    <definedName name="HPOSTDF">#REF!</definedName>
    <definedName name="HPSBXL">[55]HSL!#REF!</definedName>
    <definedName name="HPTTI">'[56]infra sncf'!#REF!</definedName>
    <definedName name="HPTTMLVI">'[56]infra sncf'!#REF!</definedName>
    <definedName name="HPTTMLVP">'[56]infra sncf'!#REF!</definedName>
    <definedName name="HPTTP">'[56]infra sncf'!#REF!</definedName>
    <definedName name="hrejkgkerj" localSheetId="1" hidden="1">{#N/A,#N/A,FALSE,"TITCAISVIO";#N/A,#N/A,FALSE,"SOMMCAIS";#N/A,#N/A,FALSE,"PREVCAIS";#N/A,#N/A,FALSE,"RESCAIS";"Expertise CA1",#N/A,FALSE,"CA1";#N/A,#N/A,FALSE,"ANXECAIS";#N/A,#N/A,FALSE,"COMPCAIS"}</definedName>
    <definedName name="hrejkgkerj" localSheetId="3" hidden="1">{#N/A,#N/A,FALSE,"TITCAISVIO";#N/A,#N/A,FALSE,"SOMMCAIS";#N/A,#N/A,FALSE,"PREVCAIS";#N/A,#N/A,FALSE,"RESCAIS";"Expertise CA1",#N/A,FALSE,"CA1";#N/A,#N/A,FALSE,"ANXECAIS";#N/A,#N/A,FALSE,"COMPCAIS"}</definedName>
    <definedName name="hrejkgkerj" localSheetId="7" hidden="1">{#N/A,#N/A,FALSE,"TITCAISVIO";#N/A,#N/A,FALSE,"SOMMCAIS";#N/A,#N/A,FALSE,"PREVCAIS";#N/A,#N/A,FALSE,"RESCAIS";"Expertise CA1",#N/A,FALSE,"CA1";#N/A,#N/A,FALSE,"ANXECAIS";#N/A,#N/A,FALSE,"COMPCAIS"}</definedName>
    <definedName name="hrejkgkerj" localSheetId="0" hidden="1">{#N/A,#N/A,FALSE,"TITCAISVIO";#N/A,#N/A,FALSE,"SOMMCAIS";#N/A,#N/A,FALSE,"PREVCAIS";#N/A,#N/A,FALSE,"RESCAIS";"Expertise CA1",#N/A,FALSE,"CA1";#N/A,#N/A,FALSE,"ANXECAIS";#N/A,#N/A,FALSE,"COMPCAIS"}</definedName>
    <definedName name="hrejkgkerj" localSheetId="15" hidden="1">{#N/A,#N/A,FALSE,"TITCAISVIO";#N/A,#N/A,FALSE,"SOMMCAIS";#N/A,#N/A,FALSE,"PREVCAIS";#N/A,#N/A,FALSE,"RESCAIS";"Expertise CA1",#N/A,FALSE,"CA1";#N/A,#N/A,FALSE,"ANXECAIS";#N/A,#N/A,FALSE,"COMPCAIS"}</definedName>
    <definedName name="hrejkgkerj" hidden="1">{#N/A,#N/A,FALSE,"TITCAISVIO";#N/A,#N/A,FALSE,"SOMMCAIS";#N/A,#N/A,FALSE,"PREVCAIS";#N/A,#N/A,FALSE,"RESCAIS";"Expertise CA1",#N/A,FALSE,"CA1";#N/A,#N/A,FALSE,"ANXECAIS";#N/A,#N/A,FALSE,"COMPCAIS"}</definedName>
    <definedName name="HT"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HT"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hteshsdfhsdf" localSheetId="1" hidden="1">{"Détails",#N/A,FALSE,"CL1";"Détails",#N/A,FALSE,"CL2"}</definedName>
    <definedName name="hteshsdfhsdf" localSheetId="3" hidden="1">{"Détails",#N/A,FALSE,"CL1";"Détails",#N/A,FALSE,"CL2"}</definedName>
    <definedName name="hteshsdfhsdf" localSheetId="7" hidden="1">{"Détails",#N/A,FALSE,"CL1";"Détails",#N/A,FALSE,"CL2"}</definedName>
    <definedName name="hteshsdfhsdf" localSheetId="0" hidden="1">{"Détails",#N/A,FALSE,"CL1";"Détails",#N/A,FALSE,"CL2"}</definedName>
    <definedName name="hteshsdfhsdf" localSheetId="15" hidden="1">{"Détails",#N/A,FALSE,"CL1";"Détails",#N/A,FALSE,"CL2"}</definedName>
    <definedName name="hteshsdfhsdf" hidden="1">{"Détails",#N/A,FALSE,"CL1";"Détails",#N/A,FALSE,"CL2"}</definedName>
    <definedName name="Hundred">100</definedName>
    <definedName name="i">#REF!</definedName>
    <definedName name="IGDiv">#REF!</definedName>
    <definedName name="IJ"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IJ"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IK"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IK"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ikl" localSheetId="11" hidden="1">{#N/A,#N/A,FALSE,"ECH IG";#N/A,#N/A,FALSE,"ECH DETTES"}</definedName>
    <definedName name="ikl" hidden="1">{#N/A,#N/A,FALSE,"ECH IG";#N/A,#N/A,FALSE,"ECH DETTES"}</definedName>
    <definedName name="immo">#REF!</definedName>
    <definedName name="immoarrondi">#REF!</definedName>
    <definedName name="immocorpincorp">#REF!</definedName>
    <definedName name="imp.334" localSheetId="1" hidden="1">{#N/A,#N/A,TRUE,"Basisdaten";#N/A,#N/A,TRUE,"Betriebsrestaurant";#N/A,#N/A,TRUE,"Zwischenverpflegung";#N/A,#N/A,TRUE,"Automaten";#N/A,#N/A,TRUE,"Etagenservice";#N/A,#N/A,TRUE,"Gästebereich";#N/A,#N/A,TRUE,"Kst_1";#N/A,#N/A,TRUE,"Sonderveranstaltungen";#N/A,#N/A,TRUE,"Kst_2";#N/A,#N/A,TRUE,"Kst_3";#N/A,#N/A,TRUE,"Kst_4";#N/A,#N/A,TRUE,"Kst_5";#N/A,#N/A,TRUE,"Namen"}</definedName>
    <definedName name="imp.334" localSheetId="3" hidden="1">{#N/A,#N/A,TRUE,"Basisdaten";#N/A,#N/A,TRUE,"Betriebsrestaurant";#N/A,#N/A,TRUE,"Zwischenverpflegung";#N/A,#N/A,TRUE,"Automaten";#N/A,#N/A,TRUE,"Etagenservice";#N/A,#N/A,TRUE,"Gästebereich";#N/A,#N/A,TRUE,"Kst_1";#N/A,#N/A,TRUE,"Sonderveranstaltungen";#N/A,#N/A,TRUE,"Kst_2";#N/A,#N/A,TRUE,"Kst_3";#N/A,#N/A,TRUE,"Kst_4";#N/A,#N/A,TRUE,"Kst_5";#N/A,#N/A,TRUE,"Namen"}</definedName>
    <definedName name="imp.334" localSheetId="7" hidden="1">{#N/A,#N/A,TRUE,"Basisdaten";#N/A,#N/A,TRUE,"Betriebsrestaurant";#N/A,#N/A,TRUE,"Zwischenverpflegung";#N/A,#N/A,TRUE,"Automaten";#N/A,#N/A,TRUE,"Etagenservice";#N/A,#N/A,TRUE,"Gästebereich";#N/A,#N/A,TRUE,"Kst_1";#N/A,#N/A,TRUE,"Sonderveranstaltungen";#N/A,#N/A,TRUE,"Kst_2";#N/A,#N/A,TRUE,"Kst_3";#N/A,#N/A,TRUE,"Kst_4";#N/A,#N/A,TRUE,"Kst_5";#N/A,#N/A,TRUE,"Namen"}</definedName>
    <definedName name="imp.334" localSheetId="0" hidden="1">{#N/A,#N/A,TRUE,"Basisdaten";#N/A,#N/A,TRUE,"Betriebsrestaurant";#N/A,#N/A,TRUE,"Zwischenverpflegung";#N/A,#N/A,TRUE,"Automaten";#N/A,#N/A,TRUE,"Etagenservice";#N/A,#N/A,TRUE,"Gästebereich";#N/A,#N/A,TRUE,"Kst_1";#N/A,#N/A,TRUE,"Sonderveranstaltungen";#N/A,#N/A,TRUE,"Kst_2";#N/A,#N/A,TRUE,"Kst_3";#N/A,#N/A,TRUE,"Kst_4";#N/A,#N/A,TRUE,"Kst_5";#N/A,#N/A,TRUE,"Namen"}</definedName>
    <definedName name="imp.334" localSheetId="15" hidden="1">{#N/A,#N/A,TRUE,"Basisdaten";#N/A,#N/A,TRUE,"Betriebsrestaurant";#N/A,#N/A,TRUE,"Zwischenverpflegung";#N/A,#N/A,TRUE,"Automaten";#N/A,#N/A,TRUE,"Etagenservice";#N/A,#N/A,TRUE,"Gästebereich";#N/A,#N/A,TRUE,"Kst_1";#N/A,#N/A,TRUE,"Sonderveranstaltungen";#N/A,#N/A,TRUE,"Kst_2";#N/A,#N/A,TRUE,"Kst_3";#N/A,#N/A,TRUE,"Kst_4";#N/A,#N/A,TRUE,"Kst_5";#N/A,#N/A,TRUE,"Namen"}</definedName>
    <definedName name="imp.334" hidden="1">{#N/A,#N/A,TRUE,"Basisdaten";#N/A,#N/A,TRUE,"Betriebsrestaurant";#N/A,#N/A,TRUE,"Zwischenverpflegung";#N/A,#N/A,TRUE,"Automaten";#N/A,#N/A,TRUE,"Etagenservice";#N/A,#N/A,TRUE,"Gästebereich";#N/A,#N/A,TRUE,"Kst_1";#N/A,#N/A,TRUE,"Sonderveranstaltungen";#N/A,#N/A,TRUE,"Kst_2";#N/A,#N/A,TRUE,"Kst_3";#N/A,#N/A,TRUE,"Kst_4";#N/A,#N/A,TRUE,"Kst_5";#N/A,#N/A,TRUE,"Namen"}</definedName>
    <definedName name="imp.34" localSheetId="1" hidden="1">{#N/A,#N/A,TRUE,"AB_Vertrag";#N/A,#N/A,TRUE,"AB_BWL"}</definedName>
    <definedName name="imp.34" localSheetId="3" hidden="1">{#N/A,#N/A,TRUE,"AB_Vertrag";#N/A,#N/A,TRUE,"AB_BWL"}</definedName>
    <definedName name="imp.34" localSheetId="7" hidden="1">{#N/A,#N/A,TRUE,"AB_Vertrag";#N/A,#N/A,TRUE,"AB_BWL"}</definedName>
    <definedName name="imp.34" localSheetId="0" hidden="1">{#N/A,#N/A,TRUE,"AB_Vertrag";#N/A,#N/A,TRUE,"AB_BWL"}</definedName>
    <definedName name="imp.34" localSheetId="15" hidden="1">{#N/A,#N/A,TRUE,"AB_Vertrag";#N/A,#N/A,TRUE,"AB_BWL"}</definedName>
    <definedName name="imp.34" hidden="1">{#N/A,#N/A,TRUE,"AB_Vertrag";#N/A,#N/A,TRUE,"AB_BWL"}</definedName>
    <definedName name="imp_yy" localSheetId="1" hidden="1">{#N/A,#N/A,TRUE,"AB_Vertrag";#N/A,#N/A,TRUE,"AB_BWL"}</definedName>
    <definedName name="imp_yy" localSheetId="3" hidden="1">{#N/A,#N/A,TRUE,"AB_Vertrag";#N/A,#N/A,TRUE,"AB_BWL"}</definedName>
    <definedName name="imp_yy" localSheetId="7" hidden="1">{#N/A,#N/A,TRUE,"AB_Vertrag";#N/A,#N/A,TRUE,"AB_BWL"}</definedName>
    <definedName name="imp_yy" localSheetId="0" hidden="1">{#N/A,#N/A,TRUE,"AB_Vertrag";#N/A,#N/A,TRUE,"AB_BWL"}</definedName>
    <definedName name="imp_yy" localSheetId="15" hidden="1">{#N/A,#N/A,TRUE,"AB_Vertrag";#N/A,#N/A,TRUE,"AB_BWL"}</definedName>
    <definedName name="imp_yy" hidden="1">{#N/A,#N/A,TRUE,"AB_Vertrag";#N/A,#N/A,TRUE,"AB_BWL"}</definedName>
    <definedName name="Indic">#REF!</definedName>
    <definedName name="Instderivesa">#REF!</definedName>
    <definedName name="Instderivesb">#REF!</definedName>
    <definedName name="Instderivesc">#REF!</definedName>
    <definedName name="Instderivesd">#REF!</definedName>
    <definedName name="Instderivese">#REF!</definedName>
    <definedName name="Instderivesf">#REF!</definedName>
    <definedName name="Instderivesg">#REF!</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40143.690150463</definedName>
    <definedName name="IQ_NTM" hidden="1">6000</definedName>
    <definedName name="IQ_TODAY" hidden="1">0</definedName>
    <definedName name="IQ_WEEK" hidden="1">50000</definedName>
    <definedName name="IQ_YTD" hidden="1">3000</definedName>
    <definedName name="IRSwapCurrentBalanceCfEURIn" localSheetId="7">'[15]nfm-f670-d158 (GreenSpeed)'!#REF!</definedName>
    <definedName name="IRSwapCurrentBalanceCfEURIn">'[16]nfm-f670-d158 (GreenSpeed)'!#REF!</definedName>
    <definedName name="IRSwapCurrentBalanceCfGBPIn" localSheetId="7">'[15]nfm-f670-d158 (GreenSpeed)'!#REF!</definedName>
    <definedName name="IRSwapCurrentBalanceCfGBPIn">'[16]nfm-f670-d158 (GreenSpeed)'!#REF!</definedName>
    <definedName name="janvier" localSheetId="11" hidden="1">{#N/A,#N/A,TRUE,"C.A. reg.";#N/A,#N/A,TRUE,"Provence";#N/A,#N/A,TRUE,"Rhône";#N/A,#N/A,TRUE,"Côte d'Azur";#N/A,#N/A,TRUE,"Briançonnais";#N/A,#N/A,TRUE,"Abt Travail";#N/A,#N/A,TRUE,"Abt EEA";#N/A,#N/A,TRUE,"Prod.Région.";#N/A,#N/A,TRUE,"ANNEXES"}</definedName>
    <definedName name="janvier" hidden="1">{#N/A,#N/A,TRUE,"C.A. reg.";#N/A,#N/A,TRUE,"Provence";#N/A,#N/A,TRUE,"Rhône";#N/A,#N/A,TRUE,"Côte d'Azur";#N/A,#N/A,TRUE,"Briançonnais";#N/A,#N/A,TRUE,"Abt Travail";#N/A,#N/A,TRUE,"Abt EEA";#N/A,#N/A,TRUE,"Prod.Région.";#N/A,#N/A,TRUE,"ANNEXES"}</definedName>
    <definedName name="JD">#REF!</definedName>
    <definedName name="jhjj"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jhjj"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jj"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jj"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Job">[59]Sheet1!$R$4:$R$9</definedName>
    <definedName name="juinNB">[38]Dimensions!#REF!</definedName>
    <definedName name="k" localSheetId="11" hidden="1">{#N/A,#N/A,TRUE,"C.A. reg.";#N/A,#N/A,TRUE,"Provence";#N/A,#N/A,TRUE,"Rhône";#N/A,#N/A,TRUE,"Côte d'Azur";#N/A,#N/A,TRUE,"Briançonnais";#N/A,#N/A,TRUE,"Abt Travail";#N/A,#N/A,TRUE,"Abt EEA";#N/A,#N/A,TRUE,"Prod.Région.";#N/A,#N/A,TRUE,"ANNEXES"}</definedName>
    <definedName name="k" hidden="1">{#N/A,#N/A,TRUE,"C.A. reg.";#N/A,#N/A,TRUE,"Provence";#N/A,#N/A,TRUE,"Rhône";#N/A,#N/A,TRUE,"Côte d'Azur";#N/A,#N/A,TRUE,"Briançonnais";#N/A,#N/A,TRUE,"Abt Travail";#N/A,#N/A,TRUE,"Abt EEA";#N/A,#N/A,TRUE,"Prod.Région.";#N/A,#N/A,TRUE,"ANNEXES"}</definedName>
    <definedName name="Lang">'[60]Indices perte de valeur'!$D$4</definedName>
    <definedName name="LD_CAVA_PBA_01">'[23]Trains Week'!$C$96</definedName>
    <definedName name="LD_CAVA_PBA_02">'[23]Trains Week'!$D$96</definedName>
    <definedName name="LD_CAVA_PBA_03">'[23]Trains Week'!$E$96</definedName>
    <definedName name="LD_CAVB_MLV_01">'[23]Trains Week'!$C$120</definedName>
    <definedName name="LD_CAVB_MLV_02">'[23]Trains Week'!$D$120</definedName>
    <definedName name="LD_CAVB_MLV_03">'[23]Trains Week'!$E$120</definedName>
    <definedName name="LD_CAVB_PB_01">'[23]Trains Week'!$C$48</definedName>
    <definedName name="LD_CAVB_PB_02">'[23]Trains Week'!$D$48</definedName>
    <definedName name="LD_CAVB_PB_03">'[23]Trains Week'!$E$48</definedName>
    <definedName name="LD_CAVB_PBA_01">'[23]Trains Week'!$C$84</definedName>
    <definedName name="LD_CAVB_PBA_02">'[23]Trains Week'!$D$84</definedName>
    <definedName name="LD_CAVB_PBA_03">'[23]Trains Week'!$E$84</definedName>
    <definedName name="LD_CAVB_PBK_01">'[23]Trains Week'!$K$48</definedName>
    <definedName name="LD_CAVB_PBK_02">'[23]Trains Week'!$L$48</definedName>
    <definedName name="LD_CAVB_PBK_03">'[23]Trains Week'!$M$48</definedName>
    <definedName name="LD_CAVk_PBK_01">'[23]Trains Week'!$K$66</definedName>
    <definedName name="LD_CAVk_PBK_02">'[23]Trains Week'!$L$66</definedName>
    <definedName name="LD_CAVk_PBK_03">'[23]Trains Week'!$M$66</definedName>
    <definedName name="LD_CAVP_DW_01">'[23]Trains Week'!$C$140</definedName>
    <definedName name="LD_CAVP_DW_02">'[23]Trains Week'!$D$140</definedName>
    <definedName name="LD_CAVP_DW_03">'[23]Trains Week'!$E$140</definedName>
    <definedName name="LD_CAVP_MLV_01">'[23]Trains Week'!$C$125</definedName>
    <definedName name="LD_CAVP_MLV_02">'[23]Trains Week'!$D$125</definedName>
    <definedName name="LD_CAVP_MLV_03">'[23]Trains Week'!$E$125</definedName>
    <definedName name="LD_CAVP_PB_01">'[23]Trains Week'!$C$54</definedName>
    <definedName name="LD_CAVP_PB_02">'[23]Trains Week'!$D$54</definedName>
    <definedName name="LD_CAVP_PB_03">'[23]Trains Week'!$E$54</definedName>
    <definedName name="LD_CAVP_PBA_01">'[23]Trains Week'!$C$90</definedName>
    <definedName name="LD_CAVP_PBA_02">'[23]Trains Week'!$D$90</definedName>
    <definedName name="LD_CAVP_PBA_03">'[23]Trains Week'!$E$90</definedName>
    <definedName name="LD_CAVP_PBK_01">'[23]Trains Week'!$K$54</definedName>
    <definedName name="LD_CAVP_PBK_02">'[23]Trains Week'!$L$54</definedName>
    <definedName name="LD_CAVP_PBK_03">'[23]Trains Week'!$M$54</definedName>
    <definedName name="LeverageDebtInterestRateIn" localSheetId="7">'[15]nfm-f670-d158 (GreenSpeed)'!#REF!</definedName>
    <definedName name="LeverageDebtInterestRateIn">'[16]nfm-f670-d158 (GreenSpeed)'!#REF!</definedName>
    <definedName name="LeverageDebtRepaymentIn" localSheetId="7">'[15]nfm-f670-d158 (GreenSpeed)'!#REF!</definedName>
    <definedName name="LeverageDebtRepaymentIn">'[16]nfm-f670-d158 (GreenSpeed)'!#REF!</definedName>
    <definedName name="LeverageDividendTargetIn" localSheetId="7">'[15]nfm-f670-d158 (GreenSpeed)'!#REF!</definedName>
    <definedName name="LeverageDividendTargetIn">'[16]nfm-f670-d158 (GreenSpeed)'!#REF!</definedName>
    <definedName name="LeverageLimitNCAIn" localSheetId="7">'[15]nfm-f670-d158 (GreenSpeed)'!#REF!</definedName>
    <definedName name="LeverageLimitNCAIn">'[16]nfm-f670-d158 (GreenSpeed)'!#REF!</definedName>
    <definedName name="List_Distributors">[61]Lists!$C$374:$C$385</definedName>
    <definedName name="List_Esc_Profiles">[62]Econ!$C$36:$C$71</definedName>
    <definedName name="List_Other_Fixed">[62]NonOpCost!$C$376:$C$386</definedName>
    <definedName name="Liste">[63]CHIMIE!$J$5:$J$8</definedName>
    <definedName name="liste_entités">#REF!</definedName>
    <definedName name="Liste_Ref">'[64]liste ref'!$1:$1048576</definedName>
    <definedName name="ll"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ll"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llmjkmjklm" localSheetId="1" hidden="1">{"Détails",#N/A,FALSE,"CL1";"Détails",#N/A,FALSE,"CL2"}</definedName>
    <definedName name="llmjkmjklm" localSheetId="3" hidden="1">{"Détails",#N/A,FALSE,"CL1";"Détails",#N/A,FALSE,"CL2"}</definedName>
    <definedName name="llmjkmjklm" localSheetId="7" hidden="1">{"Détails",#N/A,FALSE,"CL1";"Détails",#N/A,FALSE,"CL2"}</definedName>
    <definedName name="llmjkmjklm" localSheetId="0" hidden="1">{"Détails",#N/A,FALSE,"CL1";"Détails",#N/A,FALSE,"CL2"}</definedName>
    <definedName name="llmjkmjklm" localSheetId="15" hidden="1">{"Détails",#N/A,FALSE,"CL1";"Détails",#N/A,FALSE,"CL2"}</definedName>
    <definedName name="llmjkmjklm" hidden="1">{"Détails",#N/A,FALSE,"CL1";"Détails",#N/A,FALSE,"CL2"}</definedName>
    <definedName name="LoadFactorThresholdHighIn" localSheetId="7">[17]AdminData!$F$73</definedName>
    <definedName name="LoadFactorThresholdHighIn">[18]AdminData!$F$73</definedName>
    <definedName name="LoadFactorThresholdLowIn" localSheetId="7">[17]AdminData!$F$74</definedName>
    <definedName name="LoadFactorThresholdLowIn">[18]AdminData!$F$74</definedName>
    <definedName name="LoadFactorThresholdVHighIn" localSheetId="7">[17]AdminData!$F$72</definedName>
    <definedName name="LoadFactorThresholdVHighIn">[18]AdminData!$F$72</definedName>
    <definedName name="LoadFactorThresholdVLowIn" localSheetId="7">[17]AdminData!$F$75</definedName>
    <definedName name="LoadFactorThresholdVLowIn">[18]AdminData!$F$75</definedName>
    <definedName name="Location">[59]Sheet1!$Q$4:$Q$13</definedName>
    <definedName name="Locations">[59]Sheet1!$Q$4:$Q$11</definedName>
    <definedName name="lop" localSheetId="11" hidden="1">{#N/A,#N/A,FALSE,"budget97";#N/A,#N/A,FALSE,"budget97 (2)";#N/A,#N/A,FALSE,"Conso. Groupe BM 95 à 97";#N/A,#N/A,FALSE,"INVEST 97";#N/A,#N/A,FALSE,"Investissements";#N/A,#N/A,FALSE,"CA TRS";#N/A,#N/A,FALSE,"Tableau de Fin. social";#N/A,#N/A,FALSE,"Tableau de Fin. Conso"}</definedName>
    <definedName name="lop" hidden="1">{#N/A,#N/A,FALSE,"budget97";#N/A,#N/A,FALSE,"budget97 (2)";#N/A,#N/A,FALSE,"Conso. Groupe BM 95 à 97";#N/A,#N/A,FALSE,"INVEST 97";#N/A,#N/A,FALSE,"Investissements";#N/A,#N/A,FALSE,"CA TRS";#N/A,#N/A,FALSE,"Tableau de Fin. social";#N/A,#N/A,FALSE,"Tableau de Fin. Conso"}</definedName>
    <definedName name="luInflators">[42]aSysStructure!$E$20:$E$58</definedName>
    <definedName name="luVolumes" localSheetId="7">[45]iVolumes!$F$322:$F$395</definedName>
    <definedName name="luVolumes">[46]iVolumes!$F$322:$F$395</definedName>
    <definedName name="MAIN">[49]recapRes!#REF!</definedName>
    <definedName name="maint">'[65]charters '!#REF!</definedName>
    <definedName name="MarketingStaffNumberOther" localSheetId="7">'[15]nfm-f670-d158 (GreenSpeed)'!#REF!</definedName>
    <definedName name="MarketingStaffNumberOther">'[16]nfm-f670-d158 (GreenSpeed)'!#REF!</definedName>
    <definedName name="MarketingStaffNumberUK" localSheetId="7">'[15]nfm-f670-d158 (GreenSpeed)'!#REF!</definedName>
    <definedName name="MarketingStaffNumberUK">'[16]nfm-f670-d158 (GreenSpeed)'!#REF!</definedName>
    <definedName name="MARS" localSheetId="11" hidden="1">{#N/A,#N/A,TRUE,"C.A. reg.";#N/A,#N/A,TRUE,"Provence";#N/A,#N/A,TRUE,"Rhône";#N/A,#N/A,TRUE,"Côte d'Azur";#N/A,#N/A,TRUE,"Briançonnais";#N/A,#N/A,TRUE,"Abt Travail";#N/A,#N/A,TRUE,"Abt EEA";#N/A,#N/A,TRUE,"Prod.Région.";#N/A,#N/A,TRUE,"ANNEXES"}</definedName>
    <definedName name="MARS" hidden="1">{#N/A,#N/A,TRUE,"C.A. reg.";#N/A,#N/A,TRUE,"Provence";#N/A,#N/A,TRUE,"Rhône";#N/A,#N/A,TRUE,"Côte d'Azur";#N/A,#N/A,TRUE,"Briançonnais";#N/A,#N/A,TRUE,"Abt Travail";#N/A,#N/A,TRUE,"Abt EEA";#N/A,#N/A,TRUE,"Prod.Région.";#N/A,#N/A,TRUE,"ANNEXES"}</definedName>
    <definedName name="MasterCheck" localSheetId="7">[40]o_Checks!$K$8</definedName>
    <definedName name="MasterCheck">[41]o_Checks!$K$8</definedName>
    <definedName name="MessageNA">"n/a"</definedName>
    <definedName name="Million">1000000</definedName>
    <definedName name="minguette">[12]GEFFGL!$H$2</definedName>
    <definedName name="mm" localSheetId="11" hidden="1">{#N/A,#N/A,FALSE,"budget97";#N/A,#N/A,FALSE,"budget97 (2)";#N/A,#N/A,FALSE,"Conso. Groupe BM 95 à 97";#N/A,#N/A,FALSE,"INVEST 97";#N/A,#N/A,FALSE,"Investissements";#N/A,#N/A,FALSE,"CA TRS";#N/A,#N/A,FALSE,"Tableau de Fin. social";#N/A,#N/A,FALSE,"Tableau de Fin. Conso"}</definedName>
    <definedName name="mm" hidden="1">{#N/A,#N/A,FALSE,"budget97";#N/A,#N/A,FALSE,"budget97 (2)";#N/A,#N/A,FALSE,"Conso. Groupe BM 95 à 97";#N/A,#N/A,FALSE,"INVEST 97";#N/A,#N/A,FALSE,"Investissements";#N/A,#N/A,FALSE,"CA TRS";#N/A,#N/A,FALSE,"Tableau de Fin. social";#N/A,#N/A,FALSE,"Tableau de Fin. Conso"}</definedName>
    <definedName name="MO" localSheetId="11" hidden="1">{#N/A,#N/A,FALSE,"Résultats conso";#N/A,#N/A,FALSE,"Intérêts mino N-1 à N";#N/A,#N/A,FALSE,"Réserves soc &amp; conso";#N/A,#N/A,FALSE,"Passage N-1 à N";#N/A,#N/A,FALSE,"Tab. fi. sociaux et conso"}</definedName>
    <definedName name="MO" hidden="1">{#N/A,#N/A,FALSE,"Résultats conso";#N/A,#N/A,FALSE,"Intérêts mino N-1 à N";#N/A,#N/A,FALSE,"Réserves soc &amp; conso";#N/A,#N/A,FALSE,"Passage N-1 à N";#N/A,#N/A,FALSE,"Tab. fi. sociaux et conso"}</definedName>
    <definedName name="mois">[66]recapRes!$B$35</definedName>
    <definedName name="monthList">[52]iSetup!$A$2:$A$13</definedName>
    <definedName name="Months" localSheetId="7">[10]Sheet1!$A$2:$A$13</definedName>
    <definedName name="Months">[11]Sheet1!$A$2:$A$13</definedName>
    <definedName name="MonthsInYear">12</definedName>
    <definedName name="MP" localSheetId="11" hidden="1">{#N/A,#N/A,FALSE,"budget97";#N/A,#N/A,FALSE,"budget97 (2)";#N/A,#N/A,FALSE,"Conso. Groupe BM 95 à 97";#N/A,#N/A,FALSE,"INVEST 97";#N/A,#N/A,FALSE,"Investissements";#N/A,#N/A,FALSE,"CA TRS";#N/A,#N/A,FALSE,"Tableau de Fin. social";#N/A,#N/A,FALSE,"Tableau de Fin. Conso"}</definedName>
    <definedName name="MP" hidden="1">{#N/A,#N/A,FALSE,"budget97";#N/A,#N/A,FALSE,"budget97 (2)";#N/A,#N/A,FALSE,"Conso. Groupe BM 95 à 97";#N/A,#N/A,FALSE,"INVEST 97";#N/A,#N/A,FALSE,"Investissements";#N/A,#N/A,FALSE,"CA TRS";#N/A,#N/A,FALSE,"Tableau de Fin. social";#N/A,#N/A,FALSE,"Tableau de Fin. Conso"}</definedName>
    <definedName name="mpo" localSheetId="11" hidden="1">{#N/A,#N/A,FALSE,"budget97";#N/A,#N/A,FALSE,"budget97 (2)";#N/A,#N/A,FALSE,"Conso. Groupe BM 95 à 97";#N/A,#N/A,FALSE,"INVEST 97";#N/A,#N/A,FALSE,"Investissements";#N/A,#N/A,FALSE,"CA TRS";#N/A,#N/A,FALSE,"Tableau de Fin. social";#N/A,#N/A,FALSE,"Tableau de Fin. Conso"}</definedName>
    <definedName name="mpo" hidden="1">{#N/A,#N/A,FALSE,"budget97";#N/A,#N/A,FALSE,"budget97 (2)";#N/A,#N/A,FALSE,"Conso. Groupe BM 95 à 97";#N/A,#N/A,FALSE,"INVEST 97";#N/A,#N/A,FALSE,"Investissements";#N/A,#N/A,FALSE,"CA TRS";#N/A,#N/A,FALSE,"Tableau de Fin. social";#N/A,#N/A,FALSE,"Tableau de Fin. Conso"}</definedName>
    <definedName name="NATURES">[48]LISTES!#REF!</definedName>
    <definedName name="Natures_OBC">#REF!</definedName>
    <definedName name="NB" localSheetId="11" hidden="1">{#N/A,#N/A,FALSE,"Résultats conso";#N/A,#N/A,FALSE,"Intérêts mino N-1 à N";#N/A,#N/A,FALSE,"Réserves soc &amp; conso";#N/A,#N/A,FALSE,"Passage N-1 à N";#N/A,#N/A,FALSE,"Tab. fi. sociaux et conso"}</definedName>
    <definedName name="NB" hidden="1">{#N/A,#N/A,FALSE,"Résultats conso";#N/A,#N/A,FALSE,"Intérêts mino N-1 à N";#N/A,#N/A,FALSE,"Réserves soc &amp; conso";#N/A,#N/A,FALSE,"Passage N-1 à N";#N/A,#N/A,FALSE,"Tab. fi. sociaux et conso"}</definedName>
    <definedName name="neu" localSheetId="1" hidden="1">{#N/A,#N/A,TRUE,"AB_Vertrag";#N/A,#N/A,TRUE,"AB_BWL"}</definedName>
    <definedName name="neu" localSheetId="3" hidden="1">{#N/A,#N/A,TRUE,"AB_Vertrag";#N/A,#N/A,TRUE,"AB_BWL"}</definedName>
    <definedName name="neu" localSheetId="7" hidden="1">{#N/A,#N/A,TRUE,"AB_Vertrag";#N/A,#N/A,TRUE,"AB_BWL"}</definedName>
    <definedName name="neu" localSheetId="0" hidden="1">{#N/A,#N/A,TRUE,"AB_Vertrag";#N/A,#N/A,TRUE,"AB_BWL"}</definedName>
    <definedName name="neu" localSheetId="15" hidden="1">{#N/A,#N/A,TRUE,"AB_Vertrag";#N/A,#N/A,TRUE,"AB_BWL"}</definedName>
    <definedName name="neu" hidden="1">{#N/A,#N/A,TRUE,"AB_Vertrag";#N/A,#N/A,TRUE,"AB_BWL"}</definedName>
    <definedName name="nEuro2PoundNew">1.37</definedName>
    <definedName name="nEuro2PoundNew145">1.45</definedName>
    <definedName name="nEuro2PoundOld">1.15</definedName>
    <definedName name="NewSeniorBaseRateEUR" localSheetId="7">'[15]nfm-f670-d158 (GreenSpeed)'!#REF!</definedName>
    <definedName name="NewSeniorBaseRateEUR">'[16]nfm-f670-d158 (GreenSpeed)'!#REF!</definedName>
    <definedName name="NewSeniorBaseRateGBP" localSheetId="7">'[15]nfm-f670-d158 (GreenSpeed)'!#REF!</definedName>
    <definedName name="NewSeniorBaseRateGBP">'[16]nfm-f670-d158 (GreenSpeed)'!#REF!</definedName>
    <definedName name="NewSeniorDrawdownProfileEUR" localSheetId="7">'[15]nfm-f670-d158 (GreenSpeed)'!#REF!</definedName>
    <definedName name="NewSeniorDrawdownProfileEUR">'[16]nfm-f670-d158 (GreenSpeed)'!#REF!</definedName>
    <definedName name="NewSeniorDrawdownProfileGBP" localSheetId="7">'[15]nfm-f670-d158 (GreenSpeed)'!#REF!</definedName>
    <definedName name="NewSeniorDrawdownProfileGBP">'[16]nfm-f670-d158 (GreenSpeed)'!#REF!</definedName>
    <definedName name="NewSeniorFeeProfileEUR" localSheetId="7">'[15]nfm-f670-d158 (GreenSpeed)'!#REF!</definedName>
    <definedName name="NewSeniorFeeProfileEUR">'[16]nfm-f670-d158 (GreenSpeed)'!#REF!</definedName>
    <definedName name="NewSeniorFeeProfileGBP" localSheetId="7">'[15]nfm-f670-d158 (GreenSpeed)'!#REF!</definedName>
    <definedName name="NewSeniorFeeProfileGBP">'[16]nfm-f670-d158 (GreenSpeed)'!#REF!</definedName>
    <definedName name="NewSeniorMarginEUR" localSheetId="7">'[15]nfm-f670-d158 (GreenSpeed)'!#REF!</definedName>
    <definedName name="NewSeniorMarginEUR">'[16]nfm-f670-d158 (GreenSpeed)'!#REF!</definedName>
    <definedName name="NewSeniorMarginGBP" localSheetId="7">'[15]nfm-f670-d158 (GreenSpeed)'!#REF!</definedName>
    <definedName name="NewSeniorMarginGBP">'[16]nfm-f670-d158 (GreenSpeed)'!#REF!</definedName>
    <definedName name="NewSeniorRepaymentProfileEUR" localSheetId="7">'[15]nfm-f670-d158 (GreenSpeed)'!#REF!</definedName>
    <definedName name="NewSeniorRepaymentProfileEUR">'[16]nfm-f670-d158 (GreenSpeed)'!#REF!</definedName>
    <definedName name="NewSeniorRepaymentProfileGBP" localSheetId="7">'[15]nfm-f670-d158 (GreenSpeed)'!#REF!</definedName>
    <definedName name="NewSeniorRepaymentProfileGBP">'[16]nfm-f670-d158 (GreenSpeed)'!#REF!</definedName>
    <definedName name="nHedge2016">1.375</definedName>
    <definedName name="nHedge2017">1.359</definedName>
    <definedName name="nHedge2018">1.343</definedName>
    <definedName name="niveau_éliminations">#REF!</definedName>
    <definedName name="nn"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nn"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NOM_NATURE">[48]LISTES!$F$13:$F$15</definedName>
    <definedName name="NOM_PERIMETRE">[48]LISTES!$F$2:$F$8</definedName>
    <definedName name="o" localSheetId="1" hidden="1">{#N/A,#N/A,TRUE,"AB_Vertrag";#N/A,#N/A,TRUE,"AB_BWL"}</definedName>
    <definedName name="o" localSheetId="3" hidden="1">{#N/A,#N/A,TRUE,"AB_Vertrag";#N/A,#N/A,TRUE,"AB_BWL"}</definedName>
    <definedName name="o" localSheetId="7" hidden="1">{#N/A,#N/A,TRUE,"AB_Vertrag";#N/A,#N/A,TRUE,"AB_BWL"}</definedName>
    <definedName name="o" localSheetId="0" hidden="1">{#N/A,#N/A,TRUE,"AB_Vertrag";#N/A,#N/A,TRUE,"AB_BWL"}</definedName>
    <definedName name="o" localSheetId="15" hidden="1">{#N/A,#N/A,TRUE,"AB_Vertrag";#N/A,#N/A,TRUE,"AB_BWL"}</definedName>
    <definedName name="o" hidden="1">{#N/A,#N/A,TRUE,"AB_Vertrag";#N/A,#N/A,TRUE,"AB_BWL"}</definedName>
    <definedName name="OL"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OL"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OLAMethod">[67]UtilityBenchmarks!$H$759</definedName>
    <definedName name="ORCLoadFactorLonBru" localSheetId="7">[17]iScenarios!$F$77</definedName>
    <definedName name="ORCLoadFactorLonBru">[18]iScenarios!$F$77</definedName>
    <definedName name="ORCOperatingDaysLonBru" localSheetId="7">[17]iScenarios!$F$75</definedName>
    <definedName name="ORCOperatingDaysLonBru">[18]iScenarios!$F$75</definedName>
    <definedName name="ORCPaxPctLonBru" localSheetId="7">[17]iScenarios!$F$78</definedName>
    <definedName name="ORCPaxPctLonBru">[18]iScenarios!$F$78</definedName>
    <definedName name="ORCSeatsPerTrainLonBru" localSheetId="7">[17]iScenarios!$F$76</definedName>
    <definedName name="ORCSeatsPerTrainLonBru">[18]iScenarios!$F$76</definedName>
    <definedName name="ORCTrainsPerDayLonBru" localSheetId="7">[17]iScenarios!$F$74</definedName>
    <definedName name="ORCTrainsPerDayLonBru">[18]iScenarios!$F$74</definedName>
    <definedName name="organe" localSheetId="1" hidden="1">{#N/A,#N/A,FALSE,"ANNEXES CLIM"}</definedName>
    <definedName name="organe" localSheetId="3" hidden="1">{#N/A,#N/A,FALSE,"ANNEXES CLIM"}</definedName>
    <definedName name="organe" localSheetId="7" hidden="1">{#N/A,#N/A,FALSE,"ANNEXES CLIM"}</definedName>
    <definedName name="organe" localSheetId="0" hidden="1">{#N/A,#N/A,FALSE,"ANNEXES CLIM"}</definedName>
    <definedName name="organe" localSheetId="15" hidden="1">{#N/A,#N/A,FALSE,"ANNEXES CLIM"}</definedName>
    <definedName name="organe" hidden="1">{#N/A,#N/A,FALSE,"ANNEXES CLIM"}</definedName>
    <definedName name="OtherInterestAndChargesGBPIn" localSheetId="7">'[15]nfm-f670-d158 (GreenSpeed)'!#REF!</definedName>
    <definedName name="OtherInterestAndChargesGBPIn">'[16]nfm-f670-d158 (GreenSpeed)'!#REF!</definedName>
    <definedName name="ouverture">#REF!</definedName>
    <definedName name="overall_tot" localSheetId="15">#REF!</definedName>
    <definedName name="overall_tot">#REF!</definedName>
    <definedName name="PALL">[22]offre!$K$6</definedName>
    <definedName name="PALLB1">[22]offre!$K$7</definedName>
    <definedName name="PALLB2">[22]offre!$K$8</definedName>
    <definedName name="pat">[68]Données!#REF!</definedName>
    <definedName name="PBE">#REF!</definedName>
    <definedName name="PBEL">[49]recapRes!#REF!</definedName>
    <definedName name="PBEL1">[49]recapRes!#REF!</definedName>
    <definedName name="PBL">#REF!</definedName>
    <definedName name="PBXL">[49]recapRes!#REF!</definedName>
    <definedName name="PctBrusselsPaxOnAmsterdamTrainIn" localSheetId="7">'[15]nfm-f670-d158 (GreenSpeed)'!#REF!</definedName>
    <definedName name="PctBrusselsPaxOnAmsterdamTrainIn" localSheetId="15">'[16]nfm-f670-d158 (GreenSpeed)'!#REF!</definedName>
    <definedName name="PctBrusselsPaxOnAmsterdamTrainIn">'[16]nfm-f670-d158 (GreenSpeed)'!#REF!</definedName>
    <definedName name="PctNoShowsEURIn" localSheetId="7">'[15]nfm-f670-d158 (GreenSpeed)'!#REF!</definedName>
    <definedName name="PctNoShowsEURIn" localSheetId="15">'[16]nfm-f670-d158 (GreenSpeed)'!#REF!</definedName>
    <definedName name="PctNoShowsEURIn">'[16]nfm-f670-d158 (GreenSpeed)'!#REF!</definedName>
    <definedName name="PctNoShowsGBPIn" localSheetId="7">'[15]nfm-f670-d158 (GreenSpeed)'!#REF!</definedName>
    <definedName name="PctNoShowsGBPIn" localSheetId="15">'[16]nfm-f670-d158 (GreenSpeed)'!#REF!</definedName>
    <definedName name="PctNoShowsGBPIn">'[16]nfm-f670-d158 (GreenSpeed)'!#REF!</definedName>
    <definedName name="PctNoShowsUSDIn" localSheetId="7">'[15]nfm-f670-d158 (GreenSpeed)'!#REF!</definedName>
    <definedName name="PctNoShowsUSDIn" localSheetId="15">'[16]nfm-f670-d158 (GreenSpeed)'!#REF!</definedName>
    <definedName name="PctNoShowsUSDIn">'[16]nfm-f670-d158 (GreenSpeed)'!#REF!</definedName>
    <definedName name="PctSalesTicketEILEURIn" localSheetId="7">'[15]nfm-f670-d158 (GreenSpeed)'!#REF!</definedName>
    <definedName name="PctSalesTicketEILEURIn">'[16]nfm-f670-d158 (GreenSpeed)'!#REF!</definedName>
    <definedName name="PctSalesTicketEILGBPIn" localSheetId="7">'[15]nfm-f670-d158 (GreenSpeed)'!#REF!</definedName>
    <definedName name="PctSalesTicketEILGBPIn">'[16]nfm-f670-d158 (GreenSpeed)'!#REF!</definedName>
    <definedName name="PctSalesTicketEILUSDIn" localSheetId="7">'[15]nfm-f670-d158 (GreenSpeed)'!#REF!</definedName>
    <definedName name="PctSalesTicketEILUSDIn">'[16]nfm-f670-d158 (GreenSpeed)'!#REF!</definedName>
    <definedName name="PctSalesTicketNonEILEURIn" localSheetId="7">'[15]nfm-f670-d158 (GreenSpeed)'!#REF!</definedName>
    <definedName name="PctSalesTicketNonEILEURIn">'[16]nfm-f670-d158 (GreenSpeed)'!#REF!</definedName>
    <definedName name="PctSalesTicketNonEILGBPIn" localSheetId="7">'[15]nfm-f670-d158 (GreenSpeed)'!#REF!</definedName>
    <definedName name="PctSalesTicketNonEILGBPIn">'[16]nfm-f670-d158 (GreenSpeed)'!#REF!</definedName>
    <definedName name="PctSalesTicketNonEILUSDIn" localSheetId="7">'[15]nfm-f670-d158 (GreenSpeed)'!#REF!</definedName>
    <definedName name="PctSalesTicketNonEILUSDIn">'[16]nfm-f670-d158 (GreenSpeed)'!#REF!</definedName>
    <definedName name="PctSalesVolumesInYearCEIn" localSheetId="7">'[15]nfm-f670-d158 (GreenSpeed)'!#REF!</definedName>
    <definedName name="PctSalesVolumesInYearCEIn">'[16]nfm-f670-d158 (GreenSpeed)'!#REF!</definedName>
    <definedName name="PctSalesVolumesInYearNAIn" localSheetId="7">'[15]nfm-f670-d158 (GreenSpeed)'!#REF!</definedName>
    <definedName name="PctSalesVolumesInYearNAIn">'[16]nfm-f670-d158 (GreenSpeed)'!#REF!</definedName>
    <definedName name="PctSalesVolumesInYearRoWIn" localSheetId="7">'[15]nfm-f670-d158 (GreenSpeed)'!#REF!</definedName>
    <definedName name="PctSalesVolumesInYearRoWIn">'[16]nfm-f670-d158 (GreenSpeed)'!#REF!</definedName>
    <definedName name="PctSalesVolumesInYearUKIn" localSheetId="7">'[15]nfm-f670-d158 (GreenSpeed)'!#REF!</definedName>
    <definedName name="PctSalesVolumesInYearUKIn">'[16]nfm-f670-d158 (GreenSpeed)'!#REF!</definedName>
    <definedName name="PeopleStaffNumberOther" localSheetId="7">'[15]nfm-f670-d158 (GreenSpeed)'!#REF!</definedName>
    <definedName name="PeopleStaffNumberOther">'[16]nfm-f670-d158 (GreenSpeed)'!#REF!</definedName>
    <definedName name="PeopleStaffNumberUK" localSheetId="7">'[15]nfm-f670-d158 (GreenSpeed)'!#REF!</definedName>
    <definedName name="PeopleStaffNumberUK">'[16]nfm-f670-d158 (GreenSpeed)'!#REF!</definedName>
    <definedName name="Percent2016">#REF!</definedName>
    <definedName name="Périmètre">#REF!</definedName>
    <definedName name="Période">#REF!</definedName>
    <definedName name="personnel">#REF!</definedName>
    <definedName name="Phase">#REF!</definedName>
    <definedName name="PHASES">[48]LISTES!#REF!</definedName>
    <definedName name="Pierre" localSheetId="1" hidden="1">{"Détails",#N/A,FALSE,"CL1";"Détails",#N/A,FALSE,"CL2"}</definedName>
    <definedName name="Pierre" localSheetId="3" hidden="1">{"Détails",#N/A,FALSE,"CL1";"Détails",#N/A,FALSE,"CL2"}</definedName>
    <definedName name="Pierre" localSheetId="7" hidden="1">{"Détails",#N/A,FALSE,"CL1";"Détails",#N/A,FALSE,"CL2"}</definedName>
    <definedName name="Pierre" localSheetId="0" hidden="1">{"Détails",#N/A,FALSE,"CL1";"Détails",#N/A,FALSE,"CL2"}</definedName>
    <definedName name="Pierre" localSheetId="15" hidden="1">{"Détails",#N/A,FALSE,"CL1";"Détails",#N/A,FALSE,"CL2"}</definedName>
    <definedName name="Pierre" hidden="1">{"Détails",#N/A,FALSE,"CL1";"Détails",#N/A,FALSE,"CL2"}</definedName>
    <definedName name="pj" localSheetId="11" hidden="1">{#N/A,#N/A,FALSE,"Résultats conso";#N/A,#N/A,FALSE,"Intérêts mino N-1 à N";#N/A,#N/A,FALSE,"Réserves soc &amp; conso";#N/A,#N/A,FALSE,"Passage N-1 à N";#N/A,#N/A,FALSE,"Tab. fi. sociaux et conso"}</definedName>
    <definedName name="pj" hidden="1">{#N/A,#N/A,FALSE,"Résultats conso";#N/A,#N/A,FALSE,"Intérêts mino N-1 à N";#N/A,#N/A,FALSE,"Réserves soc &amp; conso";#N/A,#N/A,FALSE,"Passage N-1 à N";#N/A,#N/A,FALSE,"Tab. fi. sociaux et conso"}</definedName>
    <definedName name="PLAF">#REF!</definedName>
    <definedName name="PLAN1">#REF!</definedName>
    <definedName name="PLAN10">#REF!</definedName>
    <definedName name="PLAN11">#REF!</definedName>
    <definedName name="PLAN12">#REF!</definedName>
    <definedName name="PLAN13">#REF!</definedName>
    <definedName name="PLAN14">#REF!</definedName>
    <definedName name="PLAN15">#REF!</definedName>
    <definedName name="PLAN16">#REF!</definedName>
    <definedName name="PLAN17">'[20]CA detail'!$B$7:$O$27</definedName>
    <definedName name="PLAN18">'[20]CA detail'!$B$29:$O$62</definedName>
    <definedName name="PLAN19">'[20]CA detail'!$B$67:$O$95</definedName>
    <definedName name="PLAN2">#REF!</definedName>
    <definedName name="PLAN21">'[20]CA detail'!$B$100:$O$112</definedName>
    <definedName name="PLAN22">'[20]CA detail'!$Q$7:$AG$27</definedName>
    <definedName name="PLAN23">'[20]CA detail'!$Q$29:$AG$62</definedName>
    <definedName name="PLAN24">'[20]CA detail'!$Q$67:$AG$95</definedName>
    <definedName name="PLAN25">'[20]CA detail'!$Q$100:$AG$112</definedName>
    <definedName name="PLAN26">'[20]CA detail'!$Q$139:$AG$150</definedName>
    <definedName name="PLAN27">'[20]EBITDA detail'!$B$7:$P$27</definedName>
    <definedName name="PLAN28">'[20]EBITDA detail'!$B$32:$P$60</definedName>
    <definedName name="PLAN29">'[20]EBITDA detail'!$B$65:$P$95</definedName>
    <definedName name="PLAN3">#REF!</definedName>
    <definedName name="PLAN30">'[20]EBITDA detail'!$B$100:$P$109</definedName>
    <definedName name="PLAN31">'[20]EBITDA detail'!$B$114:$P$125</definedName>
    <definedName name="PLAN32">'[20]EBITDA detail'!$Q$7:$AG$27</definedName>
    <definedName name="PLAN33">'[20]EBITDA detail'!$Q$32:$AG$60</definedName>
    <definedName name="PLAN34">'[20]EBITDA detail'!$Q$65:$AG$95</definedName>
    <definedName name="PLAN35">'[20]EBITDA detail'!$Q$100:$AG$109</definedName>
    <definedName name="PLAN36">'[20]EBITDA detail'!$Q$114:$AG$125</definedName>
    <definedName name="PLAN37">'[20]ROP detail'!$B$7:$P$27</definedName>
    <definedName name="PLAN38">'[20]ROP detail'!$B$32:$P$60</definedName>
    <definedName name="PLAN39">'[20]ROP detail'!$B$65:$P$95</definedName>
    <definedName name="PLAN4">#REF!</definedName>
    <definedName name="PLAN40">'[20]ROP detail'!$B$100:$P$109</definedName>
    <definedName name="PLAN41">'[20]ROP detail'!$B$114:$P$125</definedName>
    <definedName name="PLAN42">'[20]ROP detail'!$Q$7:$AG$27</definedName>
    <definedName name="PLAN43">'[20]ROP detail'!$Q$32:$AG$60</definedName>
    <definedName name="PLAN44">'[20]ROP detail'!$Q$65:$AG$95</definedName>
    <definedName name="PLAN45">'[20]ROP detail'!$Q$100:$AG$109</definedName>
    <definedName name="PLAN46">'[20]ROP detail'!$Q$114:$AG$125</definedName>
    <definedName name="PLAN47">'[20]ROP detail'!$B$7:$P$27</definedName>
    <definedName name="PLAN48">'[20]00 ROP retraité'!$B$32:$K$60</definedName>
    <definedName name="PLAN49">'[20]00 ROP retraité'!$B$65:$K$96</definedName>
    <definedName name="PLAN5">#REF!</definedName>
    <definedName name="PLAN50">'[20]00 ROP retraité'!$B$101:$K$110</definedName>
    <definedName name="PLAN51">'[20]00 ROP retraité'!$B$115:$K$126</definedName>
    <definedName name="PLAN52">#REF!</definedName>
    <definedName name="PLAN53">#REF!</definedName>
    <definedName name="PLAN54">[20]Espagne!$A$7:$Q$17</definedName>
    <definedName name="PLAN55">#REF!</definedName>
    <definedName name="PLAN56">#REF!</definedName>
    <definedName name="PLAN57">#REF!</definedName>
    <definedName name="PLAN58">#REF!</definedName>
    <definedName name="PLAN59">#REF!</definedName>
    <definedName name="PLAN6">#REF!</definedName>
    <definedName name="PLAN60">#REF!</definedName>
    <definedName name="PLAN61">'[20]00 All simpl'!$A$7:$S$22</definedName>
    <definedName name="PLAN62">#REF!</definedName>
    <definedName name="PLAN63">#REF!</definedName>
    <definedName name="PLAN64">#REF!</definedName>
    <definedName name="PLAN65">#REF!</definedName>
    <definedName name="PLAN66">#REF!</definedName>
    <definedName name="PLAN67">#REF!</definedName>
    <definedName name="PLAN68">'[20]00 Graph CA Mensuel standalone'!$A$8:$P$61</definedName>
    <definedName name="PLAN69">'[20]Graph CA Mensuel Groupe'!$A$8:$P$71</definedName>
    <definedName name="PLAN7">#REF!</definedName>
    <definedName name="PLAN70">'[20]Graph ROP Mensuel Groupe'!$A$7:$P$56</definedName>
    <definedName name="PLAN71">'[20]Graph REX Mensuel Groupe'!$A$7:$P$47</definedName>
    <definedName name="PLAN8">#REF!</definedName>
    <definedName name="PLAN9">#REF!</definedName>
    <definedName name="pln" localSheetId="11" hidden="1">{#N/A,#N/A,FALSE,"ECH IG";#N/A,#N/A,FALSE,"ECH DETTES"}</definedName>
    <definedName name="pln" hidden="1">{#N/A,#N/A,FALSE,"ECH IG";#N/A,#N/A,FALSE,"ECH DETTES"}</definedName>
    <definedName name="PLNetIncomeCY">[27]IncomeStatement!$J$36</definedName>
    <definedName name="PopCache_GL_INTERFACE_REFERENCE7" localSheetId="7" hidden="1">[69]PopCache!$A$1:$A$2</definedName>
    <definedName name="PopCache_GL_INTERFACE_REFERENCE7" hidden="1">[70]PopCache!$A$1:$A$2</definedName>
    <definedName name="pp" localSheetId="11" hidden="1">{#N/A,#N/A,FALSE,"Résultats conso";#N/A,#N/A,FALSE,"Intérêts mino N-1 à N";#N/A,#N/A,FALSE,"Réserves soc &amp; conso";#N/A,#N/A,FALSE,"Passage N-1 à N";#N/A,#N/A,FALSE,"Tab. fi. sociaux et conso"}</definedName>
    <definedName name="pp" hidden="1">{#N/A,#N/A,FALSE,"Résultats conso";#N/A,#N/A,FALSE,"Intérêts mino N-1 à N";#N/A,#N/A,FALSE,"Réserves soc &amp; conso";#N/A,#N/A,FALSE,"Passage N-1 à N";#N/A,#N/A,FALSE,"Tab. fi. sociaux et conso"}</definedName>
    <definedName name="pploom">[49]recapRes!#REF!</definedName>
    <definedName name="PRC">#REF!</definedName>
    <definedName name="PRCt">#REF!</definedName>
    <definedName name="PrepaymentOpLeaseProfile" localSheetId="7">'[15]nfm-f670-d158 (GreenSpeed)'!#REF!</definedName>
    <definedName name="PrepaymentOpLeaseProfile">'[16]nfm-f670-d158 (GreenSpeed)'!#REF!</definedName>
    <definedName name="Programmes_OBC">#REF!</definedName>
    <definedName name="projCost" localSheetId="15">#REF!</definedName>
    <definedName name="projCost">#REF!</definedName>
    <definedName name="Project_codes" localSheetId="7">[10]Descriptions!$I:$K</definedName>
    <definedName name="Project_codes">[11]Descriptions!$I:$K</definedName>
    <definedName name="ProxiR">#REF!</definedName>
    <definedName name="qq"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qq"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QQQ"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QQQ"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qscqs">#REF!</definedName>
    <definedName name="RDDD"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RDDD"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re" localSheetId="11" hidden="1">{#N/A,#N/A,TRUE,"C.A. reg.";#N/A,#N/A,TRUE,"Provence";#N/A,#N/A,TRUE,"Rhône";#N/A,#N/A,TRUE,"Côte d'Azur";#N/A,#N/A,TRUE,"Briançonnais";#N/A,#N/A,TRUE,"Abt Travail";#N/A,#N/A,TRUE,"Abt EEA";#N/A,#N/A,TRUE,"Prod.Région.";#N/A,#N/A,TRUE,"ANNEXES"}</definedName>
    <definedName name="re" hidden="1">{#N/A,#N/A,TRUE,"C.A. reg.";#N/A,#N/A,TRUE,"Provence";#N/A,#N/A,TRUE,"Rhône";#N/A,#N/A,TRUE,"Côte d'Azur";#N/A,#N/A,TRUE,"Briançonnais";#N/A,#N/A,TRUE,"Abt Travail";#N/A,#N/A,TRUE,"Abt EEA";#N/A,#N/A,TRUE,"Prod.Région.";#N/A,#N/A,TRUE,"ANNEXES"}</definedName>
    <definedName name="Reason1">[59]Sheet1!$P$4:$P$7</definedName>
    <definedName name="Reason2">[59]Sheet1!$P$4:$P$12</definedName>
    <definedName name="Reason3">[59]Sheet1!$P$4:$P$7</definedName>
    <definedName name="reasons">[59]Sheet1!$P$4:$P$7</definedName>
    <definedName name="Reasons1">[59]Sheet1!$P$4:$P$11</definedName>
    <definedName name="rec" localSheetId="11" hidden="1">{#N/A,#N/A,TRUE,"C.A. reg.";#N/A,#N/A,TRUE,"Provence";#N/A,#N/A,TRUE,"Rhône";#N/A,#N/A,TRUE,"Côte d'Azur";#N/A,#N/A,TRUE,"Briançonnais";#N/A,#N/A,TRUE,"Abt Travail";#N/A,#N/A,TRUE,"Abt EEA";#N/A,#N/A,TRUE,"Prod.Région.";#N/A,#N/A,TRUE,"ANNEXES"}</definedName>
    <definedName name="rec" hidden="1">{#N/A,#N/A,TRUE,"C.A. reg.";#N/A,#N/A,TRUE,"Provence";#N/A,#N/A,TRUE,"Rhône";#N/A,#N/A,TRUE,"Côte d'Azur";#N/A,#N/A,TRUE,"Briançonnais";#N/A,#N/A,TRUE,"Abt Travail";#N/A,#N/A,TRUE,"Abt EEA";#N/A,#N/A,TRUE,"Prod.Région.";#N/A,#N/A,TRUE,"ANNEXES"}</definedName>
    <definedName name="_xlnm.Recorder">#REF!</definedName>
    <definedName name="reeer" localSheetId="1" hidden="1">{#N/A,#N/A,TRUE,"AB_Vertrag";#N/A,#N/A,TRUE,"AB_BWL"}</definedName>
    <definedName name="reeer" localSheetId="3" hidden="1">{#N/A,#N/A,TRUE,"AB_Vertrag";#N/A,#N/A,TRUE,"AB_BWL"}</definedName>
    <definedName name="reeer" localSheetId="7" hidden="1">{#N/A,#N/A,TRUE,"AB_Vertrag";#N/A,#N/A,TRUE,"AB_BWL"}</definedName>
    <definedName name="reeer" localSheetId="0" hidden="1">{#N/A,#N/A,TRUE,"AB_Vertrag";#N/A,#N/A,TRUE,"AB_BWL"}</definedName>
    <definedName name="reeer" localSheetId="15" hidden="1">{#N/A,#N/A,TRUE,"AB_Vertrag";#N/A,#N/A,TRUE,"AB_BWL"}</definedName>
    <definedName name="reeer" hidden="1">{#N/A,#N/A,TRUE,"AB_Vertrag";#N/A,#N/A,TRUE,"AB_BWL"}</definedName>
    <definedName name="reference1">"L4C1"</definedName>
    <definedName name="Refi" localSheetId="7">[40]c_Macro!$D$29</definedName>
    <definedName name="Refi">[41]c_Macro!$D$29</definedName>
    <definedName name="Refi_paste" localSheetId="7">[40]c_Macro!$D$30</definedName>
    <definedName name="Refi_paste">[41]c_Macro!$D$30</definedName>
    <definedName name="Reprév">[6]Dimensions!#REF!</definedName>
    <definedName name="Repssflux">[6]Dimensions!#REF!</definedName>
    <definedName name="Requête2">#REF!</definedName>
    <definedName name="requete2bis">#REF!</definedName>
    <definedName name="Res">'[26]5.4 CR EPiC'!#REF!</definedName>
    <definedName name="RevenueScenarios">#REF!</definedName>
    <definedName name="Rexceptionnel">#REF!</definedName>
    <definedName name="rf" localSheetId="11" hidden="1">{#N/A,#N/A,TRUE,"C.A. reg.";#N/A,#N/A,TRUE,"Provence";#N/A,#N/A,TRUE,"Rhône";#N/A,#N/A,TRUE,"Côte d'Azur";#N/A,#N/A,TRUE,"Briançonnais";#N/A,#N/A,TRUE,"Abt Travail";#N/A,#N/A,TRUE,"Abt EEA";#N/A,#N/A,TRUE,"Prod.Région.";#N/A,#N/A,TRUE,"ANNEXES"}</definedName>
    <definedName name="rf" hidden="1">{#N/A,#N/A,TRUE,"C.A. reg.";#N/A,#N/A,TRUE,"Provence";#N/A,#N/A,TRUE,"Rhône";#N/A,#N/A,TRUE,"Côte d'Azur";#N/A,#N/A,TRUE,"Briançonnais";#N/A,#N/A,TRUE,"Abt Travail";#N/A,#N/A,TRUE,"Abt EEA";#N/A,#N/A,TRUE,"Prod.Région.";#N/A,#N/A,TRUE,"ANNEXES"}</definedName>
    <definedName name="rfb"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rfb"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rfc" localSheetId="11" hidden="1">{#N/A,#N/A,FALSE,"budget97";#N/A,#N/A,FALSE,"budget97 (2)";#N/A,#N/A,FALSE,"Conso. Groupe BM 95 à 97";#N/A,#N/A,FALSE,"INVEST 97";#N/A,#N/A,FALSE,"Investissements";#N/A,#N/A,FALSE,"CA TRS";#N/A,#N/A,FALSE,"Tableau de Fin. social";#N/A,#N/A,FALSE,"Tableau de Fin. Conso"}</definedName>
    <definedName name="rfc" hidden="1">{#N/A,#N/A,FALSE,"budget97";#N/A,#N/A,FALSE,"budget97 (2)";#N/A,#N/A,FALSE,"Conso. Groupe BM 95 à 97";#N/A,#N/A,FALSE,"INVEST 97";#N/A,#N/A,FALSE,"Investissements";#N/A,#N/A,FALSE,"CA TRS";#N/A,#N/A,FALSE,"Tableau de Fin. social";#N/A,#N/A,FALSE,"Tableau de Fin. Conso"}</definedName>
    <definedName name="rfh" localSheetId="11" hidden="1">{#N/A,#N/A,FALSE,"budget97";#N/A,#N/A,FALSE,"budget97 (2)";#N/A,#N/A,FALSE,"Conso. Groupe BM 95 à 97";#N/A,#N/A,FALSE,"INVEST 97";#N/A,#N/A,FALSE,"Investissements";#N/A,#N/A,FALSE,"CA TRS";#N/A,#N/A,FALSE,"Tableau de Fin. social";#N/A,#N/A,FALSE,"Tableau de Fin. Conso"}</definedName>
    <definedName name="rfh" hidden="1">{#N/A,#N/A,FALSE,"budget97";#N/A,#N/A,FALSE,"budget97 (2)";#N/A,#N/A,FALSE,"Conso. Groupe BM 95 à 97";#N/A,#N/A,FALSE,"INVEST 97";#N/A,#N/A,FALSE,"Investissements";#N/A,#N/A,FALSE,"CA TRS";#N/A,#N/A,FALSE,"Tableau de Fin. social";#N/A,#N/A,FALSE,"Tableau de Fin. Conso"}</definedName>
    <definedName name="rfv"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rfv"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rhn"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rhn"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ric" hidden="1">#REF!</definedName>
    <definedName name="rounding">0.000001</definedName>
    <definedName name="rr" localSheetId="11" hidden="1">{#N/A,#N/A,FALSE,"budget97";#N/A,#N/A,FALSE,"budget97 (2)";#N/A,#N/A,FALSE,"Conso. Groupe BM 95 à 97";#N/A,#N/A,FALSE,"INVEST 97";#N/A,#N/A,FALSE,"Investissements";#N/A,#N/A,FALSE,"CA TRS";#N/A,#N/A,FALSE,"Tableau de Fin. social";#N/A,#N/A,FALSE,"Tableau de Fin. Conso"}</definedName>
    <definedName name="rr" hidden="1">{#N/A,#N/A,FALSE,"budget97";#N/A,#N/A,FALSE,"budget97 (2)";#N/A,#N/A,FALSE,"Conso. Groupe BM 95 à 97";#N/A,#N/A,FALSE,"INVEST 97";#N/A,#N/A,FALSE,"Investissements";#N/A,#N/A,FALSE,"CA TRS";#N/A,#N/A,FALSE,"Tableau de Fin. social";#N/A,#N/A,FALSE,"Tableau de Fin. Conso"}</definedName>
    <definedName name="rtu"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rtu"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rui" localSheetId="11" hidden="1">{#N/A,#N/A,FALSE,"budget97";#N/A,#N/A,FALSE,"budget97 (2)";#N/A,#N/A,FALSE,"Conso. Groupe BM 95 à 97";#N/A,#N/A,FALSE,"INVEST 97";#N/A,#N/A,FALSE,"Investissements";#N/A,#N/A,FALSE,"CA TRS";#N/A,#N/A,FALSE,"Tableau de Fin. social";#N/A,#N/A,FALSE,"Tableau de Fin. Conso"}</definedName>
    <definedName name="rui" hidden="1">{#N/A,#N/A,FALSE,"budget97";#N/A,#N/A,FALSE,"budget97 (2)";#N/A,#N/A,FALSE,"Conso. Groupe BM 95 à 97";#N/A,#N/A,FALSE,"INVEST 97";#N/A,#N/A,FALSE,"Investissements";#N/A,#N/A,FALSE,"CA TRS";#N/A,#N/A,FALSE,"Tableau de Fin. social";#N/A,#N/A,FALSE,"Tableau de Fin. Conso"}</definedName>
    <definedName name="RUtilisationEffectifdeGestion2001_Analyse_croisée">#REF!</definedName>
    <definedName name="ryuy"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ryuy"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sa">#REF!</definedName>
    <definedName name="SAAD">#REF!</definedName>
    <definedName name="SAVS">#REF!</definedName>
    <definedName name="ScenarioNumber" localSheetId="7">[17]iScenarios!$F$4</definedName>
    <definedName name="ScenarioNumber">[18]iScenarios!$F$4</definedName>
    <definedName name="sd">[49]recapRes!#REF!</definedName>
    <definedName name="sdqsfdcqef">#REF!</definedName>
    <definedName name="septN">[38]Dimensions!#REF!</definedName>
    <definedName name="Seuil">[27]ControlSheet!$H$1</definedName>
    <definedName name="SN_CAVA_PBA_01">'[23]Trains Week'!$C$94</definedName>
    <definedName name="SN_CAVA_PBA_02">'[23]Trains Week'!$D$94</definedName>
    <definedName name="SN_CAVA_PBA_03">'[23]Trains Week'!$E$94</definedName>
    <definedName name="SN_CAVB_MLV_01">'[23]Trains Week'!$C$118</definedName>
    <definedName name="SN_CAVB_MLV_02">'[23]Trains Week'!$D$118</definedName>
    <definedName name="SN_CAVB_MLV_03">'[23]Trains Week'!$E$118</definedName>
    <definedName name="SN_CAVB_PB_01">'[23]Trains Week'!$C$46</definedName>
    <definedName name="SN_CAVB_PB_02">'[23]Trains Week'!$D$46</definedName>
    <definedName name="SN_CAVB_PB_03">'[23]Trains Week'!$E$46</definedName>
    <definedName name="SN_CAVB_PBA_01">'[23]Trains Week'!$C$82</definedName>
    <definedName name="SN_CAVB_PBA_02">'[23]Trains Week'!$D$82</definedName>
    <definedName name="SN_CAVB_PBA_03">'[23]Trains Week'!$E$82</definedName>
    <definedName name="SN_CAVB_PBK_01">'[23]Trains Week'!$K$46</definedName>
    <definedName name="SN_CAVB_PBK_02">'[23]Trains Week'!$L$46</definedName>
    <definedName name="SN_CAVB_PBK_03">'[23]Trains Week'!$M$46</definedName>
    <definedName name="SN_CAVK_PBK_01">'[23]Trains Week'!$K$64</definedName>
    <definedName name="SN_CAVK_PBK_02">'[23]Trains Week'!$L$64</definedName>
    <definedName name="SN_CAVK_PBK_03">'[23]Trains Week'!$M$64</definedName>
    <definedName name="SN_CAVP_DW_01">'[23]Trains Week'!$C$138</definedName>
    <definedName name="SN_CAVP_DW_02">'[23]Trains Week'!$D$138</definedName>
    <definedName name="SN_CAVP_DW_03">'[23]Trains Week'!$E$138</definedName>
    <definedName name="SN_CAVP_MLV_01">'[23]Trains Week'!$C$123</definedName>
    <definedName name="SN_CAVP_MLV_02">'[23]Trains Week'!$D$123</definedName>
    <definedName name="SN_CAVP_MLV_03">'[23]Trains Week'!$E$123</definedName>
    <definedName name="SN_CAVP_PB_01">'[23]Trains Week'!$C$52</definedName>
    <definedName name="SN_CAVP_PB_02">'[23]Trains Week'!$D$52</definedName>
    <definedName name="SN_CAVP_PB_03">'[23]Trains Week'!$E$52</definedName>
    <definedName name="SN_CAVP_PBA_01">'[23]Trains Week'!$C$88</definedName>
    <definedName name="SN_CAVP_PBA_02">'[23]Trains Week'!$D$88</definedName>
    <definedName name="SN_CAVP_PBA_03">'[23]Trains Week'!$E$88</definedName>
    <definedName name="SN_CAVP_PBK_01">'[23]Trains Week'!$K$52</definedName>
    <definedName name="SN_CAVP_PBK_02">'[23]Trains Week'!$L$52</definedName>
    <definedName name="SN_CAVP_PBK_03">'[23]Trains Week'!$M$52</definedName>
    <definedName name="SS"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SS"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SSS"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SSS"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StationStaffNumberOther" localSheetId="7">'[15]nfm-f670-d158 (GreenSpeed)'!#REF!</definedName>
    <definedName name="StationStaffNumberOther">'[16]nfm-f670-d158 (GreenSpeed)'!#REF!</definedName>
    <definedName name="StationStaffNumberUk" localSheetId="7">'[15]nfm-f670-d158 (GreenSpeed)'!#REF!</definedName>
    <definedName name="StationStaffNumberUk">'[16]nfm-f670-d158 (GreenSpeed)'!#REF!</definedName>
    <definedName name="Status4">[59]Sheet1!$P$4:$P$20</definedName>
    <definedName name="Stocks">#REF!</definedName>
    <definedName name="Struc">#REF!</definedName>
    <definedName name="Structure_SAAD">#REF!</definedName>
    <definedName name="StructureSAAD">#REF!</definedName>
    <definedName name="Sub">#REF!</definedName>
    <definedName name="SWBF_CAVA_PBA_01">'[23]Trains Week'!$C$93</definedName>
    <definedName name="SWBF_CAVA_PBA_02">'[23]Trains Week'!$D$93</definedName>
    <definedName name="SWBF_CAVA_PBA_03">'[23]Trains Week'!$E$93</definedName>
    <definedName name="SWBF_CAVB_MLV_01">'[23]Trains Week'!$C$117</definedName>
    <definedName name="SWBF_CAVB_MLV_02">'[23]Trains Week'!$D$117</definedName>
    <definedName name="SWBF_CAVB_MLV_03">'[23]Trains Week'!$E$117</definedName>
    <definedName name="SWBF_CAVB_PB_01">'[23]Trains Week'!$C$45</definedName>
    <definedName name="SWBF_CAVB_PB_02">'[23]Trains Week'!$D$45</definedName>
    <definedName name="SWBF_CAVB_PB_03">'[23]Trains Week'!$E$45</definedName>
    <definedName name="SWBF_CAVB_PBA_01">'[23]Trains Week'!$C$81</definedName>
    <definedName name="SWBF_CAVB_PBA_02">'[23]Trains Week'!$D$81</definedName>
    <definedName name="SWBF_CAVB_PBA_03">'[23]Trains Week'!$E$81</definedName>
    <definedName name="SWBF_CAVB_PBK_01">'[23]Trains Week'!$K$45</definedName>
    <definedName name="SWBF_CAVB_PBK_02">'[23]Trains Week'!$L$45</definedName>
    <definedName name="SWBF_CAVB_PBK_03">'[23]Trains Week'!$M$45</definedName>
    <definedName name="SWBF_CAVK_PBK_01">'[23]Trains Week'!$K$63</definedName>
    <definedName name="SWBF_CAVK_PBK_02">'[23]Trains Week'!$L$63</definedName>
    <definedName name="SWBF_CAVK_PBK_03">'[23]Trains Week'!$M$63</definedName>
    <definedName name="SWBF_CAVP_DW_01">'[23]Trains Week'!$C$137</definedName>
    <definedName name="SWBF_CAVP_DW_02">'[23]Trains Week'!$D$137</definedName>
    <definedName name="SWBF_CAVP_DW_03">'[23]Trains Week'!$E$137</definedName>
    <definedName name="SWBF_CAVP_MLV_01">'[23]Trains Week'!$C$122</definedName>
    <definedName name="SWBF_CAVP_MLV_02">'[23]Trains Week'!$D$122</definedName>
    <definedName name="SWBF_CAVP_MLV_03">'[23]Trains Week'!$E$122</definedName>
    <definedName name="SWBF_CAVP_PB_01">'[23]Trains Week'!$C$51</definedName>
    <definedName name="SWBF_CAVP_PB_02">'[23]Trains Week'!$D$51</definedName>
    <definedName name="SWBF_CAVP_PB_03">'[23]Trains Week'!$E$51</definedName>
    <definedName name="SWBF_CAVP_PBA_01">'[23]Trains Week'!$C$87</definedName>
    <definedName name="SWBF_CAVP_PBA_02">'[23]Trains Week'!$D$87</definedName>
    <definedName name="SWBF_CAVP_PBA_03">'[23]Trains Week'!$E$87</definedName>
    <definedName name="SWBF_CAVP_PBK_01">'[23]Trains Week'!$K$51</definedName>
    <definedName name="SWBF_CAVP_PBK_02">'[23]Trains Week'!$L$51</definedName>
    <definedName name="SWBF_CAVP_PBK_03">'[23]Trains Week'!$M$51</definedName>
    <definedName name="SwitchORC" localSheetId="7">[17]iScenarios!$F$25</definedName>
    <definedName name="SwitchORC">[18]iScenarios!$F$25</definedName>
    <definedName name="SZ"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SZ"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Table">#REF!</definedName>
    <definedName name="tableau">#REF!,#REF!</definedName>
    <definedName name="Tax" localSheetId="7">[40]i_Gen!$E$80</definedName>
    <definedName name="Tax">[41]i_Gen!$E$80</definedName>
    <definedName name="TaxPctPaidCurrentYearIn" localSheetId="7">'[15]nfm-f670-d158 (GreenSpeed)'!#REF!</definedName>
    <definedName name="TaxPctPaidCurrentYearIn">'[16]nfm-f670-d158 (GreenSpeed)'!#REF!</definedName>
    <definedName name="tazerty" localSheetId="1" hidden="1">{"Détails",#N/A,FALSE,"CL1";"Détails",#N/A,FALSE,"CL2"}</definedName>
    <definedName name="tazerty" localSheetId="3" hidden="1">{"Détails",#N/A,FALSE,"CL1";"Détails",#N/A,FALSE,"CL2"}</definedName>
    <definedName name="tazerty" localSheetId="7" hidden="1">{"Détails",#N/A,FALSE,"CL1";"Détails",#N/A,FALSE,"CL2"}</definedName>
    <definedName name="tazerty" localSheetId="0" hidden="1">{"Détails",#N/A,FALSE,"CL1";"Détails",#N/A,FALSE,"CL2"}</definedName>
    <definedName name="tazerty" localSheetId="15" hidden="1">{"Détails",#N/A,FALSE,"CL1";"Détails",#N/A,FALSE,"CL2"}</definedName>
    <definedName name="tazerty" hidden="1">{"Détails",#N/A,FALSE,"CL1";"Détails",#N/A,FALSE,"CL2"}</definedName>
    <definedName name="ter" localSheetId="11" hidden="1">{#N/A,#N/A,TRUE,"C.A. reg.";#N/A,#N/A,TRUE,"Provence";#N/A,#N/A,TRUE,"Rhône";#N/A,#N/A,TRUE,"Côte d'Azur";#N/A,#N/A,TRUE,"Briançonnais";#N/A,#N/A,TRUE,"Abt Travail";#N/A,#N/A,TRUE,"Abt EEA";#N/A,#N/A,TRUE,"Prod.Région.";#N/A,#N/A,TRUE,"ANNEXES"}</definedName>
    <definedName name="ter" hidden="1">{#N/A,#N/A,TRUE,"C.A. reg.";#N/A,#N/A,TRUE,"Provence";#N/A,#N/A,TRUE,"Rhône";#N/A,#N/A,TRUE,"Côte d'Azur";#N/A,#N/A,TRUE,"Briançonnais";#N/A,#N/A,TRUE,"Abt Travail";#N/A,#N/A,TRUE,"Abt EEA";#N/A,#N/A,TRUE,"Prod.Région.";#N/A,#N/A,TRUE,"ANNEXES"}</definedName>
    <definedName name="test" localSheetId="1" hidden="1">{"Détails",#N/A,FALSE,"CL1";"Détails",#N/A,FALSE,"CL2"}</definedName>
    <definedName name="test" localSheetId="3" hidden="1">{"Détails",#N/A,FALSE,"CL1";"Détails",#N/A,FALSE,"CL2"}</definedName>
    <definedName name="test" localSheetId="7" hidden="1">{"Détails",#N/A,FALSE,"CL1";"Détails",#N/A,FALSE,"CL2"}</definedName>
    <definedName name="test" localSheetId="11">#REF!</definedName>
    <definedName name="test" localSheetId="0">#REF!</definedName>
    <definedName name="test" localSheetId="15" hidden="1">{"Détails",#N/A,FALSE,"CL1";"Détails",#N/A,FALSE,"CL2"}</definedName>
    <definedName name="test" hidden="1">{"Détails",#N/A,FALSE,"CL1";"Détails",#N/A,FALSE,"CL2"}</definedName>
    <definedName name="test2" localSheetId="11" hidden="1">{#N/A,#N/A,TRUE,"C.A. reg.";#N/A,#N/A,TRUE,"Provence";#N/A,#N/A,TRUE,"Rhône";#N/A,#N/A,TRUE,"Côte d'Azur";#N/A,#N/A,TRUE,"Briançonnais";#N/A,#N/A,TRUE,"Abt Travail";#N/A,#N/A,TRUE,"Abt EEA";#N/A,#N/A,TRUE,"Prod.Région.";#N/A,#N/A,TRUE,"ANNEXES"}</definedName>
    <definedName name="test2" hidden="1">{#N/A,#N/A,TRUE,"C.A. reg.";#N/A,#N/A,TRUE,"Provence";#N/A,#N/A,TRUE,"Rhône";#N/A,#N/A,TRUE,"Côte d'Azur";#N/A,#N/A,TRUE,"Briançonnais";#N/A,#N/A,TRUE,"Abt Travail";#N/A,#N/A,TRUE,"Abt EEA";#N/A,#N/A,TRUE,"Prod.Région.";#N/A,#N/A,TRUE,"ANNEXES"}</definedName>
    <definedName name="test3" localSheetId="11" hidden="1">{#N/A,#N/A,TRUE,"C.A. reg.";#N/A,#N/A,TRUE,"Provence";#N/A,#N/A,TRUE,"Rhône";#N/A,#N/A,TRUE,"Côte d'Azur";#N/A,#N/A,TRUE,"Briançonnais";#N/A,#N/A,TRUE,"Abt Travail";#N/A,#N/A,TRUE,"Abt EEA";#N/A,#N/A,TRUE,"Prod.Région.";#N/A,#N/A,TRUE,"ANNEXES"}</definedName>
    <definedName name="test3" hidden="1">{#N/A,#N/A,TRUE,"C.A. reg.";#N/A,#N/A,TRUE,"Provence";#N/A,#N/A,TRUE,"Rhône";#N/A,#N/A,TRUE,"Côte d'Azur";#N/A,#N/A,TRUE,"Briançonnais";#N/A,#N/A,TRUE,"Abt Travail";#N/A,#N/A,TRUE,"Abt EEA";#N/A,#N/A,TRUE,"Prod.Région.";#N/A,#N/A,TRUE,"ANNEXES"}</definedName>
    <definedName name="testCost" localSheetId="15">#REF!</definedName>
    <definedName name="testCost">#REF!</definedName>
    <definedName name="TFT">'[26]5.4 TFT EPIC'!#REF!</definedName>
    <definedName name="TFTarrondi">'[26]5.4 TFT EPIC'!#REF!</definedName>
    <definedName name="TG" localSheetId="11" hidden="1">{#N/A,#N/A,FALSE,"Résultats conso";#N/A,#N/A,FALSE,"Intérêts mino N-1 à N";#N/A,#N/A,FALSE,"Réserves soc &amp; conso";#N/A,#N/A,FALSE,"Passage N-1 à N";#N/A,#N/A,FALSE,"Tab. fi. sociaux et conso"}</definedName>
    <definedName name="TG" hidden="1">{#N/A,#N/A,FALSE,"Résultats conso";#N/A,#N/A,FALSE,"Intérêts mino N-1 à N";#N/A,#N/A,FALSE,"Réserves soc &amp; conso";#N/A,#N/A,FALSE,"Passage N-1 à N";#N/A,#N/A,FALSE,"Tab. fi. sociaux et conso"}</definedName>
    <definedName name="tgb" localSheetId="11" hidden="1">{#N/A,#N/A,FALSE,"ECH IG";#N/A,#N/A,FALSE,"ECH DETTES"}</definedName>
    <definedName name="tgb" hidden="1">{#N/A,#N/A,FALSE,"ECH IG";#N/A,#N/A,FALSE,"ECH DETTES"}</definedName>
    <definedName name="TGF"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TGF"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Thousand">1000</definedName>
    <definedName name="TIT" localSheetId="1" hidden="1">{#N/A,#N/A,FALSE,"ANNEXES CLIM"}</definedName>
    <definedName name="TIT" localSheetId="3" hidden="1">{#N/A,#N/A,FALSE,"ANNEXES CLIM"}</definedName>
    <definedName name="TIT" localSheetId="7" hidden="1">{#N/A,#N/A,FALSE,"ANNEXES CLIM"}</definedName>
    <definedName name="TIT" localSheetId="0" hidden="1">{#N/A,#N/A,FALSE,"ANNEXES CLIM"}</definedName>
    <definedName name="TIT" localSheetId="15" hidden="1">{#N/A,#N/A,FALSE,"ANNEXES CLIM"}</definedName>
    <definedName name="TIT" hidden="1">{#N/A,#N/A,FALSE,"ANNEXES CLIM"}</definedName>
    <definedName name="TITETROVP" localSheetId="1" hidden="1">{"Détails",#N/A,FALSE,"CL1";"Détails",#N/A,FALSE,"CL2"}</definedName>
    <definedName name="TITETROVP" localSheetId="3" hidden="1">{"Détails",#N/A,FALSE,"CL1";"Détails",#N/A,FALSE,"CL2"}</definedName>
    <definedName name="TITETROVP" localSheetId="7" hidden="1">{"Détails",#N/A,FALSE,"CL1";"Détails",#N/A,FALSE,"CL2"}</definedName>
    <definedName name="TITETROVP" localSheetId="0" hidden="1">{"Détails",#N/A,FALSE,"CL1";"Détails",#N/A,FALSE,"CL2"}</definedName>
    <definedName name="TITETROVP" localSheetId="15" hidden="1">{"Détails",#N/A,FALSE,"CL1";"Détails",#N/A,FALSE,"CL2"}</definedName>
    <definedName name="TITETROVP" hidden="1">{"Détails",#N/A,FALSE,"CL1";"Détails",#N/A,FALSE,"CL2"}</definedName>
    <definedName name="TITRE1">#REF!</definedName>
    <definedName name="TITRE10">#REF!</definedName>
    <definedName name="TITRE11">#REF!</definedName>
    <definedName name="TITRE12">#REF!</definedName>
    <definedName name="TITRE13">#REF!</definedName>
    <definedName name="TITRE14">#REF!</definedName>
    <definedName name="TITRE15">#REF!</definedName>
    <definedName name="TITRE16">#REF!</definedName>
    <definedName name="TITRE17">#REF!</definedName>
    <definedName name="TITRE18">#REF!</definedName>
    <definedName name="TITRE19">#REF!</definedName>
    <definedName name="TITRE2">#REF!</definedName>
    <definedName name="TITRE20">#REF!</definedName>
    <definedName name="TITRE21">#REF!</definedName>
    <definedName name="TITRE22">#REF!</definedName>
    <definedName name="TITRE23">#REF!</definedName>
    <definedName name="TITRE24">#REF!</definedName>
    <definedName name="TITRE25">#REF!</definedName>
    <definedName name="TITRE26">#REF!</definedName>
    <definedName name="TITRE27">#REF!</definedName>
    <definedName name="TITRE28">#REF!</definedName>
    <definedName name="TITRE29">#REF!</definedName>
    <definedName name="TITRE3">#REF!</definedName>
    <definedName name="TITRE30">#REF!</definedName>
    <definedName name="TITRE31">#REF!</definedName>
    <definedName name="TITRE32">#REF!</definedName>
    <definedName name="TITRE33">#REF!</definedName>
    <definedName name="TITRE34">#REF!</definedName>
    <definedName name="TITRE35">#REF!</definedName>
    <definedName name="TITRE36">#REF!</definedName>
    <definedName name="TITRE37">#REF!</definedName>
    <definedName name="TITRE38">#REF!</definedName>
    <definedName name="TITRE39">#REF!</definedName>
    <definedName name="TITRE4">#REF!</definedName>
    <definedName name="TITRE40">#REF!</definedName>
    <definedName name="TITRE41">#REF!</definedName>
    <definedName name="TITRE42">#REF!</definedName>
    <definedName name="TITRE43">#REF!</definedName>
    <definedName name="TITRE44">#REF!</definedName>
    <definedName name="TITRE45">#REF!</definedName>
    <definedName name="TITRE46">#REF!</definedName>
    <definedName name="TITRE47">#REF!</definedName>
    <definedName name="TITRE48">#REF!</definedName>
    <definedName name="TITRE49">#REF!</definedName>
    <definedName name="TITRE5">#REF!</definedName>
    <definedName name="TITRE50">#REF!</definedName>
    <definedName name="TITRE51">#REF!</definedName>
    <definedName name="TITRE52">#REF!</definedName>
    <definedName name="TITRE53">#REF!</definedName>
    <definedName name="TITRE54">#REF!</definedName>
    <definedName name="TITRE55">#REF!</definedName>
    <definedName name="TITRE56">#REF!</definedName>
    <definedName name="TITRE57">#REF!</definedName>
    <definedName name="TITRE58">#REF!</definedName>
    <definedName name="TITRE59">#REF!</definedName>
    <definedName name="TITRE6">#REF!</definedName>
    <definedName name="TITRE60">#REF!</definedName>
    <definedName name="TITRE61">#REF!</definedName>
    <definedName name="TITRE62">#REF!</definedName>
    <definedName name="TITRE63">#REF!</definedName>
    <definedName name="TITRE64">#REF!</definedName>
    <definedName name="TITRE65">#REF!</definedName>
    <definedName name="TITRE66">#REF!</definedName>
    <definedName name="TITRE67">#REF!</definedName>
    <definedName name="TITRE68">#REF!</definedName>
    <definedName name="TITRE69">#REF!</definedName>
    <definedName name="TITRE7">#REF!</definedName>
    <definedName name="TITRE70">#REF!</definedName>
    <definedName name="TITRE71">#REF!</definedName>
    <definedName name="TITRE8">#REF!</definedName>
    <definedName name="TITRE9">#REF!</definedName>
    <definedName name="tjnrsjnrsttjns" localSheetId="1" hidden="1">{#N/A,#N/A,FALSE,"ANNEXES CLIM"}</definedName>
    <definedName name="tjnrsjnrsttjns" localSheetId="3" hidden="1">{#N/A,#N/A,FALSE,"ANNEXES CLIM"}</definedName>
    <definedName name="tjnrsjnrsttjns" localSheetId="7" hidden="1">{#N/A,#N/A,FALSE,"ANNEXES CLIM"}</definedName>
    <definedName name="tjnrsjnrsttjns" localSheetId="0" hidden="1">{#N/A,#N/A,FALSE,"ANNEXES CLIM"}</definedName>
    <definedName name="tjnrsjnrsttjns" localSheetId="15" hidden="1">{#N/A,#N/A,FALSE,"ANNEXES CLIM"}</definedName>
    <definedName name="tjnrsjnrsttjns" hidden="1">{#N/A,#N/A,FALSE,"ANNEXES CLIM"}</definedName>
    <definedName name="Tol" localSheetId="7">[40]i_Gen!$E$13</definedName>
    <definedName name="Tol">[41]i_Gen!$E$13</definedName>
    <definedName name="Tolerance">0.0001</definedName>
    <definedName name="total" localSheetId="11" hidden="1">{#N/A,#N/A,TRUE,"C.A. reg.";#N/A,#N/A,TRUE,"Provence";#N/A,#N/A,TRUE,"Rhône";#N/A,#N/A,TRUE,"Côte d'Azur";#N/A,#N/A,TRUE,"Briançonnais";#N/A,#N/A,TRUE,"Abt Travail";#N/A,#N/A,TRUE,"Abt EEA";#N/A,#N/A,TRUE,"Prod.Région.";#N/A,#N/A,TRUE,"ANNEXES"}</definedName>
    <definedName name="total" hidden="1">{#N/A,#N/A,TRUE,"C.A. reg.";#N/A,#N/A,TRUE,"Provence";#N/A,#N/A,TRUE,"Rhône";#N/A,#N/A,TRUE,"Côte d'Azur";#N/A,#N/A,TRUE,"Briançonnais";#N/A,#N/A,TRUE,"Abt Travail";#N/A,#N/A,TRUE,"Abt EEA";#N/A,#N/A,TRUE,"Prod.Région.";#N/A,#N/A,TRUE,"ANNEXES"}</definedName>
    <definedName name="TrainFinanceLeaseCashPaymentProfile" localSheetId="7">'[15]nfm-f670-d158 (GreenSpeed)'!#REF!</definedName>
    <definedName name="TrainFinanceLeaseCashPaymentProfile">'[16]nfm-f670-d158 (GreenSpeed)'!#REF!</definedName>
    <definedName name="TrainOpLeaseCashPaymentProfile" localSheetId="7">'[15]nfm-f670-d158 (GreenSpeed)'!#REF!</definedName>
    <definedName name="TrainOpLeaseCashPaymentProfile">'[16]nfm-f670-d158 (GreenSpeed)'!#REF!</definedName>
    <definedName name="TrainPlannedServicesIn" localSheetId="7">'[15]nfm-f670-d158 (GreenSpeed)'!#REF!</definedName>
    <definedName name="TrainPlannedServicesIn">'[16]nfm-f670-d158 (GreenSpeed)'!#REF!</definedName>
    <definedName name="TrainServiceStaffNumberOther" localSheetId="7">'[15]nfm-f670-d158 (GreenSpeed)'!#REF!</definedName>
    <definedName name="TrainServiceStaffNumberOther">'[16]nfm-f670-d158 (GreenSpeed)'!#REF!</definedName>
    <definedName name="TrainServiceStaffNumberUK" localSheetId="7">'[15]nfm-f670-d158 (GreenSpeed)'!#REF!</definedName>
    <definedName name="TrainServiceStaffNumberUK">'[16]nfm-f670-d158 (GreenSpeed)'!#REF!</definedName>
    <definedName name="TrainSetse300In" localSheetId="7">'[15]nfm-f670-d158 (GreenSpeed)'!#REF!</definedName>
    <definedName name="TrainSetse300In">'[16]nfm-f670-d158 (GreenSpeed)'!#REF!</definedName>
    <definedName name="TrainSetse320In" localSheetId="7">'[15]nfm-f670-d158 (GreenSpeed)'!#REF!</definedName>
    <definedName name="TrainSetse320In">'[16]nfm-f670-d158 (GreenSpeed)'!#REF!</definedName>
    <definedName name="TrainSetse320NGIn" localSheetId="7">'[15]nfm-f670-d158 (GreenSpeed)'!#REF!</definedName>
    <definedName name="TrainSetse320NGIn">'[16]nfm-f670-d158 (GreenSpeed)'!#REF!</definedName>
    <definedName name="TrainSetsOtherIn" localSheetId="7">'[15]nfm-f670-d158 (GreenSpeed)'!#REF!</definedName>
    <definedName name="TrainSetsOtherIn">'[16]nfm-f670-d158 (GreenSpeed)'!#REF!</definedName>
    <definedName name="triste" localSheetId="11" hidden="1">{#N/A,#N/A,TRUE,"C.A. reg.";#N/A,#N/A,TRUE,"Provence";#N/A,#N/A,TRUE,"Rhône";#N/A,#N/A,TRUE,"Côte d'Azur";#N/A,#N/A,TRUE,"Briançonnais";#N/A,#N/A,TRUE,"Abt Travail";#N/A,#N/A,TRUE,"Abt EEA";#N/A,#N/A,TRUE,"Prod.Région.";#N/A,#N/A,TRUE,"ANNEXES"}</definedName>
    <definedName name="triste" hidden="1">{#N/A,#N/A,TRUE,"C.A. reg.";#N/A,#N/A,TRUE,"Provence";#N/A,#N/A,TRUE,"Rhône";#N/A,#N/A,TRUE,"Côte d'Azur";#N/A,#N/A,TRUE,"Briançonnais";#N/A,#N/A,TRUE,"Abt Travail";#N/A,#N/A,TRUE,"Abt EEA";#N/A,#N/A,TRUE,"Prod.Région.";#N/A,#N/A,TRUE,"ANNEXES"}</definedName>
    <definedName name="tt" localSheetId="1" hidden="1">{#N/A,#N/A,TRUE,"AB_Vertrag";#N/A,#N/A,TRUE,"AB_BWL"}</definedName>
    <definedName name="tt" localSheetId="3" hidden="1">{#N/A,#N/A,TRUE,"AB_Vertrag";#N/A,#N/A,TRUE,"AB_BWL"}</definedName>
    <definedName name="tt" localSheetId="7" hidden="1">{#N/A,#N/A,TRUE,"AB_Vertrag";#N/A,#N/A,TRUE,"AB_BWL"}</definedName>
    <definedName name="tt" localSheetId="0" hidden="1">{#N/A,#N/A,TRUE,"AB_Vertrag";#N/A,#N/A,TRUE,"AB_BWL"}</definedName>
    <definedName name="tt" localSheetId="15" hidden="1">{#N/A,#N/A,TRUE,"AB_Vertrag";#N/A,#N/A,TRUE,"AB_BWL"}</definedName>
    <definedName name="tt" hidden="1">{#N/A,#N/A,TRUE,"AB_Vertrag";#N/A,#N/A,TRUE,"AB_BWL"}</definedName>
    <definedName name="tttt" hidden="1">#REF!</definedName>
    <definedName name="ttttttt" hidden="1">#REF!</definedName>
    <definedName name="tx">35.43%</definedName>
    <definedName name="TYPE">[48]LISTES!$A$2:$A$3</definedName>
    <definedName name="tyuiop" localSheetId="1" hidden="1">{#N/A,#N/A,FALSE,"ANNEXES CLIM"}</definedName>
    <definedName name="tyuiop" localSheetId="3" hidden="1">{#N/A,#N/A,FALSE,"ANNEXES CLIM"}</definedName>
    <definedName name="tyuiop" localSheetId="7" hidden="1">{#N/A,#N/A,FALSE,"ANNEXES CLIM"}</definedName>
    <definedName name="tyuiop" localSheetId="0" hidden="1">{#N/A,#N/A,FALSE,"ANNEXES CLIM"}</definedName>
    <definedName name="tyuiop" localSheetId="15" hidden="1">{#N/A,#N/A,FALSE,"ANNEXES CLIM"}</definedName>
    <definedName name="tyuiop" hidden="1">{#N/A,#N/A,FALSE,"ANNEXES CLIM"}</definedName>
    <definedName name="uhc"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uhc"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uioiu" localSheetId="11" hidden="1">{#N/A,#N/A,FALSE,"ECH IG";#N/A,#N/A,FALSE,"ECH DETTES"}</definedName>
    <definedName name="uioiu" hidden="1">{#N/A,#N/A,FALSE,"ECH IG";#N/A,#N/A,FALSE,"ECH DETTES"}</definedName>
    <definedName name="ujn" localSheetId="11" hidden="1">{#N/A,#N/A,FALSE,"Résultats conso";#N/A,#N/A,FALSE,"Intérêts mino N-1 à N";#N/A,#N/A,FALSE,"Réserves soc &amp; conso";#N/A,#N/A,FALSE,"Passage N-1 à N";#N/A,#N/A,FALSE,"Tab. fi. sociaux et conso"}</definedName>
    <definedName name="ujn" hidden="1">{#N/A,#N/A,FALSE,"Résultats conso";#N/A,#N/A,FALSE,"Intérêts mino N-1 à N";#N/A,#N/A,FALSE,"Réserves soc &amp; conso";#N/A,#N/A,FALSE,"Passage N-1 à N";#N/A,#N/A,FALSE,"Tab. fi. sociaux et conso"}</definedName>
    <definedName name="UK_sal_increase" localSheetId="15">#REF!</definedName>
    <definedName name="UK_sal_increase">#REF!</definedName>
    <definedName name="UKRollingStockStaffNumberOther" localSheetId="7">'[15]nfm-f670-d158 (GreenSpeed)'!#REF!</definedName>
    <definedName name="UKRollingStockStaffNumberOther" localSheetId="15">'[16]nfm-f670-d158 (GreenSpeed)'!#REF!</definedName>
    <definedName name="UKRollingStockStaffNumberOther">'[16]nfm-f670-d158 (GreenSpeed)'!#REF!</definedName>
    <definedName name="UKRollingStockStaffNumberUK" localSheetId="7">'[15]nfm-f670-d158 (GreenSpeed)'!#REF!</definedName>
    <definedName name="UKRollingStockStaffNumberUK" localSheetId="15">'[16]nfm-f670-d158 (GreenSpeed)'!#REF!</definedName>
    <definedName name="UKRollingStockStaffNumberUK">'[16]nfm-f670-d158 (GreenSpeed)'!#REF!</definedName>
    <definedName name="unit">#REF!</definedName>
    <definedName name="unixCost" localSheetId="15">#REF!</definedName>
    <definedName name="unixCost">#REF!</definedName>
    <definedName name="val">#REF!</definedName>
    <definedName name="valtab">#REF!</definedName>
    <definedName name="Variante">#REF!</definedName>
    <definedName name="variantebis">#REF!</definedName>
    <definedName name="VAT" localSheetId="7">[40]i_Gen!$E$82</definedName>
    <definedName name="VAT">[41]i_Gen!$E$82</definedName>
    <definedName name="vv" localSheetId="11" hidden="1">{#N/A,#N/A,FALSE,"budget97";#N/A,#N/A,FALSE,"budget97 (2)";#N/A,#N/A,FALSE,"Conso. Groupe BM 95 à 97";#N/A,#N/A,FALSE,"INVEST 97";#N/A,#N/A,FALSE,"Investissements";#N/A,#N/A,FALSE,"CA TRS";#N/A,#N/A,FALSE,"Tableau de Fin. social";#N/A,#N/A,FALSE,"Tableau de Fin. Conso"}</definedName>
    <definedName name="vv" hidden="1">{#N/A,#N/A,FALSE,"budget97";#N/A,#N/A,FALSE,"budget97 (2)";#N/A,#N/A,FALSE,"Conso. Groupe BM 95 à 97";#N/A,#N/A,FALSE,"INVEST 97";#N/A,#N/A,FALSE,"Investissements";#N/A,#N/A,FALSE,"CA TRS";#N/A,#N/A,FALSE,"Tableau de Fin. social";#N/A,#N/A,FALSE,"Tableau de Fin. Conso"}</definedName>
    <definedName name="vvv" localSheetId="11" hidden="1">{#N/A,#N/A,FALSE,"Résultats conso";#N/A,#N/A,FALSE,"Intérêts mino N-1 à N";#N/A,#N/A,FALSE,"Réserves soc &amp; conso";#N/A,#N/A,FALSE,"Passage N-1 à N";#N/A,#N/A,FALSE,"Tab. fi. sociaux et conso"}</definedName>
    <definedName name="vvv" hidden="1">{#N/A,#N/A,FALSE,"Résultats conso";#N/A,#N/A,FALSE,"Intérêts mino N-1 à N";#N/A,#N/A,FALSE,"Réserves soc &amp; conso";#N/A,#N/A,FALSE,"Passage N-1 à N";#N/A,#N/A,FALSE,"Tab. fi. sociaux et conso"}</definedName>
    <definedName name="vvvv"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vvvv"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wrn.Analyse." localSheetId="1" hidden="1">{#N/A,#N/A,TRUE,"AB_Vertrag";#N/A,#N/A,TRUE,"AB_BWL"}</definedName>
    <definedName name="wrn.Analyse." localSheetId="3" hidden="1">{#N/A,#N/A,TRUE,"AB_Vertrag";#N/A,#N/A,TRUE,"AB_BWL"}</definedName>
    <definedName name="wrn.Analyse." localSheetId="7" hidden="1">{#N/A,#N/A,TRUE,"AB_Vertrag";#N/A,#N/A,TRUE,"AB_BWL"}</definedName>
    <definedName name="wrn.Analyse." localSheetId="0" hidden="1">{#N/A,#N/A,TRUE,"AB_Vertrag";#N/A,#N/A,TRUE,"AB_BWL"}</definedName>
    <definedName name="wrn.Analyse." localSheetId="15" hidden="1">{#N/A,#N/A,TRUE,"AB_Vertrag";#N/A,#N/A,TRUE,"AB_BWL"}</definedName>
    <definedName name="wrn.Analyse." hidden="1">{#N/A,#N/A,TRUE,"AB_Vertrag";#N/A,#N/A,TRUE,"AB_BWL"}</definedName>
    <definedName name="wrn.BUDGET._.1997." localSheetId="11"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wrn.BUDGET._.1997." hidden="1">{#N/A,#N/A,FALSE,"Indicateurs BM";#N/A,#N/A,FALSE,"SIG estimé 1996";#N/A,#N/A,FALSE,"SIG Prévisionnel 1997 Annuel";#N/A,#N/A,FALSE,"SIG Prévisionnel 97 Mensuel";#N/A,#N/A,FALSE,"Chiffre d'affaires";#N/A,#N/A,FALSE,"Autres Produits &amp; Autres Charge";#N/A,#N/A,FALSE,"Frais de personnel";#N/A,#N/A,FALSE,"Autres charges liées tps";#N/A,#N/A,FALSE,"Résultat Financier";#N/A,#N/A,FALSE,"Résultat Exceptionnel";#N/A,#N/A,FALSE,"Investissements";#N/A,#N/A,FALSE,"Coût de détention du parc";#N/A,#N/A,FALSE,"Tableau de financement"}</definedName>
    <definedName name="wrn.Budget._.1998."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wrn.Budget._.1998."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wrn.BUDGET._.97." localSheetId="11" hidden="1">{#N/A,#N/A,FALSE,"budget97";#N/A,#N/A,FALSE,"budget97 (2)";#N/A,#N/A,FALSE,"Conso. Groupe BM 95 à 97";#N/A,#N/A,FALSE,"INVEST 97";#N/A,#N/A,FALSE,"Investissements";#N/A,#N/A,FALSE,"CA TRS";#N/A,#N/A,FALSE,"Tableau de Fin. social";#N/A,#N/A,FALSE,"Tableau de Fin. Conso"}</definedName>
    <definedName name="wrn.BUDGET._.97." hidden="1">{#N/A,#N/A,FALSE,"budget97";#N/A,#N/A,FALSE,"budget97 (2)";#N/A,#N/A,FALSE,"Conso. Groupe BM 95 à 97";#N/A,#N/A,FALSE,"INVEST 97";#N/A,#N/A,FALSE,"Investissements";#N/A,#N/A,FALSE,"CA TRS";#N/A,#N/A,FALSE,"Tableau de Fin. social";#N/A,#N/A,FALSE,"Tableau de Fin. Conso"}</definedName>
    <definedName name="wrn.Budgetplanung._.97_98." localSheetId="1" hidden="1">{#N/A,#N/A,TRUE,"Basisdaten";#N/A,#N/A,TRUE,"Betriebsrestaurant";#N/A,#N/A,TRUE,"Zwischenverpflegung";#N/A,#N/A,TRUE,"Automaten";#N/A,#N/A,TRUE,"Etagenservice";#N/A,#N/A,TRUE,"Gästebereich";#N/A,#N/A,TRUE,"Kst_1";#N/A,#N/A,TRUE,"Sonderveranstaltungen";#N/A,#N/A,TRUE,"Kst_2";#N/A,#N/A,TRUE,"Kst_3";#N/A,#N/A,TRUE,"Kst_4";#N/A,#N/A,TRUE,"Kst_5";#N/A,#N/A,TRUE,"Namen"}</definedName>
    <definedName name="wrn.Budgetplanung._.97_98." localSheetId="3" hidden="1">{#N/A,#N/A,TRUE,"Basisdaten";#N/A,#N/A,TRUE,"Betriebsrestaurant";#N/A,#N/A,TRUE,"Zwischenverpflegung";#N/A,#N/A,TRUE,"Automaten";#N/A,#N/A,TRUE,"Etagenservice";#N/A,#N/A,TRUE,"Gästebereich";#N/A,#N/A,TRUE,"Kst_1";#N/A,#N/A,TRUE,"Sonderveranstaltungen";#N/A,#N/A,TRUE,"Kst_2";#N/A,#N/A,TRUE,"Kst_3";#N/A,#N/A,TRUE,"Kst_4";#N/A,#N/A,TRUE,"Kst_5";#N/A,#N/A,TRUE,"Namen"}</definedName>
    <definedName name="wrn.Budgetplanung._.97_98." localSheetId="7" hidden="1">{#N/A,#N/A,TRUE,"Basisdaten";#N/A,#N/A,TRUE,"Betriebsrestaurant";#N/A,#N/A,TRUE,"Zwischenverpflegung";#N/A,#N/A,TRUE,"Automaten";#N/A,#N/A,TRUE,"Etagenservice";#N/A,#N/A,TRUE,"Gästebereich";#N/A,#N/A,TRUE,"Kst_1";#N/A,#N/A,TRUE,"Sonderveranstaltungen";#N/A,#N/A,TRUE,"Kst_2";#N/A,#N/A,TRUE,"Kst_3";#N/A,#N/A,TRUE,"Kst_4";#N/A,#N/A,TRUE,"Kst_5";#N/A,#N/A,TRUE,"Namen"}</definedName>
    <definedName name="wrn.Budgetplanung._.97_98." localSheetId="0" hidden="1">{#N/A,#N/A,TRUE,"Basisdaten";#N/A,#N/A,TRUE,"Betriebsrestaurant";#N/A,#N/A,TRUE,"Zwischenverpflegung";#N/A,#N/A,TRUE,"Automaten";#N/A,#N/A,TRUE,"Etagenservice";#N/A,#N/A,TRUE,"Gästebereich";#N/A,#N/A,TRUE,"Kst_1";#N/A,#N/A,TRUE,"Sonderveranstaltungen";#N/A,#N/A,TRUE,"Kst_2";#N/A,#N/A,TRUE,"Kst_3";#N/A,#N/A,TRUE,"Kst_4";#N/A,#N/A,TRUE,"Kst_5";#N/A,#N/A,TRUE,"Namen"}</definedName>
    <definedName name="wrn.Budgetplanung._.97_98." localSheetId="15" hidden="1">{#N/A,#N/A,TRUE,"Basisdaten";#N/A,#N/A,TRUE,"Betriebsrestaurant";#N/A,#N/A,TRUE,"Zwischenverpflegung";#N/A,#N/A,TRUE,"Automaten";#N/A,#N/A,TRUE,"Etagenservice";#N/A,#N/A,TRUE,"Gästebereich";#N/A,#N/A,TRUE,"Kst_1";#N/A,#N/A,TRUE,"Sonderveranstaltungen";#N/A,#N/A,TRUE,"Kst_2";#N/A,#N/A,TRUE,"Kst_3";#N/A,#N/A,TRUE,"Kst_4";#N/A,#N/A,TRUE,"Kst_5";#N/A,#N/A,TRUE,"Namen"}</definedName>
    <definedName name="wrn.Budgetplanung._.97_98." hidden="1">{#N/A,#N/A,TRUE,"Basisdaten";#N/A,#N/A,TRUE,"Betriebsrestaurant";#N/A,#N/A,TRUE,"Zwischenverpflegung";#N/A,#N/A,TRUE,"Automaten";#N/A,#N/A,TRUE,"Etagenservice";#N/A,#N/A,TRUE,"Gästebereich";#N/A,#N/A,TRUE,"Kst_1";#N/A,#N/A,TRUE,"Sonderveranstaltungen";#N/A,#N/A,TRUE,"Kst_2";#N/A,#N/A,TRUE,"Kst_3";#N/A,#N/A,TRUE,"Kst_4";#N/A,#N/A,TRUE,"Kst_5";#N/A,#N/A,TRUE,"Namen"}</definedName>
    <definedName name="wrn.Doc._.complet." localSheetId="1" hidden="1">{#N/A,#N/A,FALSE,"Titre";#N/A,#N/A,FALSE,"Sommaire";#N/A,#N/A,FALSE,"Caisse";#N/A,#N/A,FALSE,"Climatisation";#N/A,#N/A,FALSE,"Electrique";#N/A,#N/A,FALSE,"Electronique";#N/A,#N/A,FALSE,"Frein";#N/A,#N/A,FALSE,"Mécanique"}</definedName>
    <definedName name="wrn.Doc._.complet." localSheetId="3" hidden="1">{#N/A,#N/A,FALSE,"Titre";#N/A,#N/A,FALSE,"Sommaire";#N/A,#N/A,FALSE,"Caisse";#N/A,#N/A,FALSE,"Climatisation";#N/A,#N/A,FALSE,"Electrique";#N/A,#N/A,FALSE,"Electronique";#N/A,#N/A,FALSE,"Frein";#N/A,#N/A,FALSE,"Mécanique"}</definedName>
    <definedName name="wrn.Doc._.complet." localSheetId="7" hidden="1">{#N/A,#N/A,FALSE,"Titre";#N/A,#N/A,FALSE,"Sommaire";#N/A,#N/A,FALSE,"Caisse";#N/A,#N/A,FALSE,"Climatisation";#N/A,#N/A,FALSE,"Electrique";#N/A,#N/A,FALSE,"Electronique";#N/A,#N/A,FALSE,"Frein";#N/A,#N/A,FALSE,"Mécanique"}</definedName>
    <definedName name="wrn.Doc._.complet." localSheetId="0" hidden="1">{#N/A,#N/A,FALSE,"Titre";#N/A,#N/A,FALSE,"Sommaire";#N/A,#N/A,FALSE,"Caisse";#N/A,#N/A,FALSE,"Climatisation";#N/A,#N/A,FALSE,"Electrique";#N/A,#N/A,FALSE,"Electronique";#N/A,#N/A,FALSE,"Frein";#N/A,#N/A,FALSE,"Mécanique"}</definedName>
    <definedName name="wrn.Doc._.complet." localSheetId="15" hidden="1">{#N/A,#N/A,FALSE,"Titre";#N/A,#N/A,FALSE,"Sommaire";#N/A,#N/A,FALSE,"Caisse";#N/A,#N/A,FALSE,"Climatisation";#N/A,#N/A,FALSE,"Electrique";#N/A,#N/A,FALSE,"Electronique";#N/A,#N/A,FALSE,"Frein";#N/A,#N/A,FALSE,"Mécanique"}</definedName>
    <definedName name="wrn.Doc._.complet." hidden="1">{#N/A,#N/A,FALSE,"Titre";#N/A,#N/A,FALSE,"Sommaire";#N/A,#N/A,FALSE,"Caisse";#N/A,#N/A,FALSE,"Climatisation";#N/A,#N/A,FALSE,"Electrique";#N/A,#N/A,FALSE,"Electronique";#N/A,#N/A,FALSE,"Frein";#N/A,#N/A,FALSE,"Mécanique"}</definedName>
    <definedName name="wrn.Document._.complet." localSheetId="1" hidden="1">{#N/A,#N/A,FALSE,"Généralités";#N/A,#N/A,FALSE,"Caisse";#N/A,#N/A,FALSE,"Climatisation";#N/A,#N/A,FALSE,"Electrique";#N/A,#N/A,FALSE,"Electronique";#N/A,#N/A,FALSE,"Frein";#N/A,#N/A,FALSE,"Mécanique"}</definedName>
    <definedName name="wrn.Document._.complet." localSheetId="3" hidden="1">{#N/A,#N/A,FALSE,"Généralités";#N/A,#N/A,FALSE,"Caisse";#N/A,#N/A,FALSE,"Climatisation";#N/A,#N/A,FALSE,"Electrique";#N/A,#N/A,FALSE,"Electronique";#N/A,#N/A,FALSE,"Frein";#N/A,#N/A,FALSE,"Mécanique"}</definedName>
    <definedName name="wrn.Document._.complet." localSheetId="7" hidden="1">{#N/A,#N/A,FALSE,"Généralités";#N/A,#N/A,FALSE,"Caisse";#N/A,#N/A,FALSE,"Climatisation";#N/A,#N/A,FALSE,"Electrique";#N/A,#N/A,FALSE,"Electronique";#N/A,#N/A,FALSE,"Frein";#N/A,#N/A,FALSE,"Mécanique"}</definedName>
    <definedName name="wrn.Document._.complet." localSheetId="0" hidden="1">{#N/A,#N/A,FALSE,"Généralités";#N/A,#N/A,FALSE,"Caisse";#N/A,#N/A,FALSE,"Climatisation";#N/A,#N/A,FALSE,"Electrique";#N/A,#N/A,FALSE,"Electronique";#N/A,#N/A,FALSE,"Frein";#N/A,#N/A,FALSE,"Mécanique"}</definedName>
    <definedName name="wrn.Document._.complet." localSheetId="15" hidden="1">{#N/A,#N/A,FALSE,"Généralités";#N/A,#N/A,FALSE,"Caisse";#N/A,#N/A,FALSE,"Climatisation";#N/A,#N/A,FALSE,"Electrique";#N/A,#N/A,FALSE,"Electronique";#N/A,#N/A,FALSE,"Frein";#N/A,#N/A,FALSE,"Mécanique"}</definedName>
    <definedName name="wrn.Document._.complet." hidden="1">{#N/A,#N/A,FALSE,"Généralités";#N/A,#N/A,FALSE,"Caisse";#N/A,#N/A,FALSE,"Climatisation";#N/A,#N/A,FALSE,"Electrique";#N/A,#N/A,FALSE,"Electronique";#N/A,#N/A,FALSE,"Frein";#N/A,#N/A,FALSE,"Mécanique"}</definedName>
    <definedName name="wrn.edition._.complete." localSheetId="11" hidden="1">{#N/A,#N/A,FALSE,"Résultats conso";#N/A,#N/A,FALSE,"Intérêts mino N-1 à N";#N/A,#N/A,FALSE,"Réserves soc &amp; conso";#N/A,#N/A,FALSE,"Passage N-1 à N";#N/A,#N/A,FALSE,"Tab. fi. sociaux et conso"}</definedName>
    <definedName name="wrn.edition._.complete." hidden="1">{#N/A,#N/A,FALSE,"Résultats conso";#N/A,#N/A,FALSE,"Intérêts mino N-1 à N";#N/A,#N/A,FALSE,"Réserves soc &amp; conso";#N/A,#N/A,FALSE,"Passage N-1 à N";#N/A,#N/A,FALSE,"Tab. fi. sociaux et conso"}</definedName>
    <definedName name="wrn.flux." localSheetId="11"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wrn.flux." hidden="1">{#N/A,#N/A,FALSE,"Recherche";#N/A,#N/A,FALSE,"Concessions";#N/A,#N/A,FALSE,"FDC";#N/A,#N/A,FALSE,"Bail";#N/A,#N/A,FALSE,"Autres incorp";#N/A,#N/A,FALSE,"Avances incorp";#N/A,#N/A,FALSE,"INCORP";#N/A,#N/A,FALSE,"Terrains";#N/A,#N/A,FALSE,"Const";#N/A,#N/A,FALSE,"Inst";#N/A,#N/A,FALSE,"Trs";#N/A,#N/A,FALSE,"Autres corp";#N/A,#N/A,FALSE,"en cours";#N/A,#N/A,FALSE,"Avances corp";#N/A,#N/A,FALSE,"CORP";#N/A,#N/A,FALSE,"Autres part";#N/A,#N/A,FALSE,"Titres";#N/A,#N/A,FALSE,"Prêts";#N/A,#N/A,FALSE,"Créances";#N/A,#N/A,FALSE,"Autres fin";#N/A,#N/A,FALSE,"FINANC";#N/A,#N/A,FALSE,"IMMO"}</definedName>
    <definedName name="wrn.geodis." localSheetId="11" hidden="1">{#N/A,#N/A,FALSE,"ECH IG";#N/A,#N/A,FALSE,"ECH DETTES"}</definedName>
    <definedName name="wrn.geodis." hidden="1">{#N/A,#N/A,FALSE,"ECH IG";#N/A,#N/A,FALSE,"ECH DETTES"}</definedName>
    <definedName name="wrn.Impression._.complete._.du._.document." localSheetId="1" hidden="1">{#N/A,#N/A,FALSE,"Titre + rectif";#N/A,#N/A,FALSE,"Sommaire";#N/A,#N/A,FALSE,"Généralités";#N/A,#N/A,FALSE,"Caisse";#N/A,#N/A,FALSE,"Climatisation";#N/A,#N/A,FALSE,"Electrique";#N/A,#N/A,FALSE,"Electronique";#N/A,#N/A,FALSE,"Frein";#N/A,#N/A,FALSE,"Annexe Frein";#N/A,#N/A,FALSE,"Mécanique"}</definedName>
    <definedName name="wrn.Impression._.complete._.du._.document." localSheetId="3" hidden="1">{#N/A,#N/A,FALSE,"Titre + rectif";#N/A,#N/A,FALSE,"Sommaire";#N/A,#N/A,FALSE,"Généralités";#N/A,#N/A,FALSE,"Caisse";#N/A,#N/A,FALSE,"Climatisation";#N/A,#N/A,FALSE,"Electrique";#N/A,#N/A,FALSE,"Electronique";#N/A,#N/A,FALSE,"Frein";#N/A,#N/A,FALSE,"Annexe Frein";#N/A,#N/A,FALSE,"Mécanique"}</definedName>
    <definedName name="wrn.Impression._.complete._.du._.document." localSheetId="7" hidden="1">{#N/A,#N/A,FALSE,"Titre + rectif";#N/A,#N/A,FALSE,"Sommaire";#N/A,#N/A,FALSE,"Généralités";#N/A,#N/A,FALSE,"Caisse";#N/A,#N/A,FALSE,"Climatisation";#N/A,#N/A,FALSE,"Electrique";#N/A,#N/A,FALSE,"Electronique";#N/A,#N/A,FALSE,"Frein";#N/A,#N/A,FALSE,"Annexe Frein";#N/A,#N/A,FALSE,"Mécanique"}</definedName>
    <definedName name="wrn.Impression._.complete._.du._.document." localSheetId="0" hidden="1">{#N/A,#N/A,FALSE,"Titre + rectif";#N/A,#N/A,FALSE,"Sommaire";#N/A,#N/A,FALSE,"Généralités";#N/A,#N/A,FALSE,"Caisse";#N/A,#N/A,FALSE,"Climatisation";#N/A,#N/A,FALSE,"Electrique";#N/A,#N/A,FALSE,"Electronique";#N/A,#N/A,FALSE,"Frein";#N/A,#N/A,FALSE,"Annexe Frein";#N/A,#N/A,FALSE,"Mécanique"}</definedName>
    <definedName name="wrn.Impression._.complete._.du._.document." localSheetId="15" hidden="1">{#N/A,#N/A,FALSE,"Titre + rectif";#N/A,#N/A,FALSE,"Sommaire";#N/A,#N/A,FALSE,"Généralités";#N/A,#N/A,FALSE,"Caisse";#N/A,#N/A,FALSE,"Climatisation";#N/A,#N/A,FALSE,"Electrique";#N/A,#N/A,FALSE,"Electronique";#N/A,#N/A,FALSE,"Frein";#N/A,#N/A,FALSE,"Annexe Frein";#N/A,#N/A,FALSE,"Mécanique"}</definedName>
    <definedName name="wrn.Impression._.complete._.du._.document." hidden="1">{#N/A,#N/A,FALSE,"Titre + rectif";#N/A,#N/A,FALSE,"Sommaire";#N/A,#N/A,FALSE,"Généralités";#N/A,#N/A,FALSE,"Caisse";#N/A,#N/A,FALSE,"Climatisation";#N/A,#N/A,FALSE,"Electrique";#N/A,#N/A,FALSE,"Electronique";#N/A,#N/A,FALSE,"Frein";#N/A,#N/A,FALSE,"Annexe Frein";#N/A,#N/A,FALSE,"Mécanique"}</definedName>
    <definedName name="wrn.Monthly._.Report." localSheetId="11" hidden="1">{#N/A,#N/A,TRUE,"Title";#N/A,#N/A,TRUE,"BalanceSheetAssets";#N/A,#N/A,TRUE,"BalanceSheetLiabilities";#N/A,#N/A,TRUE,"EquityControl";#N/A,#N/A,TRUE,"IncomeStatementNature";#N/A,#N/A,TRUE,"NatureByDestination";#N/A,#N/A,TRUE,"IncomeStatement";#N/A,#N/A,TRUE,"Revenue";#N/A,#N/A,TRUE,"CashFlow";#N/A,#N/A,TRUE,"PropertyPlantEquipment"}</definedName>
    <definedName name="wrn.Monthly._.Report." hidden="1">{#N/A,#N/A,TRUE,"Title";#N/A,#N/A,TRUE,"BalanceSheetAssets";#N/A,#N/A,TRUE,"BalanceSheetLiabilities";#N/A,#N/A,TRUE,"EquityControl";#N/A,#N/A,TRUE,"IncomeStatementNature";#N/A,#N/A,TRUE,"NatureByDestination";#N/A,#N/A,TRUE,"IncomeStatement";#N/A,#N/A,TRUE,"Revenue";#N/A,#N/A,TRUE,"CashFlow";#N/A,#N/A,TRUE,"PropertyPlantEquipment"}</definedName>
    <definedName name="wrn.Quartely._.Report." localSheetId="11" hidden="1">{#N/A,#N/A,TRUE,"Title";#N/A,#N/A,TRUE,"BalanceSheetAssets";#N/A,#N/A,TRUE,"BalanceSheetLiabilities";#N/A,#N/A,TRUE,"EquityControl";#N/A,#N/A,TRUE,"IncomeStatementNature";#N/A,#N/A,TRUE,"NatureByDestination";#N/A,#N/A,TRUE,"IncomeStatement";#N/A,#N/A,TRUE,"Revenue";#N/A,#N/A,TRUE,"CashFlow";#N/A,#N/A,TRUE,"PropertyPlantEquipment";#N/A,#N/A,TRUE,"Lease";#N/A,#N/A,TRUE,"IntangibleAssets";#N/A,#N/A,TRUE,"CashEquivalent";#N/A,#N/A,TRUE,"AccountsReceivable";#N/A,#N/A,TRUE,"Interco";#N/A,#N/A,TRUE,"DetailOfAccounts";#N/A,#N/A,TRUE,"GeographicInfo";#N/A,#N/A,TRUE,"FinancialRevenue"}</definedName>
    <definedName name="wrn.Quartely._.Report." hidden="1">{#N/A,#N/A,TRUE,"Title";#N/A,#N/A,TRUE,"BalanceSheetAssets";#N/A,#N/A,TRUE,"BalanceSheetLiabilities";#N/A,#N/A,TRUE,"EquityControl";#N/A,#N/A,TRUE,"IncomeStatementNature";#N/A,#N/A,TRUE,"NatureByDestination";#N/A,#N/A,TRUE,"IncomeStatement";#N/A,#N/A,TRUE,"Revenue";#N/A,#N/A,TRUE,"CashFlow";#N/A,#N/A,TRUE,"PropertyPlantEquipment";#N/A,#N/A,TRUE,"Lease";#N/A,#N/A,TRUE,"IntangibleAssets";#N/A,#N/A,TRUE,"CashEquivalent";#N/A,#N/A,TRUE,"AccountsReceivable";#N/A,#N/A,TRUE,"Interco";#N/A,#N/A,TRUE,"DetailOfAccounts";#N/A,#N/A,TRUE,"GeographicInfo";#N/A,#N/A,TRUE,"FinancialRevenue"}</definedName>
    <definedName name="wrn.SYNT." localSheetId="1" hidden="1">{#N/A,#N/A,FALSE,"Synt Caisse";#N/A,#N/A,FALSE,"Synt Clim";#N/A,#N/A,FALSE,"Synt Electric";#N/A,#N/A,FALSE,"Synt Electron";#N/A,#N/A,FALSE,"Synt Frein";#N/A,#N/A,FALSE,"Synt Mécanique"}</definedName>
    <definedName name="wrn.SYNT." localSheetId="3" hidden="1">{#N/A,#N/A,FALSE,"Synt Caisse";#N/A,#N/A,FALSE,"Synt Clim";#N/A,#N/A,FALSE,"Synt Electric";#N/A,#N/A,FALSE,"Synt Electron";#N/A,#N/A,FALSE,"Synt Frein";#N/A,#N/A,FALSE,"Synt Mécanique"}</definedName>
    <definedName name="wrn.SYNT." localSheetId="7" hidden="1">{#N/A,#N/A,FALSE,"Synt Caisse";#N/A,#N/A,FALSE,"Synt Clim";#N/A,#N/A,FALSE,"Synt Electric";#N/A,#N/A,FALSE,"Synt Electron";#N/A,#N/A,FALSE,"Synt Frein";#N/A,#N/A,FALSE,"Synt Mécanique"}</definedName>
    <definedName name="wrn.SYNT." localSheetId="0" hidden="1">{#N/A,#N/A,FALSE,"Synt Caisse";#N/A,#N/A,FALSE,"Synt Clim";#N/A,#N/A,FALSE,"Synt Electric";#N/A,#N/A,FALSE,"Synt Electron";#N/A,#N/A,FALSE,"Synt Frein";#N/A,#N/A,FALSE,"Synt Mécanique"}</definedName>
    <definedName name="wrn.SYNT." localSheetId="15" hidden="1">{#N/A,#N/A,FALSE,"Synt Caisse";#N/A,#N/A,FALSE,"Synt Clim";#N/A,#N/A,FALSE,"Synt Electric";#N/A,#N/A,FALSE,"Synt Electron";#N/A,#N/A,FALSE,"Synt Frein";#N/A,#N/A,FALSE,"Synt Mécanique"}</definedName>
    <definedName name="wrn.SYNT." hidden="1">{#N/A,#N/A,FALSE,"Synt Caisse";#N/A,#N/A,FALSE,"Synt Clim";#N/A,#N/A,FALSE,"Synt Electric";#N/A,#N/A,FALSE,"Synt Electron";#N/A,#N/A,FALSE,"Synt Frein";#N/A,#N/A,FALSE,"Synt Mécanique"}</definedName>
    <definedName name="wrn.TER." localSheetId="11" hidden="1">{#N/A,#N/A,TRUE,"C.A. reg.";#N/A,#N/A,TRUE,"Provence";#N/A,#N/A,TRUE,"Rhône";#N/A,#N/A,TRUE,"Côte d'Azur";#N/A,#N/A,TRUE,"Briançonnais";#N/A,#N/A,TRUE,"Abt Travail";#N/A,#N/A,TRUE,"Abt EEA";#N/A,#N/A,TRUE,"Prod.Région.";#N/A,#N/A,TRUE,"ANNEXES"}</definedName>
    <definedName name="wrn.TER." hidden="1">{#N/A,#N/A,TRUE,"C.A. reg.";#N/A,#N/A,TRUE,"Provence";#N/A,#N/A,TRUE,"Rhône";#N/A,#N/A,TRUE,"Côte d'Azur";#N/A,#N/A,TRUE,"Briançonnais";#N/A,#N/A,TRUE,"Abt Travail";#N/A,#N/A,TRUE,"Abt EEA";#N/A,#N/A,TRUE,"Prod.Région.";#N/A,#N/A,TRUE,"ANNEXES"}</definedName>
    <definedName name="wrn.TITRE." localSheetId="1" hidden="1">{#N/A,#N/A,FALSE,"TITRE CAISSE ";#N/A,#N/A,FALSE,"TITRE CLIM";#N/A,#N/A,FALSE,"TITRE ELECTR";#N/A,#N/A,FALSE,"TITRE TRONIC";#N/A,#N/A,FALSE,"TITRE FREIN";#N/A,#N/A,FALSE,"TITRE MECA"}</definedName>
    <definedName name="wrn.TITRE." localSheetId="3" hidden="1">{#N/A,#N/A,FALSE,"TITRE CAISSE ";#N/A,#N/A,FALSE,"TITRE CLIM";#N/A,#N/A,FALSE,"TITRE ELECTR";#N/A,#N/A,FALSE,"TITRE TRONIC";#N/A,#N/A,FALSE,"TITRE FREIN";#N/A,#N/A,FALSE,"TITRE MECA"}</definedName>
    <definedName name="wrn.TITRE." localSheetId="7" hidden="1">{#N/A,#N/A,FALSE,"TITRE CAISSE ";#N/A,#N/A,FALSE,"TITRE CLIM";#N/A,#N/A,FALSE,"TITRE ELECTR";#N/A,#N/A,FALSE,"TITRE TRONIC";#N/A,#N/A,FALSE,"TITRE FREIN";#N/A,#N/A,FALSE,"TITRE MECA"}</definedName>
    <definedName name="wrn.TITRE." localSheetId="0" hidden="1">{#N/A,#N/A,FALSE,"TITRE CAISSE ";#N/A,#N/A,FALSE,"TITRE CLIM";#N/A,#N/A,FALSE,"TITRE ELECTR";#N/A,#N/A,FALSE,"TITRE TRONIC";#N/A,#N/A,FALSE,"TITRE FREIN";#N/A,#N/A,FALSE,"TITRE MECA"}</definedName>
    <definedName name="wrn.TITRE." localSheetId="15" hidden="1">{#N/A,#N/A,FALSE,"TITRE CAISSE ";#N/A,#N/A,FALSE,"TITRE CLIM";#N/A,#N/A,FALSE,"TITRE ELECTR";#N/A,#N/A,FALSE,"TITRE TRONIC";#N/A,#N/A,FALSE,"TITRE FREIN";#N/A,#N/A,FALSE,"TITRE MECA"}</definedName>
    <definedName name="wrn.TITRE." hidden="1">{#N/A,#N/A,FALSE,"TITRE CAISSE ";#N/A,#N/A,FALSE,"TITRE CLIM";#N/A,#N/A,FALSE,"TITRE ELECTR";#N/A,#N/A,FALSE,"TITRE TRONIC";#N/A,#N/A,FALSE,"TITRE FREIN";#N/A,#N/A,FALSE,"TITRE MECA"}</definedName>
    <definedName name="wrn.Tout._.Sauf._.BG."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Yearly._.Report." localSheetId="11" hidden="1">{#N/A,#N/A,TRUE,"Title";#N/A,#N/A,TRUE,"ControlSheet";#N/A,#N/A,TRUE,"BalanceSheetAssets";#N/A,#N/A,TRUE,"BalanceSheetLiabilities";#N/A,#N/A,TRUE,"EquityControl";#N/A,#N/A,TRUE,"IncomeStatementNature";#N/A,#N/A,TRUE,"NatureByDestination";#N/A,#N/A,TRUE,"IncomeStatement";#N/A,#N/A,TRUE,"Revenue";#N/A,#N/A,TRUE,"CashFlow";#N/A,#N/A,TRUE,"PropertyPlantEquipment";#N/A,#N/A,TRUE,"Lease";#N/A,#N/A,TRUE,"IntangibleAssets";#N/A,#N/A,TRUE,"CashEquivalent";#N/A,#N/A,TRUE,"AccountsReceivable";#N/A,#N/A,TRUE,"Interco";#N/A,#N/A,TRUE,"IncomeTaxes";#N/A,#N/A,TRUE,"DetailOfAccounts";#N/A,#N/A,TRUE,"RetirementPension";#N/A,#N/A,TRUE,"GeographicInfo";#N/A,#N/A,TRUE,"Depreciation";#N/A,#N/A,TRUE,"FinancialRevenue";#N/A,#N/A,TRUE,"PersonnelCost";#N/A,#N/A,TRUE,"Contingencies";#N/A,#N/A,TRUE,"UnadjustedDifferences"}</definedName>
    <definedName name="wrn.Yearly._.Report." hidden="1">{#N/A,#N/A,TRUE,"Title";#N/A,#N/A,TRUE,"ControlSheet";#N/A,#N/A,TRUE,"BalanceSheetAssets";#N/A,#N/A,TRUE,"BalanceSheetLiabilities";#N/A,#N/A,TRUE,"EquityControl";#N/A,#N/A,TRUE,"IncomeStatementNature";#N/A,#N/A,TRUE,"NatureByDestination";#N/A,#N/A,TRUE,"IncomeStatement";#N/A,#N/A,TRUE,"Revenue";#N/A,#N/A,TRUE,"CashFlow";#N/A,#N/A,TRUE,"PropertyPlantEquipment";#N/A,#N/A,TRUE,"Lease";#N/A,#N/A,TRUE,"IntangibleAssets";#N/A,#N/A,TRUE,"CashEquivalent";#N/A,#N/A,TRUE,"AccountsReceivable";#N/A,#N/A,TRUE,"Interco";#N/A,#N/A,TRUE,"IncomeTaxes";#N/A,#N/A,TRUE,"DetailOfAccounts";#N/A,#N/A,TRUE,"RetirementPension";#N/A,#N/A,TRUE,"GeographicInfo";#N/A,#N/A,TRUE,"Depreciation";#N/A,#N/A,TRUE,"FinancialRevenue";#N/A,#N/A,TRUE,"PersonnelCost";#N/A,#N/A,TRUE,"Contingencies";#N/A,#N/A,TRUE,"UnadjustedDifferences"}</definedName>
    <definedName name="WW" localSheetId="11" hidden="1">{#N/A,#N/A,FALSE,"ECH IG";#N/A,#N/A,FALSE,"ECH DETTES"}</definedName>
    <definedName name="WW" hidden="1">{#N/A,#N/A,FALSE,"ECH IG";#N/A,#N/A,FALSE,"ECH DETTES"}</definedName>
    <definedName name="X">'[71]BD Macro'!#REF!</definedName>
    <definedName name="xxx" hidden="1">'[72]Participt non conso '!#REF!</definedName>
    <definedName name="xxz" hidden="1">'[72]Participt non conso '!#REF!</definedName>
    <definedName name="xxzz" hidden="1">'[72]Participt non conso '!#REF!</definedName>
    <definedName name="YH" localSheetId="11" hidden="1">{#N/A,#N/A,FALSE,"budget97";#N/A,#N/A,FALSE,"budget97 (2)";#N/A,#N/A,FALSE,"Conso. Groupe BM 95 à 97";#N/A,#N/A,FALSE,"INVEST 97";#N/A,#N/A,FALSE,"Investissements";#N/A,#N/A,FALSE,"CA TRS";#N/A,#N/A,FALSE,"Tableau de Fin. social";#N/A,#N/A,FALSE,"Tableau de Fin. Conso"}</definedName>
    <definedName name="YH" hidden="1">{#N/A,#N/A,FALSE,"budget97";#N/A,#N/A,FALSE,"budget97 (2)";#N/A,#N/A,FALSE,"Conso. Groupe BM 95 à 97";#N/A,#N/A,FALSE,"INVEST 97";#N/A,#N/A,FALSE,"Investissements";#N/A,#N/A,FALSE,"CA TRS";#N/A,#N/A,FALSE,"Tableau de Fin. social";#N/A,#N/A,FALSE,"Tableau de Fin. Conso"}</definedName>
    <definedName name="yhn" localSheetId="11" hidden="1">{#N/A,#N/A,FALSE,"Résultats conso";#N/A,#N/A,FALSE,"Intérêts mino N-1 à N";#N/A,#N/A,FALSE,"Réserves soc &amp; conso";#N/A,#N/A,FALSE,"Passage N-1 à N";#N/A,#N/A,FALSE,"Tab. fi. sociaux et conso"}</definedName>
    <definedName name="yhn" hidden="1">{#N/A,#N/A,FALSE,"Résultats conso";#N/A,#N/A,FALSE,"Intérêts mino N-1 à N";#N/A,#N/A,FALSE,"Réserves soc &amp; conso";#N/A,#N/A,FALSE,"Passage N-1 à N";#N/A,#N/A,FALSE,"Tab. fi. sociaux et conso"}</definedName>
    <definedName name="YieldGrowthBruAms" localSheetId="7">'[15]nfm-f670-d158 (GreenSpeed)'!#REF!</definedName>
    <definedName name="YieldGrowthBruAms">'[16]nfm-f670-d158 (GreenSpeed)'!#REF!</definedName>
    <definedName name="YieldGrowthLonAms" localSheetId="7">'[15]nfm-f670-d158 (GreenSpeed)'!#REF!</definedName>
    <definedName name="YieldGrowthLonAms">'[16]nfm-f670-d158 (GreenSpeed)'!#REF!</definedName>
    <definedName name="YieldGrowthLonBru" localSheetId="7">'[15]nfm-f670-d158 (GreenSpeed)'!#REF!</definedName>
    <definedName name="YieldGrowthLonBru">'[16]nfm-f670-d158 (GreenSpeed)'!#REF!</definedName>
    <definedName name="YieldGrowthLonNew" localSheetId="7">'[15]nfm-f670-d158 (GreenSpeed)'!#REF!</definedName>
    <definedName name="YieldGrowthLonNew">'[16]nfm-f670-d158 (GreenSpeed)'!#REF!</definedName>
    <definedName name="YieldGrowthLonOth" localSheetId="7">'[15]nfm-f670-d158 (GreenSpeed)'!#REF!</definedName>
    <definedName name="YieldGrowthLonOth">'[16]nfm-f670-d158 (GreenSpeed)'!#REF!</definedName>
    <definedName name="YieldGrowthLonPar" localSheetId="7">'[15]nfm-f670-d158 (GreenSpeed)'!#REF!</definedName>
    <definedName name="YieldGrowthLonPar">'[16]nfm-f670-d158 (GreenSpeed)'!#REF!</definedName>
    <definedName name="yy" localSheetId="1" hidden="1">{#N/A,#N/A,TRUE,"AB_Vertrag";#N/A,#N/A,TRUE,"AB_BWL"}</definedName>
    <definedName name="yy" localSheetId="3" hidden="1">{#N/A,#N/A,TRUE,"AB_Vertrag";#N/A,#N/A,TRUE,"AB_BWL"}</definedName>
    <definedName name="yy" localSheetId="7" hidden="1">{#N/A,#N/A,TRUE,"AB_Vertrag";#N/A,#N/A,TRUE,"AB_BWL"}</definedName>
    <definedName name="yy" localSheetId="0" hidden="1">{#N/A,#N/A,TRUE,"AB_Vertrag";#N/A,#N/A,TRUE,"AB_BWL"}</definedName>
    <definedName name="yy" localSheetId="15" hidden="1">{#N/A,#N/A,TRUE,"AB_Vertrag";#N/A,#N/A,TRUE,"AB_BWL"}</definedName>
    <definedName name="yy" hidden="1">{#N/A,#N/A,TRUE,"AB_Vertrag";#N/A,#N/A,TRUE,"AB_BWL"}</definedName>
    <definedName name="zaza">#REF!</definedName>
    <definedName name="zert" localSheetId="11"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zert" hidden="1">{#N/A,#N/A,FALSE,"SIG Estimé 1997";#N/A,#N/A,FALSE,"SIG Annuel 1997 (prés. 98)";#N/A,#N/A,FALSE,"SIG Annuel 1998";#N/A,#N/A,FALSE,"SIG Global Mensuel 1998";#N/A,#N/A,FALSE,"SIG Affret Mensuel 1998";#N/A,#N/A,FALSE,"SIG Location Dédié Mensuel 1998";#N/A,#N/A,FALSE,"SIG Trs MG Parc Mensuel 1998";#N/A,#N/A,FALSE,"SIG Trs Spécialisé Mensuel 1998";#N/A,#N/A,FALSE,"SIG Logistique Mensuel 1998";#N/A,#N/A,FALSE,"Indicateurs";#N/A,#N/A,FALSE,"Dot aux Provisions (hors dérog)";#N/A,#N/A,FALSE,"Résultat Financier";#N/A,#N/A,FALSE,"Résultat Exceptionnel";#N/A,#N/A,FALSE,"Charges de Personnel";#N/A,#N/A,FALSE,"Investissements";#N/A,#N/A,FALSE,"Structure du Parc";#N/A,#N/A,FALSE,"FDR"}</definedName>
    <definedName name="Zimp_FABUREL">#REF!</definedName>
    <definedName name="zone1">#REF!</definedName>
    <definedName name="zone2">#REF!</definedName>
    <definedName name="zone3">#REF!</definedName>
    <definedName name="zone4">#REF!</definedName>
    <definedName name="zoneimp_mises_IN">#REF!</definedName>
    <definedName name="zoneimp_program_IN">#REF!</definedName>
    <definedName name="zrtyz" localSheetId="11" hidden="1">{#N/A,#N/A,FALSE,"Résultats conso";#N/A,#N/A,FALSE,"Intérêts mino N-1 à N";#N/A,#N/A,FALSE,"Réserves soc &amp; conso";#N/A,#N/A,FALSE,"Passage N-1 à N";#N/A,#N/A,FALSE,"Tab. fi. sociaux et conso"}</definedName>
    <definedName name="zrtyz" hidden="1">{#N/A,#N/A,FALSE,"Résultats conso";#N/A,#N/A,FALSE,"Intérêts mino N-1 à N";#N/A,#N/A,FALSE,"Réserves soc &amp; conso";#N/A,#N/A,FALSE,"Passage N-1 à N";#N/A,#N/A,FALSE,"Tab. fi. sociaux et conso"}</definedName>
    <definedName name="ZS" localSheetId="11" hidden="1">{#N/A,#N/A,FALSE,"Résultats conso";#N/A,#N/A,FALSE,"Intérêts mino N-1 à N";#N/A,#N/A,FALSE,"Réserves soc &amp; conso";#N/A,#N/A,FALSE,"Passage N-1 à N";#N/A,#N/A,FALSE,"Tab. fi. sociaux et conso"}</definedName>
    <definedName name="ZS" hidden="1">{#N/A,#N/A,FALSE,"Résultats conso";#N/A,#N/A,FALSE,"Intérêts mino N-1 à N";#N/A,#N/A,FALSE,"Réserves soc &amp; conso";#N/A,#N/A,FALSE,"Passage N-1 à N";#N/A,#N/A,FALSE,"Tab. fi. sociaux et conso"}</definedName>
    <definedName name="zsx" localSheetId="11" hidden="1">{#N/A,#N/A,FALSE,"Résultats conso";#N/A,#N/A,FALSE,"Intérêts mino N-1 à N";#N/A,#N/A,FALSE,"Réserves soc &amp; conso";#N/A,#N/A,FALSE,"Passage N-1 à N";#N/A,#N/A,FALSE,"Tab. fi. sociaux et conso"}</definedName>
    <definedName name="zsx" hidden="1">{#N/A,#N/A,FALSE,"Résultats conso";#N/A,#N/A,FALSE,"Intérêts mino N-1 à N";#N/A,#N/A,FALSE,"Réserves soc &amp; conso";#N/A,#N/A,FALSE,"Passage N-1 à N";#N/A,#N/A,FALSE,"Tab. fi. sociaux et conso"}</definedName>
    <definedName name="ZZZ" localSheetId="11" hidden="1">{#N/A,#N/A,FALSE,"Résultats conso";#N/A,#N/A,FALSE,"Intérêts mino N-1 à N";#N/A,#N/A,FALSE,"Réserves soc &amp; conso";#N/A,#N/A,FALSE,"Passage N-1 à N";#N/A,#N/A,FALSE,"Tab. fi. sociaux et conso"}</definedName>
    <definedName name="ZZZ" hidden="1">{#N/A,#N/A,FALSE,"Résultats conso";#N/A,#N/A,FALSE,"Intérêts mino N-1 à N";#N/A,#N/A,FALSE,"Réserves soc &amp; conso";#N/A,#N/A,FALSE,"Passage N-1 à N";#N/A,#N/A,FALSE,"Tab. fi. sociaux et conso"}</definedName>
  </definedNames>
  <calcPr calcId="191028"/>
  <pivotCaches>
    <pivotCache cacheId="3" r:id="rId95"/>
    <pivotCache cacheId="4" r:id="rId9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8" l="1"/>
  <c r="J4" i="18"/>
  <c r="J3" i="18"/>
  <c r="D5" i="18"/>
  <c r="AC5" i="1"/>
  <c r="AC6" i="1"/>
  <c r="AC7" i="1"/>
  <c r="AC8" i="1"/>
  <c r="AC9" i="1"/>
  <c r="AC10" i="1"/>
  <c r="AC11" i="1"/>
  <c r="AC12" i="1"/>
  <c r="AC15" i="1"/>
  <c r="AC16" i="1"/>
  <c r="AC17" i="1"/>
  <c r="AC19" i="1"/>
  <c r="AC20" i="1"/>
  <c r="AC21" i="1"/>
  <c r="AC22" i="1"/>
  <c r="AC23" i="1"/>
  <c r="AC24" i="1"/>
  <c r="AC25" i="1"/>
  <c r="AC26" i="1"/>
  <c r="AC27" i="1"/>
  <c r="AC28" i="1"/>
  <c r="AC29" i="1"/>
  <c r="AC31" i="1"/>
  <c r="AC33" i="1"/>
  <c r="AC35" i="1"/>
  <c r="AC38" i="1"/>
  <c r="AC39" i="1"/>
  <c r="AC40" i="1"/>
  <c r="AC41" i="1"/>
  <c r="AC42" i="1"/>
  <c r="AC43" i="1"/>
  <c r="AC44" i="1"/>
  <c r="AC45" i="1"/>
  <c r="AC46" i="1"/>
  <c r="AC47" i="1"/>
  <c r="AC48" i="1"/>
  <c r="AC49" i="1"/>
  <c r="AC50" i="1"/>
  <c r="AC51" i="1"/>
  <c r="AC57" i="1"/>
  <c r="AC58" i="1"/>
  <c r="AC59" i="1"/>
  <c r="AC60" i="1"/>
  <c r="AC62" i="1"/>
  <c r="AC63" i="1"/>
  <c r="AC64" i="1"/>
  <c r="AC65" i="1"/>
  <c r="AC66" i="1"/>
  <c r="AC67" i="1"/>
  <c r="AC68" i="1"/>
  <c r="AC69" i="1"/>
  <c r="AC70" i="1"/>
  <c r="AC71" i="1"/>
  <c r="AC73" i="1"/>
  <c r="AC79" i="1"/>
  <c r="AC80" i="1"/>
  <c r="AC81" i="1"/>
  <c r="AC84" i="1"/>
  <c r="AC85" i="1"/>
  <c r="AC87" i="1"/>
  <c r="AC88" i="1"/>
  <c r="AC89" i="1"/>
  <c r="AC90" i="1"/>
  <c r="AC91" i="1"/>
  <c r="AC92" i="1"/>
  <c r="AC93" i="1"/>
  <c r="AC94" i="1"/>
  <c r="AC96" i="1"/>
  <c r="AC97" i="1"/>
  <c r="AC98" i="1"/>
  <c r="AC99" i="1"/>
  <c r="AC101" i="1"/>
  <c r="AC102" i="1"/>
  <c r="AC103" i="1"/>
  <c r="AC104" i="1"/>
  <c r="AC106" i="1"/>
  <c r="AC107" i="1"/>
  <c r="AC108" i="1"/>
  <c r="AC109" i="1"/>
  <c r="AC110" i="1"/>
  <c r="AC111" i="1"/>
  <c r="AC112" i="1"/>
  <c r="AC113" i="1"/>
  <c r="AC114" i="1"/>
  <c r="AC115" i="1"/>
  <c r="AC116" i="1"/>
  <c r="AC118" i="1"/>
  <c r="AC119" i="1"/>
  <c r="AC120" i="1"/>
  <c r="AC121"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52" i="1"/>
  <c r="AC153" i="1"/>
  <c r="AC154" i="1"/>
  <c r="AC155" i="1"/>
  <c r="AC156" i="1"/>
  <c r="AC157" i="1"/>
  <c r="AC158" i="1"/>
  <c r="AC159" i="1"/>
  <c r="AC160" i="1"/>
  <c r="AC162" i="1"/>
  <c r="AC163" i="1"/>
  <c r="AC164" i="1"/>
  <c r="AC166" i="1"/>
  <c r="AC167" i="1"/>
  <c r="AC168" i="1"/>
  <c r="AC169" i="1"/>
  <c r="AC170" i="1"/>
  <c r="AC171" i="1"/>
  <c r="AC172" i="1"/>
  <c r="AC174" i="1"/>
  <c r="AC175" i="1"/>
  <c r="AC176" i="1"/>
  <c r="AC177" i="1"/>
  <c r="AC178" i="1"/>
  <c r="AC180" i="1"/>
  <c r="AC181" i="1"/>
  <c r="AC183" i="1"/>
  <c r="AC184" i="1"/>
  <c r="AB168" i="1"/>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AD168" i="1"/>
  <c r="D12" i="19"/>
  <c r="D13" i="19"/>
  <c r="D14" i="19"/>
  <c r="D15" i="19"/>
  <c r="D16" i="19"/>
  <c r="D17" i="19"/>
  <c r="D18" i="19"/>
  <c r="D19" i="19"/>
  <c r="D20" i="19"/>
  <c r="D21" i="19"/>
  <c r="D22" i="19"/>
  <c r="D23" i="19"/>
  <c r="D24" i="19"/>
  <c r="D25" i="19"/>
  <c r="D26" i="19"/>
  <c r="D27" i="19"/>
  <c r="D28" i="19"/>
  <c r="D29" i="19"/>
  <c r="D30" i="19"/>
  <c r="D31" i="19"/>
  <c r="D8" i="19"/>
  <c r="D9" i="19"/>
  <c r="D10" i="19"/>
  <c r="D11" i="19"/>
  <c r="D7" i="19"/>
  <c r="D6" i="19"/>
  <c r="D5" i="19"/>
  <c r="E7" i="10"/>
  <c r="C3" i="17"/>
  <c r="Y179" i="15"/>
  <c r="Y181" i="15" s="1"/>
  <c r="Z174" i="15"/>
  <c r="S171" i="15"/>
  <c r="F172" i="15" s="1"/>
  <c r="X163" i="15"/>
  <c r="V163" i="15"/>
  <c r="S161" i="15"/>
  <c r="S160" i="15"/>
  <c r="S159" i="15"/>
  <c r="S158" i="15"/>
  <c r="S157" i="15"/>
  <c r="S156" i="15"/>
  <c r="S155" i="15"/>
  <c r="S154" i="15"/>
  <c r="S153" i="15"/>
  <c r="S152" i="15"/>
  <c r="S151" i="15"/>
  <c r="S150" i="15"/>
  <c r="S149" i="15"/>
  <c r="S148" i="15"/>
  <c r="S147" i="15"/>
  <c r="S146" i="15"/>
  <c r="S145" i="15"/>
  <c r="S144" i="15"/>
  <c r="S143" i="15"/>
  <c r="S142" i="15"/>
  <c r="S141" i="15"/>
  <c r="S140" i="15"/>
  <c r="S139" i="15"/>
  <c r="S138" i="15"/>
  <c r="S137" i="15"/>
  <c r="S136" i="15"/>
  <c r="S135" i="15"/>
  <c r="S134" i="15"/>
  <c r="S133" i="15"/>
  <c r="S132" i="15"/>
  <c r="S131" i="15"/>
  <c r="S130" i="15"/>
  <c r="S129" i="15"/>
  <c r="S128" i="15"/>
  <c r="S127" i="15"/>
  <c r="S126" i="15"/>
  <c r="S125" i="15"/>
  <c r="S124" i="15"/>
  <c r="S123" i="15"/>
  <c r="S122" i="15"/>
  <c r="S121" i="15"/>
  <c r="S120" i="15"/>
  <c r="S119" i="15"/>
  <c r="S118" i="15"/>
  <c r="S117" i="15"/>
  <c r="S116" i="15"/>
  <c r="S115" i="15"/>
  <c r="S114" i="15"/>
  <c r="S113" i="15"/>
  <c r="S112" i="15"/>
  <c r="S111" i="15"/>
  <c r="S110" i="15"/>
  <c r="S109" i="15"/>
  <c r="S108" i="15"/>
  <c r="S107" i="15"/>
  <c r="S106" i="15"/>
  <c r="S105" i="15"/>
  <c r="S104" i="15"/>
  <c r="S103" i="15"/>
  <c r="S102" i="15"/>
  <c r="S101" i="15"/>
  <c r="S100" i="15"/>
  <c r="S99" i="15"/>
  <c r="S98" i="15"/>
  <c r="S97" i="15"/>
  <c r="S96" i="15"/>
  <c r="Z95" i="15"/>
  <c r="AA95" i="15" s="1"/>
  <c r="U95" i="15"/>
  <c r="S95" i="15"/>
  <c r="S94" i="15"/>
  <c r="S93" i="15"/>
  <c r="S92" i="15"/>
  <c r="S91" i="15"/>
  <c r="S90" i="15"/>
  <c r="S89" i="15"/>
  <c r="S88" i="15"/>
  <c r="S87" i="15"/>
  <c r="S86" i="15"/>
  <c r="S85" i="15"/>
  <c r="S84" i="15"/>
  <c r="S83" i="15"/>
  <c r="S82" i="15"/>
  <c r="S81" i="15"/>
  <c r="S80" i="15"/>
  <c r="S79" i="15"/>
  <c r="S78" i="15"/>
  <c r="S77" i="15"/>
  <c r="S76" i="15"/>
  <c r="S75" i="15"/>
  <c r="S74" i="15"/>
  <c r="S73" i="15"/>
  <c r="S72" i="15"/>
  <c r="S71" i="15"/>
  <c r="S70" i="15"/>
  <c r="S69" i="15"/>
  <c r="S68" i="15"/>
  <c r="S67" i="15"/>
  <c r="S66" i="15"/>
  <c r="S65" i="15"/>
  <c r="S64" i="15"/>
  <c r="S63" i="15"/>
  <c r="S62" i="15"/>
  <c r="S61" i="15"/>
  <c r="S60" i="15"/>
  <c r="S59" i="15"/>
  <c r="S58" i="15"/>
  <c r="S57" i="15"/>
  <c r="S56" i="15"/>
  <c r="S55" i="15"/>
  <c r="S54" i="15"/>
  <c r="S53" i="15"/>
  <c r="S52" i="15"/>
  <c r="S51" i="15"/>
  <c r="S50" i="15"/>
  <c r="S49" i="15"/>
  <c r="S48" i="15"/>
  <c r="S47" i="15"/>
  <c r="S46" i="15"/>
  <c r="S45" i="15"/>
  <c r="S44" i="15"/>
  <c r="S43" i="15"/>
  <c r="S42" i="15"/>
  <c r="S41" i="15"/>
  <c r="S40" i="15"/>
  <c r="S39" i="15"/>
  <c r="S38" i="15"/>
  <c r="S37" i="15"/>
  <c r="S36" i="15"/>
  <c r="S35" i="15"/>
  <c r="S34" i="15"/>
  <c r="S33" i="15"/>
  <c r="S32" i="15"/>
  <c r="S31" i="15"/>
  <c r="S30" i="15"/>
  <c r="S29" i="15"/>
  <c r="S28" i="15"/>
  <c r="S27" i="15"/>
  <c r="S26" i="15"/>
  <c r="S25" i="15"/>
  <c r="S24" i="15"/>
  <c r="S23" i="15"/>
  <c r="S22" i="15"/>
  <c r="S21" i="15"/>
  <c r="S20" i="15"/>
  <c r="S19" i="15"/>
  <c r="S18" i="15"/>
  <c r="S17" i="15"/>
  <c r="S16" i="15"/>
  <c r="S15" i="15"/>
  <c r="S14" i="15"/>
  <c r="S13" i="15"/>
  <c r="S12" i="15"/>
  <c r="S11" i="15"/>
  <c r="X10" i="15"/>
  <c r="S10" i="15"/>
  <c r="S9" i="15"/>
  <c r="S8" i="15"/>
  <c r="S7" i="15"/>
  <c r="S6" i="15"/>
  <c r="S5" i="15"/>
  <c r="S4" i="15"/>
  <c r="S3" i="15"/>
  <c r="S2" i="15"/>
  <c r="U94" i="15" l="1"/>
  <c r="U162" i="15" s="1"/>
  <c r="V162" i="15" s="1"/>
  <c r="V164" i="15" s="1"/>
  <c r="V93" i="15"/>
  <c r="W93" i="15" s="1"/>
  <c r="I6" i="10" l="1"/>
  <c r="I8" i="10"/>
  <c r="AB1" i="7"/>
  <c r="AA9" i="7"/>
  <c r="AA10" i="7"/>
  <c r="AA11" i="7"/>
  <c r="AA12" i="7"/>
  <c r="AA8" i="7"/>
  <c r="AB8" i="7"/>
  <c r="AB9" i="7"/>
  <c r="AB10" i="7"/>
  <c r="AB11" i="7"/>
  <c r="AB12" i="7"/>
  <c r="P8" i="7"/>
  <c r="Q8" i="7"/>
  <c r="R8" i="7"/>
  <c r="S8" i="7"/>
  <c r="T8" i="7"/>
  <c r="U8" i="7"/>
  <c r="V8" i="7"/>
  <c r="W8" i="7"/>
  <c r="X8" i="7"/>
  <c r="Y8" i="7"/>
  <c r="Z8" i="7"/>
  <c r="P9" i="7"/>
  <c r="Q9" i="7"/>
  <c r="R9" i="7"/>
  <c r="S9" i="7"/>
  <c r="T9" i="7"/>
  <c r="U9" i="7"/>
  <c r="V9" i="7"/>
  <c r="W9" i="7"/>
  <c r="X9" i="7"/>
  <c r="Y9" i="7"/>
  <c r="Z9" i="7"/>
  <c r="P10" i="7"/>
  <c r="Q10" i="7"/>
  <c r="R10" i="7"/>
  <c r="S10" i="7"/>
  <c r="T10" i="7"/>
  <c r="U10" i="7"/>
  <c r="V10" i="7"/>
  <c r="W10" i="7"/>
  <c r="X10" i="7"/>
  <c r="Y10" i="7"/>
  <c r="Z10" i="7"/>
  <c r="P11" i="7"/>
  <c r="Q11" i="7"/>
  <c r="R11" i="7"/>
  <c r="S11" i="7"/>
  <c r="T11" i="7"/>
  <c r="U11" i="7"/>
  <c r="V11" i="7"/>
  <c r="W11" i="7"/>
  <c r="X11" i="7"/>
  <c r="Y11" i="7"/>
  <c r="Z11" i="7"/>
  <c r="P12" i="7"/>
  <c r="Q12" i="7"/>
  <c r="R12" i="7"/>
  <c r="S12" i="7"/>
  <c r="T12" i="7"/>
  <c r="U12" i="7"/>
  <c r="V12" i="7"/>
  <c r="W12" i="7"/>
  <c r="X12" i="7"/>
  <c r="Y12" i="7"/>
  <c r="Z12" i="7"/>
  <c r="O12" i="7"/>
  <c r="O11" i="7"/>
  <c r="O10" i="7"/>
  <c r="O9" i="7"/>
  <c r="O8" i="7"/>
  <c r="A8" i="7"/>
  <c r="A9" i="7"/>
  <c r="A10" i="7"/>
  <c r="A11" i="7"/>
  <c r="A12" i="7"/>
  <c r="AP43" i="14" l="1"/>
  <c r="AP44" i="14"/>
  <c r="AP45" i="14"/>
  <c r="AP46" i="14"/>
  <c r="AP47" i="14"/>
  <c r="AP27" i="14"/>
  <c r="AP28" i="14"/>
  <c r="AP48" i="14"/>
  <c r="AP49" i="14"/>
  <c r="AP50" i="14"/>
  <c r="AP51" i="14"/>
  <c r="AP52" i="14"/>
  <c r="AP53" i="14"/>
  <c r="AP54" i="14"/>
  <c r="AP55" i="14"/>
  <c r="AP56" i="14"/>
  <c r="AP57" i="14"/>
  <c r="AP58" i="14"/>
  <c r="AP59" i="14"/>
  <c r="AP6" i="14"/>
  <c r="AP29" i="14"/>
  <c r="AP30" i="14"/>
  <c r="AP7" i="14"/>
  <c r="AP66" i="14"/>
  <c r="AP8" i="14"/>
  <c r="AP31" i="14"/>
  <c r="AP32" i="14"/>
  <c r="AP33" i="14"/>
  <c r="AP5" i="14"/>
  <c r="AP9" i="14"/>
  <c r="AP67" i="14"/>
  <c r="AP68" i="14"/>
  <c r="AP34" i="14"/>
  <c r="AP10" i="14"/>
  <c r="AP64" i="14"/>
  <c r="AP35" i="14"/>
  <c r="AP36" i="14"/>
  <c r="AP69" i="14"/>
  <c r="AP70" i="14"/>
  <c r="AP11" i="14"/>
  <c r="AP12" i="14"/>
  <c r="AP71" i="14"/>
  <c r="AP13" i="14"/>
  <c r="AP14" i="14"/>
  <c r="AP60" i="14"/>
  <c r="AP37" i="14"/>
  <c r="AP38" i="14"/>
  <c r="AP72" i="14"/>
  <c r="AP15" i="14"/>
  <c r="AP39" i="14"/>
  <c r="AP61" i="14"/>
  <c r="AP73" i="14"/>
  <c r="AP62" i="14"/>
  <c r="AP16" i="14"/>
  <c r="AP17" i="14"/>
  <c r="AP74" i="14"/>
  <c r="AP75" i="14"/>
  <c r="AP18" i="14"/>
  <c r="AP40" i="14"/>
  <c r="AP63" i="14"/>
  <c r="AP76" i="14"/>
  <c r="AP77" i="14"/>
  <c r="AP41" i="14"/>
  <c r="AP19" i="14"/>
  <c r="AP42" i="14"/>
  <c r="AP20" i="14"/>
  <c r="AP21" i="14"/>
  <c r="AP78" i="14"/>
  <c r="AP22" i="14"/>
  <c r="AP23" i="14"/>
  <c r="AP24" i="14"/>
  <c r="AP79" i="14"/>
  <c r="AP25" i="14"/>
  <c r="AP26" i="14"/>
  <c r="AP65" i="14"/>
  <c r="AP3" i="14" l="1"/>
  <c r="D8" i="10" s="1"/>
  <c r="Z130" i="11" l="1"/>
  <c r="L5" i="10" l="1"/>
  <c r="AB7" i="7"/>
  <c r="B7" i="7"/>
  <c r="A7" i="7" s="1"/>
  <c r="AB6" i="7"/>
  <c r="B6" i="7"/>
  <c r="A6" i="7" s="1"/>
  <c r="AB5" i="7"/>
  <c r="B5" i="7"/>
  <c r="A5" i="7"/>
  <c r="AB4" i="7"/>
  <c r="B4" i="7"/>
  <c r="A4" i="7"/>
  <c r="AB3" i="7"/>
  <c r="B3" i="7"/>
  <c r="A3" i="7"/>
  <c r="AA50" i="6"/>
  <c r="AB50" i="6" s="1"/>
  <c r="AA51" i="6"/>
  <c r="AB51" i="6" s="1"/>
  <c r="AA52" i="6"/>
  <c r="AB52" i="6" s="1"/>
  <c r="AA53" i="6"/>
  <c r="AB53" i="6" s="1"/>
  <c r="AA54" i="6"/>
  <c r="AB54" i="6" s="1"/>
  <c r="AA55" i="6"/>
  <c r="AB55" i="6" s="1"/>
  <c r="AA56" i="6"/>
  <c r="AB56" i="6" s="1"/>
  <c r="AA57" i="6"/>
  <c r="AB57" i="6" s="1"/>
  <c r="AA58" i="6"/>
  <c r="AB58" i="6" s="1"/>
  <c r="AA59" i="6"/>
  <c r="AB59" i="6" s="1"/>
  <c r="AA60" i="6"/>
  <c r="AB60" i="6" s="1"/>
  <c r="AA61" i="6"/>
  <c r="AB61" i="6" s="1"/>
  <c r="AA62" i="6"/>
  <c r="AB62" i="6" s="1"/>
  <c r="AA63" i="6"/>
  <c r="AB63" i="6" s="1"/>
  <c r="AA64" i="6"/>
  <c r="AB64" i="6" s="1"/>
  <c r="AA65" i="6"/>
  <c r="AB65" i="6" s="1"/>
  <c r="AA66" i="6"/>
  <c r="AB66" i="6" s="1"/>
  <c r="AA67" i="6"/>
  <c r="AB67" i="6" s="1"/>
  <c r="AA68" i="6"/>
  <c r="AB68" i="6" s="1"/>
  <c r="AA69" i="6"/>
  <c r="AB69" i="6" s="1"/>
  <c r="AA70" i="6"/>
  <c r="AB70" i="6" s="1"/>
  <c r="AA71" i="6"/>
  <c r="AB71" i="6" s="1"/>
  <c r="AA72" i="6"/>
  <c r="AB72" i="6" s="1"/>
  <c r="AA49" i="6"/>
  <c r="AB49" i="6" s="1"/>
  <c r="AB9" i="6"/>
  <c r="AC37" i="1" s="1"/>
  <c r="AB42" i="6"/>
  <c r="AC179" i="1" s="1"/>
  <c r="AB40" i="6"/>
  <c r="AC165" i="1" s="1"/>
  <c r="AB10" i="6"/>
  <c r="AC36" i="1" s="1"/>
  <c r="AB6" i="6"/>
  <c r="AC30" i="1" s="1"/>
  <c r="AB5" i="6"/>
  <c r="AC18" i="1" s="1"/>
  <c r="AB27" i="6"/>
  <c r="AC95" i="1" s="1"/>
  <c r="AB7" i="6"/>
  <c r="AC32" i="1" s="1"/>
  <c r="AB28" i="6"/>
  <c r="AC100" i="1" s="1"/>
  <c r="AB38" i="6"/>
  <c r="AC161" i="1" s="1"/>
  <c r="AB39" i="6"/>
  <c r="AC13" i="1" s="1"/>
  <c r="AB8" i="6"/>
  <c r="AC34" i="1" s="1"/>
  <c r="AB4" i="6"/>
  <c r="AB25" i="6"/>
  <c r="AB26" i="6"/>
  <c r="AB29" i="6"/>
  <c r="AC105" i="1" s="1"/>
  <c r="AB11" i="6"/>
  <c r="AC52" i="1" s="1"/>
  <c r="AB17" i="6"/>
  <c r="AC72" i="1" s="1"/>
  <c r="AB30" i="6"/>
  <c r="AB31" i="6"/>
  <c r="AB32" i="6"/>
  <c r="AB33" i="6"/>
  <c r="AC122" i="1" s="1"/>
  <c r="AB34" i="6"/>
  <c r="AC123" i="1" s="1"/>
  <c r="AB12" i="6"/>
  <c r="AC53" i="1" s="1"/>
  <c r="AB13" i="6"/>
  <c r="AC54" i="1" s="1"/>
  <c r="AB14" i="6"/>
  <c r="AC55" i="1" s="1"/>
  <c r="AB15" i="6"/>
  <c r="AC56" i="1" s="1"/>
  <c r="AB3" i="6"/>
  <c r="AB18" i="6"/>
  <c r="AC74" i="1" s="1"/>
  <c r="AB19" i="6"/>
  <c r="AC75" i="1" s="1"/>
  <c r="AB20" i="6"/>
  <c r="AC76" i="1" s="1"/>
  <c r="AB21" i="6"/>
  <c r="AC77" i="1" s="1"/>
  <c r="AB22" i="6"/>
  <c r="AC78" i="1" s="1"/>
  <c r="AB23" i="6"/>
  <c r="AC82" i="1" s="1"/>
  <c r="AB24" i="6"/>
  <c r="AC83" i="1" s="1"/>
  <c r="AB16" i="6"/>
  <c r="AC61" i="1" s="1"/>
  <c r="AB35" i="6"/>
  <c r="AC149" i="1" s="1"/>
  <c r="AB36" i="6"/>
  <c r="AC150" i="1" s="1"/>
  <c r="AB37" i="6"/>
  <c r="AC151" i="1" s="1"/>
  <c r="AB41" i="6"/>
  <c r="AC173" i="1" s="1"/>
  <c r="B50" i="6"/>
  <c r="B51" i="6"/>
  <c r="B52" i="6"/>
  <c r="B53" i="6"/>
  <c r="B54" i="6"/>
  <c r="B55" i="6"/>
  <c r="B56" i="6"/>
  <c r="B57" i="6"/>
  <c r="B58" i="6"/>
  <c r="B59" i="6"/>
  <c r="B60" i="6"/>
  <c r="B61" i="6"/>
  <c r="B62" i="6"/>
  <c r="B63" i="6"/>
  <c r="B64" i="6"/>
  <c r="B65" i="6"/>
  <c r="B66" i="6"/>
  <c r="B67" i="6"/>
  <c r="B68" i="6"/>
  <c r="B69" i="6"/>
  <c r="B70" i="6"/>
  <c r="B71" i="6"/>
  <c r="B72" i="6"/>
  <c r="B49" i="6"/>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3" i="11"/>
  <c r="T51" i="11" l="1"/>
  <c r="T57" i="15"/>
  <c r="T52" i="15"/>
  <c r="T46" i="11"/>
  <c r="T44" i="15"/>
  <c r="T38" i="11"/>
  <c r="T39" i="15"/>
  <c r="T36" i="11"/>
  <c r="T31" i="11"/>
  <c r="T33" i="15"/>
  <c r="T3" i="11"/>
  <c r="T2" i="15"/>
  <c r="T14" i="11"/>
  <c r="T23" i="15"/>
  <c r="AA122" i="11"/>
  <c r="T122" i="11"/>
  <c r="T144" i="15"/>
  <c r="T21" i="11"/>
  <c r="T21" i="15"/>
  <c r="AC117" i="1"/>
  <c r="T121" i="11"/>
  <c r="T142" i="15"/>
  <c r="T140" i="15"/>
  <c r="T120" i="11"/>
  <c r="T119" i="11"/>
  <c r="T138" i="15"/>
  <c r="T115" i="11"/>
  <c r="T133" i="15"/>
  <c r="T131" i="15"/>
  <c r="T114" i="11"/>
  <c r="T129" i="15"/>
  <c r="T113" i="11"/>
  <c r="AC86" i="1"/>
  <c r="T112" i="11"/>
  <c r="T125" i="15"/>
  <c r="AB1" i="6"/>
  <c r="AC14" i="1"/>
  <c r="T111" i="11"/>
  <c r="T124" i="15"/>
  <c r="T110" i="11"/>
  <c r="T123" i="15"/>
  <c r="T107" i="15"/>
  <c r="T85" i="11"/>
  <c r="T93" i="15"/>
  <c r="T82" i="11"/>
  <c r="T77" i="11"/>
  <c r="T85" i="15"/>
  <c r="T84" i="15"/>
  <c r="T76" i="11"/>
  <c r="T61" i="11"/>
  <c r="T83" i="15"/>
  <c r="G7" i="10"/>
  <c r="F7" i="10" s="1"/>
  <c r="T52" i="11"/>
  <c r="T81" i="15"/>
  <c r="Z122" i="11"/>
  <c r="AB47" i="6"/>
  <c r="H6" i="10" s="1"/>
  <c r="E5" i="10"/>
  <c r="S1" i="13"/>
  <c r="S9" i="13"/>
  <c r="S8" i="13"/>
  <c r="S7" i="13"/>
  <c r="S6" i="13"/>
  <c r="S5" i="13"/>
  <c r="S4" i="13"/>
  <c r="S3" i="13"/>
  <c r="N6" i="10"/>
  <c r="T1" i="11" l="1"/>
  <c r="AC3" i="1"/>
  <c r="K8" i="10"/>
  <c r="N5" i="12"/>
  <c r="M4" i="12"/>
  <c r="F2" i="12" l="1"/>
  <c r="E8" i="10" s="1"/>
  <c r="C8" i="10" s="1"/>
  <c r="M5" i="12"/>
  <c r="O5" i="12" s="1"/>
  <c r="L8" i="10" l="1"/>
  <c r="S138" i="11"/>
  <c r="U138" i="11" s="1"/>
  <c r="S137" i="11"/>
  <c r="U137" i="11" s="1"/>
  <c r="S136" i="11"/>
  <c r="U136" i="11" s="1"/>
  <c r="S135" i="11"/>
  <c r="U135" i="11" s="1"/>
  <c r="S134" i="11"/>
  <c r="U134" i="11" s="1"/>
  <c r="S133" i="11"/>
  <c r="U133" i="11" s="1"/>
  <c r="S132" i="11"/>
  <c r="U132" i="11" s="1"/>
  <c r="S131" i="11"/>
  <c r="U131" i="11" s="1"/>
  <c r="S130" i="11"/>
  <c r="U130" i="11" s="1"/>
  <c r="S129" i="11"/>
  <c r="U129" i="11" s="1"/>
  <c r="S128" i="11"/>
  <c r="U128" i="11" s="1"/>
  <c r="S127" i="11"/>
  <c r="U127" i="11" s="1"/>
  <c r="S126" i="11"/>
  <c r="U126" i="11" s="1"/>
  <c r="S125" i="11"/>
  <c r="U125" i="11" s="1"/>
  <c r="S124" i="11"/>
  <c r="U124" i="11" s="1"/>
  <c r="S123" i="11"/>
  <c r="U123" i="11" s="1"/>
  <c r="S122" i="11"/>
  <c r="S121" i="11"/>
  <c r="S120" i="11"/>
  <c r="U120" i="11" s="1"/>
  <c r="S119" i="11"/>
  <c r="U119" i="11" s="1"/>
  <c r="S118" i="11"/>
  <c r="U118" i="11" s="1"/>
  <c r="S117" i="11"/>
  <c r="U117" i="11" s="1"/>
  <c r="S116" i="11"/>
  <c r="U116" i="11" s="1"/>
  <c r="S115" i="11"/>
  <c r="U115" i="11" s="1"/>
  <c r="S114" i="11"/>
  <c r="U114" i="11" s="1"/>
  <c r="S113" i="11"/>
  <c r="U113" i="11" s="1"/>
  <c r="S112" i="11"/>
  <c r="U112" i="11" s="1"/>
  <c r="S111" i="11"/>
  <c r="U111" i="11" s="1"/>
  <c r="S110" i="11"/>
  <c r="U110" i="11" s="1"/>
  <c r="S109" i="11"/>
  <c r="U109" i="11" s="1"/>
  <c r="S108" i="11"/>
  <c r="U108" i="11" s="1"/>
  <c r="S107" i="11"/>
  <c r="U107" i="11" s="1"/>
  <c r="S106" i="11"/>
  <c r="U106" i="11" s="1"/>
  <c r="S105" i="11"/>
  <c r="U105" i="11" s="1"/>
  <c r="S104" i="11"/>
  <c r="U104" i="11" s="1"/>
  <c r="S103" i="11"/>
  <c r="U103" i="11" s="1"/>
  <c r="S102" i="11"/>
  <c r="U102" i="11" s="1"/>
  <c r="S101" i="11"/>
  <c r="U101" i="11" s="1"/>
  <c r="S100" i="11"/>
  <c r="U100" i="11" s="1"/>
  <c r="S99" i="11"/>
  <c r="U99" i="11" s="1"/>
  <c r="S98" i="11"/>
  <c r="U98" i="11" s="1"/>
  <c r="S97" i="11"/>
  <c r="U97" i="11" s="1"/>
  <c r="S96" i="11"/>
  <c r="U96" i="11" s="1"/>
  <c r="S95" i="11"/>
  <c r="U95" i="11" s="1"/>
  <c r="S94" i="11"/>
  <c r="U94" i="11" s="1"/>
  <c r="S93" i="11"/>
  <c r="U93" i="11" s="1"/>
  <c r="S92" i="11"/>
  <c r="U92" i="11" s="1"/>
  <c r="S91" i="11"/>
  <c r="U91" i="11" s="1"/>
  <c r="S90" i="11"/>
  <c r="U90" i="11" s="1"/>
  <c r="S89" i="11"/>
  <c r="U89" i="11" s="1"/>
  <c r="S88" i="11"/>
  <c r="U88" i="11" s="1"/>
  <c r="S87" i="11"/>
  <c r="U87" i="11" s="1"/>
  <c r="S86" i="11"/>
  <c r="U86" i="11" s="1"/>
  <c r="S85" i="11"/>
  <c r="U85" i="11" s="1"/>
  <c r="S84" i="11"/>
  <c r="U84" i="11" s="1"/>
  <c r="S83" i="11"/>
  <c r="U83" i="11" s="1"/>
  <c r="S82" i="11"/>
  <c r="U82" i="11" s="1"/>
  <c r="S81" i="11"/>
  <c r="U81" i="11" s="1"/>
  <c r="S80" i="11"/>
  <c r="U80" i="11" s="1"/>
  <c r="S79" i="11"/>
  <c r="U79" i="11" s="1"/>
  <c r="S78" i="11"/>
  <c r="U78" i="11" s="1"/>
  <c r="S77" i="11"/>
  <c r="U77" i="11" s="1"/>
  <c r="S76" i="11"/>
  <c r="U76" i="11" s="1"/>
  <c r="S75" i="11"/>
  <c r="U75" i="11" s="1"/>
  <c r="S74" i="11"/>
  <c r="U74" i="11" s="1"/>
  <c r="S73" i="11"/>
  <c r="U73" i="11" s="1"/>
  <c r="S72" i="11"/>
  <c r="U72" i="11" s="1"/>
  <c r="S71" i="11"/>
  <c r="U71" i="11" s="1"/>
  <c r="S70" i="11"/>
  <c r="U70" i="11" s="1"/>
  <c r="S69" i="11"/>
  <c r="U69" i="11" s="1"/>
  <c r="S68" i="11"/>
  <c r="U68" i="11" s="1"/>
  <c r="S67" i="11"/>
  <c r="U67" i="11" s="1"/>
  <c r="S66" i="11"/>
  <c r="U66" i="11" s="1"/>
  <c r="S65" i="11"/>
  <c r="U65" i="11" s="1"/>
  <c r="S64" i="11"/>
  <c r="U64" i="11" s="1"/>
  <c r="S63" i="11"/>
  <c r="U63" i="11" s="1"/>
  <c r="S62" i="11"/>
  <c r="U62" i="11" s="1"/>
  <c r="S61" i="11"/>
  <c r="U61" i="11" s="1"/>
  <c r="S60" i="11"/>
  <c r="U60" i="11" s="1"/>
  <c r="S59" i="11"/>
  <c r="U59" i="11" s="1"/>
  <c r="S58" i="11"/>
  <c r="U58" i="11" s="1"/>
  <c r="S57" i="11"/>
  <c r="U57" i="11" s="1"/>
  <c r="S56" i="11"/>
  <c r="U56" i="11" s="1"/>
  <c r="S55" i="11"/>
  <c r="U55" i="11" s="1"/>
  <c r="S54" i="11"/>
  <c r="U54" i="11" s="1"/>
  <c r="S53" i="11"/>
  <c r="U53" i="11" s="1"/>
  <c r="S52" i="11"/>
  <c r="U52" i="11" s="1"/>
  <c r="S51" i="11"/>
  <c r="U51" i="11" s="1"/>
  <c r="S50" i="11"/>
  <c r="U50" i="11" s="1"/>
  <c r="S49" i="11"/>
  <c r="U49" i="11" s="1"/>
  <c r="S48" i="11"/>
  <c r="U48" i="11" s="1"/>
  <c r="S47" i="11"/>
  <c r="U47" i="11" s="1"/>
  <c r="S46" i="11"/>
  <c r="U46" i="11" s="1"/>
  <c r="S45" i="11"/>
  <c r="U45" i="11" s="1"/>
  <c r="S44" i="11"/>
  <c r="U44" i="11" s="1"/>
  <c r="S43" i="11"/>
  <c r="U43" i="11" s="1"/>
  <c r="S42" i="11"/>
  <c r="U42" i="11" s="1"/>
  <c r="S41" i="11"/>
  <c r="U41" i="11" s="1"/>
  <c r="S40" i="11"/>
  <c r="U40" i="11" s="1"/>
  <c r="S39" i="11"/>
  <c r="U39" i="11" s="1"/>
  <c r="S38" i="11"/>
  <c r="U38" i="11" s="1"/>
  <c r="S37" i="11"/>
  <c r="U37" i="11" s="1"/>
  <c r="S36" i="11"/>
  <c r="U36" i="11" s="1"/>
  <c r="S35" i="11"/>
  <c r="U35" i="11" s="1"/>
  <c r="S34" i="11"/>
  <c r="U34" i="11" s="1"/>
  <c r="S33" i="11"/>
  <c r="U33" i="11" s="1"/>
  <c r="S32" i="11"/>
  <c r="U32" i="11" s="1"/>
  <c r="S31" i="11"/>
  <c r="U31" i="11" s="1"/>
  <c r="S30" i="11"/>
  <c r="U30" i="11" s="1"/>
  <c r="S29" i="11"/>
  <c r="U29" i="11" s="1"/>
  <c r="S28" i="11"/>
  <c r="U28" i="11" s="1"/>
  <c r="S27" i="11"/>
  <c r="U27" i="11" s="1"/>
  <c r="S26" i="11"/>
  <c r="U26" i="11" s="1"/>
  <c r="S25" i="11"/>
  <c r="U25" i="11" s="1"/>
  <c r="S24" i="11"/>
  <c r="U24" i="11" s="1"/>
  <c r="S23" i="11"/>
  <c r="U23" i="11" s="1"/>
  <c r="S22" i="11"/>
  <c r="U22" i="11" s="1"/>
  <c r="S21" i="11"/>
  <c r="U21" i="11" s="1"/>
  <c r="S20" i="11"/>
  <c r="U20" i="11" s="1"/>
  <c r="S19" i="11"/>
  <c r="U19" i="11" s="1"/>
  <c r="S18" i="11"/>
  <c r="U18" i="11" s="1"/>
  <c r="S17" i="11"/>
  <c r="U17" i="11" s="1"/>
  <c r="S16" i="11"/>
  <c r="U16" i="11" s="1"/>
  <c r="S15" i="11"/>
  <c r="U15" i="11" s="1"/>
  <c r="S14" i="11"/>
  <c r="U14" i="11" s="1"/>
  <c r="S13" i="11"/>
  <c r="U13" i="11" s="1"/>
  <c r="S12" i="11"/>
  <c r="U12" i="11" s="1"/>
  <c r="S11" i="11"/>
  <c r="U11" i="11" s="1"/>
  <c r="S10" i="11"/>
  <c r="U10" i="11" s="1"/>
  <c r="S9" i="11"/>
  <c r="U9" i="11" s="1"/>
  <c r="S8" i="11"/>
  <c r="U8" i="11" s="1"/>
  <c r="S7" i="11"/>
  <c r="U7" i="11" s="1"/>
  <c r="S6" i="11"/>
  <c r="U6" i="11" s="1"/>
  <c r="S5" i="11"/>
  <c r="U5" i="11" s="1"/>
  <c r="S4" i="11"/>
  <c r="U4" i="11" s="1"/>
  <c r="S3" i="11"/>
  <c r="U3" i="11" s="1"/>
  <c r="AA127" i="11" l="1"/>
  <c r="U121" i="11"/>
  <c r="AA120" i="11"/>
  <c r="U122" i="11"/>
  <c r="U1" i="11"/>
  <c r="AA131" i="11"/>
  <c r="AB127" i="11"/>
  <c r="AB120" i="11"/>
  <c r="AA123" i="11"/>
  <c r="S1" i="11"/>
  <c r="E6" i="10" s="1"/>
  <c r="AB181" i="1"/>
  <c r="AD181" i="1" s="1"/>
  <c r="AB177" i="1"/>
  <c r="AD177" i="1" s="1"/>
  <c r="AB183" i="1"/>
  <c r="AD183" i="1" s="1"/>
  <c r="AB7" i="1"/>
  <c r="AD7" i="1" s="1"/>
  <c r="AB173" i="1"/>
  <c r="AD173" i="1" s="1"/>
  <c r="AB175" i="1"/>
  <c r="AD175" i="1" s="1"/>
  <c r="AB182" i="1"/>
  <c r="AD182" i="1" s="1"/>
  <c r="AB156" i="1"/>
  <c r="AD156" i="1" s="1"/>
  <c r="AB157" i="1"/>
  <c r="AD157" i="1" s="1"/>
  <c r="AB89" i="1"/>
  <c r="AD89" i="1" s="1"/>
  <c r="AB178" i="1"/>
  <c r="AD178" i="1" s="1"/>
  <c r="AB179" i="1"/>
  <c r="AD179" i="1" s="1"/>
  <c r="AB158" i="1"/>
  <c r="AD158" i="1" s="1"/>
  <c r="AB163" i="1"/>
  <c r="AD163" i="1" s="1"/>
  <c r="AB164" i="1"/>
  <c r="AD164" i="1" s="1"/>
  <c r="AB35" i="1"/>
  <c r="AD35" i="1" s="1"/>
  <c r="AB159" i="1"/>
  <c r="AD159" i="1" s="1"/>
  <c r="AB36" i="1"/>
  <c r="AD36" i="1" s="1"/>
  <c r="AB29" i="1"/>
  <c r="AD29" i="1" s="1"/>
  <c r="AB32" i="1"/>
  <c r="AD32" i="1" s="1"/>
  <c r="AB152" i="1"/>
  <c r="AD152" i="1" s="1"/>
  <c r="AB10" i="1"/>
  <c r="AD10" i="1" s="1"/>
  <c r="AB90" i="1"/>
  <c r="AD90" i="1" s="1"/>
  <c r="AB6" i="1"/>
  <c r="AD6" i="1" s="1"/>
  <c r="AB22" i="1"/>
  <c r="AD22" i="1" s="1"/>
  <c r="AB174" i="1"/>
  <c r="AD174" i="1" s="1"/>
  <c r="AB8" i="1"/>
  <c r="AD8" i="1" s="1"/>
  <c r="AB153" i="1"/>
  <c r="AD153" i="1" s="1"/>
  <c r="AB37" i="1"/>
  <c r="AD37" i="1" s="1"/>
  <c r="AB38" i="1"/>
  <c r="AD38" i="1" s="1"/>
  <c r="AB169" i="1"/>
  <c r="AD169" i="1" s="1"/>
  <c r="AB23" i="1"/>
  <c r="AD23" i="1" s="1"/>
  <c r="AB91" i="1"/>
  <c r="AD91" i="1" s="1"/>
  <c r="AB15" i="1"/>
  <c r="AD15" i="1" s="1"/>
  <c r="AB92" i="1"/>
  <c r="AD92" i="1" s="1"/>
  <c r="AB180" i="1"/>
  <c r="AD180" i="1" s="1"/>
  <c r="AB154" i="1"/>
  <c r="AD154" i="1" s="1"/>
  <c r="AB24" i="1"/>
  <c r="AD24" i="1" s="1"/>
  <c r="AB11" i="1"/>
  <c r="AD11" i="1" s="1"/>
  <c r="AB39" i="1"/>
  <c r="AD39" i="1" s="1"/>
  <c r="AB12" i="1"/>
  <c r="AD12" i="1" s="1"/>
  <c r="AB30" i="1"/>
  <c r="AD30" i="1" s="1"/>
  <c r="AB155" i="1"/>
  <c r="AD155" i="1" s="1"/>
  <c r="AB40" i="1"/>
  <c r="AD40" i="1" s="1"/>
  <c r="AB160" i="1"/>
  <c r="AD160" i="1" s="1"/>
  <c r="AB93" i="1"/>
  <c r="AD93" i="1" s="1"/>
  <c r="AB94" i="1"/>
  <c r="AD94" i="1" s="1"/>
  <c r="AB161" i="1"/>
  <c r="AD161" i="1" s="1"/>
  <c r="AB16" i="1"/>
  <c r="AD16" i="1" s="1"/>
  <c r="AB17" i="1"/>
  <c r="AD17" i="1" s="1"/>
  <c r="AB18" i="1"/>
  <c r="AD18" i="1" s="1"/>
  <c r="AB19" i="1"/>
  <c r="AD19" i="1" s="1"/>
  <c r="AB20" i="1"/>
  <c r="AD20" i="1" s="1"/>
  <c r="AB95" i="1"/>
  <c r="AD95" i="1" s="1"/>
  <c r="AB25" i="1"/>
  <c r="AD25" i="1" s="1"/>
  <c r="AB165" i="1"/>
  <c r="AD165" i="1" s="1"/>
  <c r="AB166" i="1"/>
  <c r="AD166" i="1" s="1"/>
  <c r="AB21" i="1"/>
  <c r="AD21" i="1" s="1"/>
  <c r="AB96" i="1"/>
  <c r="AD96" i="1" s="1"/>
  <c r="AB97" i="1"/>
  <c r="AD97" i="1" s="1"/>
  <c r="AB98" i="1"/>
  <c r="AD98" i="1" s="1"/>
  <c r="AB99" i="1"/>
  <c r="AD99" i="1" s="1"/>
  <c r="AB13" i="1"/>
  <c r="AD13" i="1" s="1"/>
  <c r="AB184" i="1"/>
  <c r="AD184" i="1" s="1"/>
  <c r="AB33" i="1"/>
  <c r="AD33" i="1" s="1"/>
  <c r="AB69" i="1"/>
  <c r="AD69" i="1" s="1"/>
  <c r="AB70" i="1"/>
  <c r="AD70" i="1" s="1"/>
  <c r="AB162" i="1"/>
  <c r="AD162" i="1" s="1"/>
  <c r="AB34" i="1"/>
  <c r="AD34" i="1" s="1"/>
  <c r="AB14" i="1"/>
  <c r="AD14" i="1" s="1"/>
  <c r="AB26" i="1"/>
  <c r="AD26" i="1" s="1"/>
  <c r="AB176" i="1"/>
  <c r="AD176" i="1" s="1"/>
  <c r="AB100" i="1"/>
  <c r="AD100" i="1" s="1"/>
  <c r="AB31" i="1"/>
  <c r="AD31" i="1" s="1"/>
  <c r="AB101" i="1"/>
  <c r="AD101" i="1" s="1"/>
  <c r="AB85" i="1"/>
  <c r="AD85" i="1" s="1"/>
  <c r="AB86" i="1"/>
  <c r="AD86" i="1" s="1"/>
  <c r="AB41" i="1"/>
  <c r="AD41" i="1" s="1"/>
  <c r="AB102" i="1"/>
  <c r="AD102" i="1" s="1"/>
  <c r="AB42" i="1"/>
  <c r="AD42" i="1" s="1"/>
  <c r="AB103" i="1"/>
  <c r="AD103" i="1" s="1"/>
  <c r="AB104" i="1"/>
  <c r="AD104" i="1" s="1"/>
  <c r="AB105" i="1"/>
  <c r="AD105" i="1" s="1"/>
  <c r="AB106" i="1"/>
  <c r="AD106" i="1" s="1"/>
  <c r="AB107" i="1"/>
  <c r="AD107" i="1" s="1"/>
  <c r="AB43" i="1"/>
  <c r="AD43" i="1" s="1"/>
  <c r="AB71" i="1"/>
  <c r="AD71" i="1" s="1"/>
  <c r="AB44" i="1"/>
  <c r="AD44" i="1" s="1"/>
  <c r="AB45" i="1"/>
  <c r="AD45" i="1" s="1"/>
  <c r="AB108" i="1"/>
  <c r="AD108" i="1" s="1"/>
  <c r="AB46" i="1"/>
  <c r="AD46" i="1" s="1"/>
  <c r="AB47" i="1"/>
  <c r="AD47" i="1" s="1"/>
  <c r="AB109" i="1"/>
  <c r="AD109" i="1" s="1"/>
  <c r="AB48" i="1"/>
  <c r="AD48" i="1" s="1"/>
  <c r="AB110" i="1"/>
  <c r="AD110" i="1" s="1"/>
  <c r="AB111" i="1"/>
  <c r="AD111" i="1" s="1"/>
  <c r="AB112" i="1"/>
  <c r="AD112" i="1" s="1"/>
  <c r="AB49" i="1"/>
  <c r="AD49" i="1" s="1"/>
  <c r="AB87" i="1"/>
  <c r="AD87" i="1" s="1"/>
  <c r="AB88" i="1"/>
  <c r="AD88" i="1" s="1"/>
  <c r="AB113" i="1"/>
  <c r="AD113" i="1" s="1"/>
  <c r="AB50" i="1"/>
  <c r="AD50" i="1" s="1"/>
  <c r="AB51" i="1"/>
  <c r="AD51" i="1" s="1"/>
  <c r="AB52" i="1"/>
  <c r="AD52" i="1" s="1"/>
  <c r="AB27" i="1"/>
  <c r="AD27" i="1" s="1"/>
  <c r="AB114" i="1"/>
  <c r="AD114" i="1" s="1"/>
  <c r="AB115" i="1"/>
  <c r="AD115" i="1" s="1"/>
  <c r="AB116" i="1"/>
  <c r="AD116" i="1" s="1"/>
  <c r="AB117" i="1"/>
  <c r="AD117" i="1" s="1"/>
  <c r="AB118" i="1"/>
  <c r="AD118" i="1" s="1"/>
  <c r="AB119" i="1"/>
  <c r="AD119" i="1" s="1"/>
  <c r="AB120" i="1"/>
  <c r="AD120" i="1" s="1"/>
  <c r="AB121" i="1"/>
  <c r="AD121" i="1" s="1"/>
  <c r="AB72" i="1"/>
  <c r="AD72" i="1" s="1"/>
  <c r="AB122" i="1"/>
  <c r="AD122" i="1" s="1"/>
  <c r="AB123" i="1"/>
  <c r="AD123" i="1" s="1"/>
  <c r="AB124" i="1"/>
  <c r="AD124" i="1" s="1"/>
  <c r="AB125" i="1"/>
  <c r="AD125" i="1" s="1"/>
  <c r="AB28" i="1"/>
  <c r="AD28" i="1" s="1"/>
  <c r="AB126" i="1"/>
  <c r="AD126" i="1" s="1"/>
  <c r="AB53" i="1"/>
  <c r="AD53" i="1" s="1"/>
  <c r="AB54" i="1"/>
  <c r="AD54" i="1" s="1"/>
  <c r="AB55" i="1"/>
  <c r="AD55" i="1" s="1"/>
  <c r="AB73" i="1"/>
  <c r="AD73" i="1" s="1"/>
  <c r="AB56" i="1"/>
  <c r="AD56" i="1" s="1"/>
  <c r="AB74" i="1"/>
  <c r="AD74" i="1" s="1"/>
  <c r="AB75" i="1"/>
  <c r="AD75" i="1" s="1"/>
  <c r="AB76" i="1"/>
  <c r="AD76" i="1" s="1"/>
  <c r="AB77" i="1"/>
  <c r="AD77" i="1" s="1"/>
  <c r="AB78" i="1"/>
  <c r="AD78" i="1" s="1"/>
  <c r="AB79" i="1"/>
  <c r="AD79" i="1" s="1"/>
  <c r="AB80" i="1"/>
  <c r="AD80" i="1" s="1"/>
  <c r="AB81" i="1"/>
  <c r="AD81" i="1" s="1"/>
  <c r="AB82" i="1"/>
  <c r="AD82" i="1" s="1"/>
  <c r="AB57" i="1"/>
  <c r="AD57" i="1" s="1"/>
  <c r="AB170" i="1"/>
  <c r="AD170" i="1" s="1"/>
  <c r="AB171" i="1"/>
  <c r="AD171" i="1" s="1"/>
  <c r="AB58" i="1"/>
  <c r="AD58" i="1" s="1"/>
  <c r="AB127" i="1"/>
  <c r="AD127" i="1" s="1"/>
  <c r="AB128" i="1"/>
  <c r="AD128" i="1" s="1"/>
  <c r="AB172" i="1"/>
  <c r="AD172" i="1" s="1"/>
  <c r="AB129" i="1"/>
  <c r="AD129" i="1" s="1"/>
  <c r="AB59" i="1"/>
  <c r="AD59" i="1" s="1"/>
  <c r="AB130" i="1"/>
  <c r="AD130" i="1" s="1"/>
  <c r="AB131" i="1"/>
  <c r="AD131" i="1" s="1"/>
  <c r="AB132" i="1"/>
  <c r="AD132" i="1" s="1"/>
  <c r="AB133" i="1"/>
  <c r="AD133" i="1" s="1"/>
  <c r="AB134" i="1"/>
  <c r="AD134" i="1" s="1"/>
  <c r="AB135" i="1"/>
  <c r="AD135" i="1" s="1"/>
  <c r="AB136" i="1"/>
  <c r="AD136" i="1" s="1"/>
  <c r="AB137" i="1"/>
  <c r="AD137" i="1" s="1"/>
  <c r="AB138" i="1"/>
  <c r="AD138" i="1" s="1"/>
  <c r="AB83" i="1"/>
  <c r="AD83" i="1" s="1"/>
  <c r="AB139" i="1"/>
  <c r="AD139" i="1" s="1"/>
  <c r="AB60" i="1"/>
  <c r="AD60" i="1" s="1"/>
  <c r="AB61" i="1"/>
  <c r="AD61" i="1" s="1"/>
  <c r="AB140" i="1"/>
  <c r="AD140" i="1" s="1"/>
  <c r="AB141" i="1"/>
  <c r="AD141" i="1" s="1"/>
  <c r="AB142" i="1"/>
  <c r="AD142" i="1" s="1"/>
  <c r="AB62" i="1"/>
  <c r="AD62" i="1" s="1"/>
  <c r="AB143" i="1"/>
  <c r="AD143" i="1" s="1"/>
  <c r="AB144" i="1"/>
  <c r="AD144" i="1" s="1"/>
  <c r="AB63" i="1"/>
  <c r="AD63" i="1" s="1"/>
  <c r="AB64" i="1"/>
  <c r="AD64" i="1" s="1"/>
  <c r="AB65" i="1"/>
  <c r="AD65" i="1" s="1"/>
  <c r="AB66" i="1"/>
  <c r="AD66" i="1" s="1"/>
  <c r="AB145" i="1"/>
  <c r="AD145" i="1" s="1"/>
  <c r="AB146" i="1"/>
  <c r="AD146" i="1" s="1"/>
  <c r="AB147" i="1"/>
  <c r="AD147" i="1" s="1"/>
  <c r="AB67" i="1"/>
  <c r="AD67" i="1" s="1"/>
  <c r="AB148" i="1"/>
  <c r="AD148" i="1" s="1"/>
  <c r="AB68" i="1"/>
  <c r="AD68" i="1" s="1"/>
  <c r="AB149" i="1"/>
  <c r="AD149" i="1" s="1"/>
  <c r="AB150" i="1"/>
  <c r="AD150" i="1" s="1"/>
  <c r="AB151" i="1"/>
  <c r="AD151" i="1" s="1"/>
  <c r="AB5" i="1"/>
  <c r="AD5" i="1" s="1"/>
  <c r="AB167" i="1"/>
  <c r="AD167" i="1" s="1"/>
  <c r="AB9" i="1"/>
  <c r="AD9" i="1" s="1"/>
  <c r="AB84" i="1"/>
  <c r="AD84" i="1" s="1"/>
  <c r="G6" i="10"/>
  <c r="F6" i="10" s="1"/>
  <c r="J8" i="10"/>
  <c r="Z22" i="9"/>
  <c r="B22" i="9"/>
  <c r="A22" i="9" s="1"/>
  <c r="Z21" i="9"/>
  <c r="B21" i="9"/>
  <c r="A21" i="9" s="1"/>
  <c r="Z20" i="9"/>
  <c r="B20" i="9"/>
  <c r="A20" i="9" s="1"/>
  <c r="Z19" i="9"/>
  <c r="B19" i="9"/>
  <c r="A19" i="9" s="1"/>
  <c r="Z18" i="9"/>
  <c r="B18" i="9"/>
  <c r="A18" i="9" s="1"/>
  <c r="Z17" i="9"/>
  <c r="B17" i="9"/>
  <c r="A17" i="9" s="1"/>
  <c r="Z16" i="9"/>
  <c r="B16" i="9"/>
  <c r="A16" i="9" s="1"/>
  <c r="Z15" i="9"/>
  <c r="B15" i="9"/>
  <c r="A15" i="9" s="1"/>
  <c r="Z14" i="9"/>
  <c r="B14" i="9"/>
  <c r="A14" i="9" s="1"/>
  <c r="Z13" i="9"/>
  <c r="B13" i="9"/>
  <c r="A13" i="9" s="1"/>
  <c r="Z12" i="9"/>
  <c r="B12" i="9"/>
  <c r="A12" i="9" s="1"/>
  <c r="Z11" i="9"/>
  <c r="B11" i="9"/>
  <c r="A11" i="9" s="1"/>
  <c r="Z10" i="9"/>
  <c r="B10" i="9"/>
  <c r="A10" i="9" s="1"/>
  <c r="Z9" i="9"/>
  <c r="B9" i="9"/>
  <c r="A9" i="9" s="1"/>
  <c r="Z8" i="9"/>
  <c r="B8" i="9"/>
  <c r="A8" i="9" s="1"/>
  <c r="Z7" i="9"/>
  <c r="B7" i="9"/>
  <c r="A7" i="9" s="1"/>
  <c r="Z6" i="9"/>
  <c r="B6" i="9"/>
  <c r="A6" i="9" s="1"/>
  <c r="Z5" i="9"/>
  <c r="B5" i="9"/>
  <c r="A5" i="9" s="1"/>
  <c r="AD3" i="1" l="1"/>
  <c r="D45" i="18"/>
  <c r="Z121" i="11"/>
  <c r="Z128" i="11"/>
  <c r="Z131" i="11" s="1"/>
  <c r="Z3" i="9"/>
  <c r="D5" i="10" s="1"/>
  <c r="K5" i="10"/>
  <c r="C5" i="10"/>
  <c r="J5" i="10" s="1"/>
  <c r="L6" i="10"/>
  <c r="Q3" i="4"/>
  <c r="AB128" i="11"/>
  <c r="Z123" i="11"/>
  <c r="AB121" i="11"/>
  <c r="AB3" i="1"/>
  <c r="D6" i="10" s="1"/>
  <c r="B181" i="1"/>
  <c r="A181" i="1" s="1"/>
  <c r="B177" i="1"/>
  <c r="A177" i="1" s="1"/>
  <c r="B183" i="1"/>
  <c r="A183" i="1" s="1"/>
  <c r="B7" i="1"/>
  <c r="A7" i="1" s="1"/>
  <c r="B173" i="1"/>
  <c r="A173" i="1" s="1"/>
  <c r="B175" i="1"/>
  <c r="A175" i="1" s="1"/>
  <c r="B182" i="1"/>
  <c r="A182" i="1" s="1"/>
  <c r="B156" i="1"/>
  <c r="A156" i="1" s="1"/>
  <c r="B157" i="1"/>
  <c r="A157" i="1" s="1"/>
  <c r="B89" i="1"/>
  <c r="A89" i="1" s="1"/>
  <c r="B178" i="1"/>
  <c r="A178" i="1" s="1"/>
  <c r="B179" i="1"/>
  <c r="A179" i="1" s="1"/>
  <c r="B158" i="1"/>
  <c r="A158" i="1" s="1"/>
  <c r="B163" i="1"/>
  <c r="A163" i="1" s="1"/>
  <c r="B164" i="1"/>
  <c r="A164" i="1" s="1"/>
  <c r="B35" i="1"/>
  <c r="A35" i="1" s="1"/>
  <c r="B159" i="1"/>
  <c r="A159" i="1" s="1"/>
  <c r="B36" i="1"/>
  <c r="A36" i="1" s="1"/>
  <c r="B29" i="1"/>
  <c r="A29" i="1" s="1"/>
  <c r="B32" i="1"/>
  <c r="A32" i="1" s="1"/>
  <c r="B152" i="1"/>
  <c r="A152" i="1" s="1"/>
  <c r="B10" i="1"/>
  <c r="A10" i="1" s="1"/>
  <c r="B90" i="1"/>
  <c r="A90" i="1" s="1"/>
  <c r="B6" i="1"/>
  <c r="A6" i="1" s="1"/>
  <c r="B22" i="1"/>
  <c r="A22" i="1" s="1"/>
  <c r="B174" i="1"/>
  <c r="A174" i="1" s="1"/>
  <c r="B8" i="1"/>
  <c r="A8" i="1" s="1"/>
  <c r="B153" i="1"/>
  <c r="A153" i="1" s="1"/>
  <c r="B37" i="1"/>
  <c r="A37" i="1" s="1"/>
  <c r="B38" i="1"/>
  <c r="A38" i="1" s="1"/>
  <c r="B169" i="1"/>
  <c r="A169" i="1" s="1"/>
  <c r="B23" i="1"/>
  <c r="A23" i="1" s="1"/>
  <c r="B91" i="1"/>
  <c r="A91" i="1" s="1"/>
  <c r="B15" i="1"/>
  <c r="A15" i="1" s="1"/>
  <c r="B92" i="1"/>
  <c r="A92" i="1" s="1"/>
  <c r="B180" i="1"/>
  <c r="A180" i="1" s="1"/>
  <c r="B154" i="1"/>
  <c r="A154" i="1" s="1"/>
  <c r="B24" i="1"/>
  <c r="A24" i="1" s="1"/>
  <c r="B11" i="1"/>
  <c r="A11" i="1" s="1"/>
  <c r="B39" i="1"/>
  <c r="A39" i="1" s="1"/>
  <c r="B12" i="1"/>
  <c r="A12" i="1" s="1"/>
  <c r="B30" i="1"/>
  <c r="A30" i="1" s="1"/>
  <c r="B155" i="1"/>
  <c r="A155" i="1" s="1"/>
  <c r="B40" i="1"/>
  <c r="A40" i="1" s="1"/>
  <c r="B160" i="1"/>
  <c r="A160" i="1" s="1"/>
  <c r="B93" i="1"/>
  <c r="A93" i="1" s="1"/>
  <c r="B94" i="1"/>
  <c r="A94" i="1" s="1"/>
  <c r="B161" i="1"/>
  <c r="A161" i="1" s="1"/>
  <c r="B16" i="1"/>
  <c r="A16" i="1" s="1"/>
  <c r="B17" i="1"/>
  <c r="A17" i="1" s="1"/>
  <c r="B18" i="1"/>
  <c r="A18" i="1" s="1"/>
  <c r="B19" i="1"/>
  <c r="A19" i="1" s="1"/>
  <c r="B20" i="1"/>
  <c r="A20" i="1" s="1"/>
  <c r="B95" i="1"/>
  <c r="A95" i="1" s="1"/>
  <c r="B25" i="1"/>
  <c r="A25" i="1" s="1"/>
  <c r="B165" i="1"/>
  <c r="A165" i="1" s="1"/>
  <c r="B166" i="1"/>
  <c r="A166" i="1" s="1"/>
  <c r="B21" i="1"/>
  <c r="A21" i="1" s="1"/>
  <c r="B96" i="1"/>
  <c r="A96" i="1" s="1"/>
  <c r="B97" i="1"/>
  <c r="A97" i="1" s="1"/>
  <c r="B98" i="1"/>
  <c r="A98" i="1" s="1"/>
  <c r="B99" i="1"/>
  <c r="A99" i="1" s="1"/>
  <c r="B13" i="1"/>
  <c r="A13" i="1" s="1"/>
  <c r="B184" i="1"/>
  <c r="A184" i="1" s="1"/>
  <c r="B33" i="1"/>
  <c r="A33" i="1" s="1"/>
  <c r="B69" i="1"/>
  <c r="A69" i="1" s="1"/>
  <c r="B70" i="1"/>
  <c r="A70" i="1" s="1"/>
  <c r="B162" i="1"/>
  <c r="A162" i="1" s="1"/>
  <c r="B34" i="1"/>
  <c r="A34" i="1" s="1"/>
  <c r="B14" i="1"/>
  <c r="A14" i="1" s="1"/>
  <c r="B26" i="1"/>
  <c r="A26" i="1" s="1"/>
  <c r="B176" i="1"/>
  <c r="A176" i="1" s="1"/>
  <c r="B100" i="1"/>
  <c r="A100" i="1" s="1"/>
  <c r="B31" i="1"/>
  <c r="A31" i="1" s="1"/>
  <c r="B101" i="1"/>
  <c r="A101" i="1" s="1"/>
  <c r="B85" i="1"/>
  <c r="A85" i="1" s="1"/>
  <c r="B86" i="1"/>
  <c r="A86" i="1" s="1"/>
  <c r="B41" i="1"/>
  <c r="A41" i="1" s="1"/>
  <c r="B102" i="1"/>
  <c r="A102" i="1" s="1"/>
  <c r="B42" i="1"/>
  <c r="A42" i="1" s="1"/>
  <c r="B103" i="1"/>
  <c r="A103" i="1" s="1"/>
  <c r="B104" i="1"/>
  <c r="A104" i="1" s="1"/>
  <c r="B105" i="1"/>
  <c r="A105" i="1" s="1"/>
  <c r="B106" i="1"/>
  <c r="A106" i="1" s="1"/>
  <c r="B107" i="1"/>
  <c r="A107" i="1" s="1"/>
  <c r="B43" i="1"/>
  <c r="A43" i="1" s="1"/>
  <c r="B71" i="1"/>
  <c r="A71" i="1" s="1"/>
  <c r="B44" i="1"/>
  <c r="A44" i="1" s="1"/>
  <c r="B45" i="1"/>
  <c r="A45" i="1" s="1"/>
  <c r="B108" i="1"/>
  <c r="A108" i="1" s="1"/>
  <c r="B46" i="1"/>
  <c r="A46" i="1" s="1"/>
  <c r="B47" i="1"/>
  <c r="A47" i="1" s="1"/>
  <c r="B109" i="1"/>
  <c r="A109" i="1" s="1"/>
  <c r="B48" i="1"/>
  <c r="A48" i="1" s="1"/>
  <c r="B110" i="1"/>
  <c r="A110" i="1" s="1"/>
  <c r="B111" i="1"/>
  <c r="A111" i="1" s="1"/>
  <c r="B112" i="1"/>
  <c r="A112" i="1" s="1"/>
  <c r="B49" i="1"/>
  <c r="A49" i="1" s="1"/>
  <c r="B87" i="1"/>
  <c r="A87" i="1" s="1"/>
  <c r="B88" i="1"/>
  <c r="A88" i="1" s="1"/>
  <c r="B113" i="1"/>
  <c r="A113" i="1" s="1"/>
  <c r="B50" i="1"/>
  <c r="A50" i="1" s="1"/>
  <c r="B51" i="1"/>
  <c r="A51" i="1" s="1"/>
  <c r="B52" i="1"/>
  <c r="A52" i="1" s="1"/>
  <c r="B27" i="1"/>
  <c r="A27" i="1" s="1"/>
  <c r="B114" i="1"/>
  <c r="A114" i="1" s="1"/>
  <c r="B115" i="1"/>
  <c r="A115" i="1" s="1"/>
  <c r="B116" i="1"/>
  <c r="A116" i="1" s="1"/>
  <c r="B117" i="1"/>
  <c r="A117" i="1" s="1"/>
  <c r="B118" i="1"/>
  <c r="A118" i="1" s="1"/>
  <c r="B119" i="1"/>
  <c r="A119" i="1" s="1"/>
  <c r="B120" i="1"/>
  <c r="A120" i="1" s="1"/>
  <c r="B121" i="1"/>
  <c r="A121" i="1" s="1"/>
  <c r="B72" i="1"/>
  <c r="A72" i="1" s="1"/>
  <c r="B122" i="1"/>
  <c r="A122" i="1" s="1"/>
  <c r="B123" i="1"/>
  <c r="A123" i="1" s="1"/>
  <c r="B124" i="1"/>
  <c r="A124" i="1" s="1"/>
  <c r="B125" i="1"/>
  <c r="A125" i="1" s="1"/>
  <c r="B28" i="1"/>
  <c r="A28" i="1" s="1"/>
  <c r="B126" i="1"/>
  <c r="A126" i="1" s="1"/>
  <c r="B53" i="1"/>
  <c r="A53" i="1" s="1"/>
  <c r="B54" i="1"/>
  <c r="A54" i="1" s="1"/>
  <c r="B55" i="1"/>
  <c r="A55" i="1" s="1"/>
  <c r="B73" i="1"/>
  <c r="A73" i="1" s="1"/>
  <c r="B56" i="1"/>
  <c r="A56" i="1" s="1"/>
  <c r="B74" i="1"/>
  <c r="A74" i="1" s="1"/>
  <c r="B75" i="1"/>
  <c r="A75" i="1" s="1"/>
  <c r="B76" i="1"/>
  <c r="A76" i="1" s="1"/>
  <c r="B77" i="1"/>
  <c r="A77" i="1" s="1"/>
  <c r="B78" i="1"/>
  <c r="A78" i="1" s="1"/>
  <c r="B79" i="1"/>
  <c r="A79" i="1" s="1"/>
  <c r="B80" i="1"/>
  <c r="A80" i="1" s="1"/>
  <c r="B81" i="1"/>
  <c r="A81" i="1" s="1"/>
  <c r="B82" i="1"/>
  <c r="A82" i="1" s="1"/>
  <c r="B57" i="1"/>
  <c r="A57" i="1" s="1"/>
  <c r="B170" i="1"/>
  <c r="A170" i="1" s="1"/>
  <c r="B171" i="1"/>
  <c r="A171" i="1" s="1"/>
  <c r="B58" i="1"/>
  <c r="A58" i="1" s="1"/>
  <c r="B127" i="1"/>
  <c r="A127" i="1" s="1"/>
  <c r="B128" i="1"/>
  <c r="A128" i="1" s="1"/>
  <c r="B172" i="1"/>
  <c r="A172" i="1" s="1"/>
  <c r="B129" i="1"/>
  <c r="A129" i="1" s="1"/>
  <c r="B59" i="1"/>
  <c r="A59" i="1" s="1"/>
  <c r="B130" i="1"/>
  <c r="A130" i="1" s="1"/>
  <c r="B131" i="1"/>
  <c r="A131" i="1" s="1"/>
  <c r="B132" i="1"/>
  <c r="A132" i="1" s="1"/>
  <c r="B133" i="1"/>
  <c r="A133" i="1" s="1"/>
  <c r="B134" i="1"/>
  <c r="A134" i="1" s="1"/>
  <c r="B135" i="1"/>
  <c r="A135" i="1" s="1"/>
  <c r="B136" i="1"/>
  <c r="A136" i="1" s="1"/>
  <c r="B137" i="1"/>
  <c r="A137" i="1" s="1"/>
  <c r="B138" i="1"/>
  <c r="A138" i="1" s="1"/>
  <c r="B83" i="1"/>
  <c r="A83" i="1" s="1"/>
  <c r="B139" i="1"/>
  <c r="A139" i="1" s="1"/>
  <c r="B60" i="1"/>
  <c r="A60" i="1" s="1"/>
  <c r="B61" i="1"/>
  <c r="A61" i="1" s="1"/>
  <c r="B140" i="1"/>
  <c r="A140" i="1" s="1"/>
  <c r="B141" i="1"/>
  <c r="A141" i="1" s="1"/>
  <c r="B142" i="1"/>
  <c r="A142" i="1" s="1"/>
  <c r="B62" i="1"/>
  <c r="A62" i="1" s="1"/>
  <c r="B143" i="1"/>
  <c r="A143" i="1" s="1"/>
  <c r="B144" i="1"/>
  <c r="A144" i="1" s="1"/>
  <c r="B63" i="1"/>
  <c r="A63" i="1" s="1"/>
  <c r="B64" i="1"/>
  <c r="A64" i="1" s="1"/>
  <c r="B65" i="1"/>
  <c r="A65" i="1" s="1"/>
  <c r="B66" i="1"/>
  <c r="A66" i="1" s="1"/>
  <c r="B145" i="1"/>
  <c r="A145" i="1" s="1"/>
  <c r="B146" i="1"/>
  <c r="A146" i="1" s="1"/>
  <c r="B147" i="1"/>
  <c r="A147" i="1" s="1"/>
  <c r="B67" i="1"/>
  <c r="A67" i="1" s="1"/>
  <c r="B148" i="1"/>
  <c r="A148" i="1" s="1"/>
  <c r="B68" i="1"/>
  <c r="A68" i="1" s="1"/>
  <c r="B149" i="1"/>
  <c r="A149" i="1" s="1"/>
  <c r="B150" i="1"/>
  <c r="A150" i="1" s="1"/>
  <c r="B151" i="1"/>
  <c r="A151" i="1" s="1"/>
  <c r="B5" i="1"/>
  <c r="A5" i="1" s="1"/>
  <c r="B168" i="1"/>
  <c r="A168" i="1" s="1"/>
  <c r="B167" i="1"/>
  <c r="A167" i="1" s="1"/>
  <c r="B9" i="1"/>
  <c r="A9" i="1" s="1"/>
  <c r="B84" i="1"/>
  <c r="A84" i="1" s="1"/>
  <c r="J7" i="18" l="1"/>
  <c r="F45" i="18"/>
  <c r="D7" i="10"/>
  <c r="C7" i="10" s="1"/>
  <c r="J7" i="10" s="1"/>
  <c r="AB123" i="11"/>
  <c r="Z135" i="11"/>
  <c r="C6" i="10"/>
  <c r="K6" i="10"/>
  <c r="J5" i="18" l="1"/>
  <c r="D4" i="19"/>
  <c r="F38" i="18"/>
  <c r="J6" i="10"/>
  <c r="D32" i="19" l="1"/>
  <c r="E4" i="19"/>
  <c r="E32"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 SINGLETON</author>
  </authors>
  <commentList>
    <comment ref="F7" authorId="0" shapeId="0" xr:uid="{35F1CAF4-7724-4FBB-8B4A-B8271314C0AC}">
      <text>
        <r>
          <rPr>
            <b/>
            <sz val="9"/>
            <color indexed="81"/>
            <rFont val="Tahoma"/>
            <charset val="1"/>
          </rPr>
          <t>Nicola SINGLETON:</t>
        </r>
        <r>
          <rPr>
            <sz val="9"/>
            <color indexed="81"/>
            <rFont val="Tahoma"/>
            <charset val="1"/>
          </rPr>
          <t xml:space="preserve">
contractor saving only (FTE related costs already net of simplify)</t>
        </r>
      </text>
    </comment>
  </commentList>
</comments>
</file>

<file path=xl/sharedStrings.xml><?xml version="1.0" encoding="utf-8"?>
<sst xmlns="http://schemas.openxmlformats.org/spreadsheetml/2006/main" count="14300" uniqueCount="1169">
  <si>
    <t>2026 Budget (excluding simplify)</t>
  </si>
  <si>
    <t>EIL Budget (excluding simplify)</t>
  </si>
  <si>
    <t>THIF Budget (excluding simplify)</t>
  </si>
  <si>
    <r>
      <rPr>
        <b/>
        <sz val="11"/>
        <color theme="1"/>
        <rFont val="Aptos Narrow"/>
        <family val="2"/>
      </rPr>
      <t>Simplify savings</t>
    </r>
  </si>
  <si>
    <t>EIL             Simplify savings</t>
  </si>
  <si>
    <t>THIF           Simplify savings</t>
  </si>
  <si>
    <t>Simplify investments</t>
  </si>
  <si>
    <t>2026 Budget</t>
  </si>
  <si>
    <t>EIL</t>
  </si>
  <si>
    <t>THIF</t>
  </si>
  <si>
    <t>2026 Budget (2025 rates)</t>
  </si>
  <si>
    <t>Revenue</t>
  </si>
  <si>
    <t>n/a - no revenue in budget 2026</t>
  </si>
  <si>
    <t>Cost of Sales</t>
  </si>
  <si>
    <t>n/a - no cost of sales in budget 2026</t>
  </si>
  <si>
    <t>Opex (excluding staff costs)</t>
  </si>
  <si>
    <t>Staff costs</t>
  </si>
  <si>
    <t>&lt;&lt; total wageroll cost to be added (post simplify)</t>
  </si>
  <si>
    <t>Capex</t>
  </si>
  <si>
    <t>n/a - no capex in budget 2026</t>
  </si>
  <si>
    <t xml:space="preserve"> </t>
  </si>
  <si>
    <t>Total</t>
  </si>
  <si>
    <t>Cost center manager</t>
  </si>
  <si>
    <t>Is Split Child Row</t>
  </si>
  <si>
    <t>Level Code</t>
  </si>
  <si>
    <t>Level Name</t>
  </si>
  <si>
    <t>Account Code Code</t>
  </si>
  <si>
    <t>Account Code Name</t>
  </si>
  <si>
    <t>Counterparty Code</t>
  </si>
  <si>
    <t>Counterparty Name</t>
  </si>
  <si>
    <t>Project Code</t>
  </si>
  <si>
    <t>Project Name</t>
  </si>
  <si>
    <t>Details (Free Text)</t>
  </si>
  <si>
    <t>Supplier (Free Text)</t>
  </si>
  <si>
    <t>Version (Free Text)</t>
  </si>
  <si>
    <t>Level Currency                        Phasing of YTG -&gt;</t>
  </si>
  <si>
    <t>Jan-2026</t>
  </si>
  <si>
    <t>Feb-2026</t>
  </si>
  <si>
    <t>Mar-2026</t>
  </si>
  <si>
    <t>Apr-2026</t>
  </si>
  <si>
    <t>May-2026</t>
  </si>
  <si>
    <t>Jun-2026</t>
  </si>
  <si>
    <t>Jul-2026</t>
  </si>
  <si>
    <t>Aug-2026</t>
  </si>
  <si>
    <t>Sep-2026</t>
  </si>
  <si>
    <t>Oct-2026</t>
  </si>
  <si>
    <t>Nov-2026</t>
  </si>
  <si>
    <t>Dec-2026</t>
  </si>
  <si>
    <t>FY2026</t>
  </si>
  <si>
    <t>cost in euros</t>
  </si>
  <si>
    <t xml:space="preserve">Simplify savings </t>
  </si>
  <si>
    <t>600_CIO_EIL_EUR</t>
  </si>
  <si>
    <t>363003 - Corporate memberships and subscriptions</t>
  </si>
  <si>
    <t>000000_Default</t>
  </si>
  <si>
    <t>0000_Default</t>
  </si>
  <si>
    <t>CIT membership</t>
  </si>
  <si>
    <t>Budget 2026</t>
  </si>
  <si>
    <t>EUR</t>
  </si>
  <si>
    <t>362100 - Duty travel control account</t>
  </si>
  <si>
    <t>Duty travel control account</t>
  </si>
  <si>
    <t>363004 - Stationery</t>
  </si>
  <si>
    <t>Stationery</t>
  </si>
  <si>
    <t>307200 - Training</t>
  </si>
  <si>
    <t>Training</t>
  </si>
  <si>
    <t>362001 - Travel costs</t>
  </si>
  <si>
    <t>Travel costs</t>
  </si>
  <si>
    <t>362002 - Hotels</t>
  </si>
  <si>
    <t>Travel costs (hotel)</t>
  </si>
  <si>
    <t>600_CIO_EIL_GBP</t>
  </si>
  <si>
    <t>301011 - Allowances - UK</t>
  </si>
  <si>
    <t>2024/2025 Run Rate for Allowance</t>
  </si>
  <si>
    <t>UK Payroll</t>
  </si>
  <si>
    <t>GBP</t>
  </si>
  <si>
    <t>Gartner membership</t>
  </si>
  <si>
    <t>GARTNER</t>
  </si>
  <si>
    <t>601_IS Service Delivery_EIL_EUR</t>
  </si>
  <si>
    <t>356101 - Fixed Line telephony</t>
  </si>
  <si>
    <t>1012_France</t>
  </si>
  <si>
    <t>Legacy phone lines in PNO/LIL</t>
  </si>
  <si>
    <t>SNCF DIRECTION GENERALE &amp; SI (E81)</t>
  </si>
  <si>
    <t>Legacy phone lines in Paris &amp; Lille</t>
  </si>
  <si>
    <t>SFR BUSINESS</t>
  </si>
  <si>
    <t>342300 - Software Licences and support</t>
  </si>
  <si>
    <t>Microsoft Enterprise Agreement</t>
  </si>
  <si>
    <t>SCC France</t>
  </si>
  <si>
    <t>363001 - Printing and paper</t>
  </si>
  <si>
    <t>France Printing EIL (TBC)</t>
  </si>
  <si>
    <t xml:space="preserve">RICOH </t>
  </si>
  <si>
    <t>Belgian Printing EIL (TBC)</t>
  </si>
  <si>
    <t>RICOH</t>
  </si>
  <si>
    <t>1014_Belgium</t>
  </si>
  <si>
    <t>Legacy phone lines in Brussels</t>
  </si>
  <si>
    <t>PROXIMUS</t>
  </si>
  <si>
    <t>356300 - Mobile telephony</t>
  </si>
  <si>
    <t>EIL Corporate mobile telephony Belgium</t>
  </si>
  <si>
    <t>Orange SA</t>
  </si>
  <si>
    <t>EIL Corporate mobile telephony France</t>
  </si>
  <si>
    <t>ORANGE SA</t>
  </si>
  <si>
    <t>341200 - Internet access</t>
  </si>
  <si>
    <t>1373_WiFi On Board</t>
  </si>
  <si>
    <t xml:space="preserve">M2M Energy Monitoring </t>
  </si>
  <si>
    <t>Station connectivity in Paris &amp; Lille</t>
  </si>
  <si>
    <t>Onboard passanger Wi-Fi (Channel EIL)</t>
  </si>
  <si>
    <t xml:space="preserve">ORANGE </t>
  </si>
  <si>
    <t>341001 - Global Wide Area Network (GWAN)</t>
  </si>
  <si>
    <t>Connection to Tigre for TMI dedicated PCs</t>
  </si>
  <si>
    <t>HERMES INFORMATION TECHNOLOGY RAIL (HIT RAIL) BV</t>
  </si>
  <si>
    <t>341100 - Non Global Wide Area Network (GWAN)</t>
  </si>
  <si>
    <t>Internet in BMI BL Lounge</t>
  </si>
  <si>
    <t>EUROFIBER N.V.</t>
  </si>
  <si>
    <t>601_IS Service Delivery_EIL_GBP</t>
  </si>
  <si>
    <t>356001 - Telecomms Maintenance &amp; Support</t>
  </si>
  <si>
    <t>Worldline VPN to ATOS Rail Mainframe to access TRUST</t>
  </si>
  <si>
    <t>WORLDLINE IT SERVICES UK LIMITED</t>
  </si>
  <si>
    <t>340001 - Local Area Network (LAN)</t>
  </si>
  <si>
    <t>SPI Terminal Wi-Fi</t>
  </si>
  <si>
    <t>WIFI METROPOLIS BV</t>
  </si>
  <si>
    <t>Various Software ( (inc. Trados Studio Translation Software £992; )</t>
  </si>
  <si>
    <t xml:space="preserve">Various (Trados Studio Translation Software £992; </t>
  </si>
  <si>
    <t>307001 - Staff entertainment</t>
  </si>
  <si>
    <t>Expenses</t>
  </si>
  <si>
    <t>Various</t>
  </si>
  <si>
    <t>340300 - IS consumables</t>
  </si>
  <si>
    <t>Hardware and consumables</t>
  </si>
  <si>
    <t>Staff travel EIL</t>
  </si>
  <si>
    <t>Payroll</t>
  </si>
  <si>
    <t>Telephony at SPI (Etrali Voice SystemI</t>
  </si>
  <si>
    <t>TRADING SYSTEM SUPPORT</t>
  </si>
  <si>
    <t>Internet in PNO BL Lounge</t>
  </si>
  <si>
    <t>TELSTRA EUROPE LTD</t>
  </si>
  <si>
    <t>M2M/CSD Jasper 2G train systems monitoring (No PIS contract)</t>
  </si>
  <si>
    <t>TELEFONICA UK LIMITED</t>
  </si>
  <si>
    <t>361003 - IS consultancy</t>
  </si>
  <si>
    <t>Technical &amp; specialist consultancy - BAU &amp; Project</t>
  </si>
  <si>
    <t>TBC</t>
  </si>
  <si>
    <t>340400 - IS Hardware maintenance &amp; support</t>
  </si>
  <si>
    <t>Call out &amp; repair of display / meeting room systems</t>
  </si>
  <si>
    <t>SOLUTIONS AUDIO VISUAL LIMITED</t>
  </si>
  <si>
    <t>Signage Live  for SPI Horizon wall &amp; BMI BP lounge</t>
  </si>
  <si>
    <t>340100 - Communication rooms</t>
  </si>
  <si>
    <t>Provision to maitain comms rooms (UPS, disposals, etc)</t>
  </si>
  <si>
    <t>SECURE POWER / Others</t>
  </si>
  <si>
    <t>Displays in EIL offices, LIL, Paris BP Lounge</t>
  </si>
  <si>
    <t>ScreenCloudSignage</t>
  </si>
  <si>
    <t>UK Printing</t>
  </si>
  <si>
    <t>Licence to play radio &amp; TV in common areas</t>
  </si>
  <si>
    <t>PRS (Performing Rights Society)</t>
  </si>
  <si>
    <t>Stand alone printer</t>
  </si>
  <si>
    <t>Printer Support</t>
  </si>
  <si>
    <t xml:space="preserve">New Amsterdam Terminal Wi-Fi </t>
  </si>
  <si>
    <t>Natilik</t>
  </si>
  <si>
    <t>342001 - Systems support</t>
  </si>
  <si>
    <t>WISI Mobile screens at stations</t>
  </si>
  <si>
    <t>Met Systems Limited</t>
  </si>
  <si>
    <t>Network swtiches at all locations</t>
  </si>
  <si>
    <t>Meraki and Others</t>
  </si>
  <si>
    <t>EIL MPLS WAN &amp; Internet Connections</t>
  </si>
  <si>
    <t>MASERGY COMMUNICATIONS INC</t>
  </si>
  <si>
    <t>VoIP Teams Connector for corporate voice - Icon Teams Connector £4683.2 till 31/05/26</t>
  </si>
  <si>
    <t>MAINTEL EUROPE LIMITED</t>
  </si>
  <si>
    <t>Support for station display screens</t>
  </si>
  <si>
    <t>MAINT-TEK ELECTRONICS SERVICES</t>
  </si>
  <si>
    <t>Service Desk phone line &amp; Ashford Phone</t>
  </si>
  <si>
    <t>LUMEN TECHNOLOGIES UK LIMITED</t>
  </si>
  <si>
    <t xml:space="preserve">Lucid Chart </t>
  </si>
  <si>
    <t>LUCID SOFTWARE INC</t>
  </si>
  <si>
    <t xml:space="preserve">Linked to CAPEX Projects </t>
  </si>
  <si>
    <t>Linked to CAPEX Projects</t>
  </si>
  <si>
    <t>340200 - Computer / NIIT</t>
  </si>
  <si>
    <t>Managed Service Provider - Amsterdam Coverage</t>
  </si>
  <si>
    <t>HEXAWARE</t>
  </si>
  <si>
    <t xml:space="preserve">Managed Service Provider - Arc/Rcs variations </t>
  </si>
  <si>
    <t>Managed Service Provider - Core Service Charge (BAU &amp; Tx)</t>
  </si>
  <si>
    <t>Managed Service Provider - Non BAU</t>
  </si>
  <si>
    <t>Managed Service Provider - TUPE Provision</t>
  </si>
  <si>
    <t>Chomebits</t>
  </si>
  <si>
    <t>Google</t>
  </si>
  <si>
    <t>Teleohony at TMI (Siemens PBX)</t>
  </si>
  <si>
    <t>ELITETELE.COM PLC T/A ELITE GROUP</t>
  </si>
  <si>
    <t>1013_UK</t>
  </si>
  <si>
    <t>EIL Corporate mobile telephony UK</t>
  </si>
  <si>
    <t>EE LIMITED</t>
  </si>
  <si>
    <t>New Internet Service For SDWAN</t>
  </si>
  <si>
    <t>COLT (or A N Other)</t>
  </si>
  <si>
    <t>Managed Service Provider - Application Support</t>
  </si>
  <si>
    <t>COFORGE U.K. LIMITED-</t>
  </si>
  <si>
    <t>Adobe Create Software</t>
  </si>
  <si>
    <t>Bytes Software Services Limited/Adobe</t>
  </si>
  <si>
    <t>Druva Backup solution *Where is VEEEM?)</t>
  </si>
  <si>
    <t>BYTES SOFTWARE SERVICES LIMITED / DRUVA</t>
  </si>
  <si>
    <t>Micosoft on premis/non-cloud software</t>
  </si>
  <si>
    <t>BYTES SOFTWARE SERVICES LIMITED</t>
  </si>
  <si>
    <t>Mimecast email security - EIL</t>
  </si>
  <si>
    <t xml:space="preserve">Firewall including Phsical/Cloud Palo Alto Support </t>
  </si>
  <si>
    <t>BYTES</t>
  </si>
  <si>
    <t>363007 - Freight and courier</t>
  </si>
  <si>
    <t>Shipping &amp; deliveries</t>
  </si>
  <si>
    <t>BUILD 2 DESIGN LIMITED</t>
  </si>
  <si>
    <t xml:space="preserve">Amsterdam Station Internet Access (3yr contract from Dec 2023) </t>
  </si>
  <si>
    <t>BT BUSINESS COMMUNICATIONS</t>
  </si>
  <si>
    <t>342100 - Systems development</t>
  </si>
  <si>
    <t xml:space="preserve">BTNet Internet service for KPL </t>
  </si>
  <si>
    <t>BTNet Internet service for SPI Business Lounge</t>
  </si>
  <si>
    <t>ISDN/PSTN Phone lines in TMI and SPI</t>
  </si>
  <si>
    <t>Rotterdam Station Internat Access (3yr contract from Oct 2020)</t>
  </si>
  <si>
    <t xml:space="preserve">ClearPass Wi-Fi Controllers &amp; Aruba - Now replaced by licences for Cisco ISE </t>
  </si>
  <si>
    <t>ASP</t>
  </si>
  <si>
    <t>SST Payement Devices at stations</t>
  </si>
  <si>
    <t xml:space="preserve">ADYEN N.V </t>
  </si>
  <si>
    <t>Staff hotels EIL</t>
  </si>
  <si>
    <t>601_IS Service Delivery_EIL_USD</t>
  </si>
  <si>
    <t xml:space="preserve">Cost monitring service </t>
  </si>
  <si>
    <t>CLOUDCHECKR INC.</t>
  </si>
  <si>
    <t>USD</t>
  </si>
  <si>
    <t>SASE Replacement for Masergy MPLS and Security</t>
  </si>
  <si>
    <t>CATO NETWORKS (Or A N OTHER)</t>
  </si>
  <si>
    <t>SentinelOne Endpoint protection</t>
  </si>
  <si>
    <t>342200 - Hosting</t>
  </si>
  <si>
    <t>Hosting for IS Software/Business Systems Projects: Equinox dev/prod, Metastorm safety portal, Dark trace)</t>
  </si>
  <si>
    <t xml:space="preserve">AMAZON WEB SERVICES </t>
  </si>
  <si>
    <t>Projected AWS BAU consumption</t>
  </si>
  <si>
    <t>AMAZON WEB SERVICES</t>
  </si>
  <si>
    <t>602_IS Operational_EIL_EUR</t>
  </si>
  <si>
    <t>Wifi Network Monitoring</t>
  </si>
  <si>
    <t>Xentrans / Netforecast</t>
  </si>
  <si>
    <t xml:space="preserve">ATESS-FMS manages the data collected by ATESS: 
Support and License </t>
  </si>
  <si>
    <t>WABTEC FAIVELEY TRANSPORT Touraine</t>
  </si>
  <si>
    <t>eRoster and Quintiq Maintenance and Planning TBC</t>
  </si>
  <si>
    <t>SOPRA STERIA BENELUX SA</t>
  </si>
  <si>
    <t>E14_SNCF VOYAGES GRANDES LIGNES</t>
  </si>
  <si>
    <t>1633_TIGRE Replacement</t>
  </si>
  <si>
    <t>Tigre</t>
  </si>
  <si>
    <t>SNCF FC - Matériel</t>
  </si>
  <si>
    <t>RNE Common Component System</t>
  </si>
  <si>
    <t>RAILNETEUROPE</t>
  </si>
  <si>
    <t>Mantra CFT License</t>
  </si>
  <si>
    <t>Quintic Software Licences and support (eRoster and Quintic P&amp;M) TBC</t>
  </si>
  <si>
    <t>DASSAULT SYSTEMES UK LIMITED</t>
  </si>
  <si>
    <t>star run</t>
  </si>
  <si>
    <t>602_IS Operational_EIL_GBP</t>
  </si>
  <si>
    <t>e320 PIS App Support + PIS content update  PIS content management</t>
  </si>
  <si>
    <t>WABTEC ANNAX</t>
  </si>
  <si>
    <t>Contractor Onboard Tools Tech PO Adeolu Fagbire</t>
  </si>
  <si>
    <t>VENTULA CONSULTING</t>
  </si>
  <si>
    <t>1176_Equinox</t>
  </si>
  <si>
    <t>Equinox Application Support</t>
  </si>
  <si>
    <t>TRIMBLE TECHNOLOGIES IRELAND LIMITED</t>
  </si>
  <si>
    <t>e300 &amp; Ruby PIS App Support</t>
  </si>
  <si>
    <t>TELEVIC</t>
  </si>
  <si>
    <t>Siemens PIS &amp; FMS Connectivity Support</t>
  </si>
  <si>
    <t>SIEMENS Mobility Limited</t>
  </si>
  <si>
    <t>Wifi Onboard Support</t>
  </si>
  <si>
    <t>NOMAD DIGITAL LIMITED</t>
  </si>
  <si>
    <t>CCF support</t>
  </si>
  <si>
    <t>NETWORK RAIL INFRASTRUCTURE LIMITED</t>
  </si>
  <si>
    <t>Escrow</t>
  </si>
  <si>
    <t>NCC SERVICES LIMITED</t>
  </si>
  <si>
    <t>Penetration test</t>
  </si>
  <si>
    <t>MRI Evolution</t>
  </si>
  <si>
    <t>MRI</t>
  </si>
  <si>
    <t>Netcourier API - used by Eurodispatch</t>
  </si>
  <si>
    <t>METAFOUR UK LIMITED</t>
  </si>
  <si>
    <t>License and support - Roster Stations and TMI</t>
  </si>
  <si>
    <t>KRONOS SYSTEMS LIMITED</t>
  </si>
  <si>
    <t>IBS Ops App Support</t>
  </si>
  <si>
    <t>IBS SOFTWARE EUROPE LIMITED</t>
  </si>
  <si>
    <t>Equinox RDP Licenses</t>
  </si>
  <si>
    <t>EQUINOX</t>
  </si>
  <si>
    <t>Quintiq hosting charges (eRoster and Quintic P&amp;M) TBC</t>
  </si>
  <si>
    <t>ACMS Compentency Management Licenses and Support</t>
  </si>
  <si>
    <t>ASSESSTECH LIMITED</t>
  </si>
  <si>
    <t>604_IS Customer Systems_EIL_EUR</t>
  </si>
  <si>
    <t>[Stations] - TACT (Mobile Check-in)</t>
  </si>
  <si>
    <t>Worldline</t>
  </si>
  <si>
    <t>604_IS Customer Systems_EIL_GBP</t>
  </si>
  <si>
    <t>[Stations] - Xovis maintenance - PNO</t>
  </si>
  <si>
    <t>Xovis</t>
  </si>
  <si>
    <t>1174_EDCS</t>
  </si>
  <si>
    <t>[Stations] - EDCS Support</t>
  </si>
  <si>
    <t>[Stations] - Borders - SAS Parafe - maintenance</t>
  </si>
  <si>
    <t>Thales</t>
  </si>
  <si>
    <t>1318_Exit checks</t>
  </si>
  <si>
    <t>[Stations] - Exit check development &amp; licenses</t>
  </si>
  <si>
    <t>SKO</t>
  </si>
  <si>
    <t>[Contact Centre] - Salesforce - Einstein Service Cloud - for 200 users from mid '25 (will replace Language IO)</t>
  </si>
  <si>
    <t>SALESFORCE</t>
  </si>
  <si>
    <t>GLI100_THI Factory SAS</t>
  </si>
  <si>
    <t>1746_Thalys Recharges</t>
  </si>
  <si>
    <t>[Salesforce]  - Salesforce Marketing Cloud licence</t>
  </si>
  <si>
    <t>[Salesforce]  Loyalty Cloud licence</t>
  </si>
  <si>
    <t>1179_Loyalty</t>
  </si>
  <si>
    <t>[Salesforce] - Data Cloud - licence</t>
  </si>
  <si>
    <t>[Salesforce] - OwnBack-up - solution for archiving (should reduce code of SF license)</t>
  </si>
  <si>
    <t>[Salesforce] - OwnBack-up - solution for Back-up (for process and data back-up policy)</t>
  </si>
  <si>
    <t>[Salesforce] - SALESFORCE - Service/SalesClould licence</t>
  </si>
  <si>
    <t>[Salesforce] - SF development support - 125hrs/months for support and maintenance</t>
  </si>
  <si>
    <t>DATA forecast model</t>
  </si>
  <si>
    <t>Outsight AI</t>
  </si>
  <si>
    <t>Outsight AI (Flow forecast)</t>
  </si>
  <si>
    <t>Exit Checks savings</t>
  </si>
  <si>
    <t>Nasstar</t>
  </si>
  <si>
    <t>[Stations] - CIS System (amstersdam) - running cost</t>
  </si>
  <si>
    <t>Kinly</t>
  </si>
  <si>
    <t>[Stations] - Ticket Gates maintenance</t>
  </si>
  <si>
    <t>IER/EASIER</t>
  </si>
  <si>
    <t>[Salesforce]  - GearSet - data seeding</t>
  </si>
  <si>
    <t>Gearset</t>
  </si>
  <si>
    <t>[Loyalty] - ICLP PLC/Collinsons: Application maintenance for Loyalty</t>
  </si>
  <si>
    <t>Collinsons (ICLP)</t>
  </si>
  <si>
    <t>1154_I-Pad Application for Train Managers</t>
  </si>
  <si>
    <t>[On-Board] - Ipad application for train managers (iTM + EMOS)</t>
  </si>
  <si>
    <t>COFORGE U.K. LIMITED</t>
  </si>
  <si>
    <t>[Operations] - Disrution Management front-end - application Masintenance</t>
  </si>
  <si>
    <t>[Contact Centre] - projects with SF</t>
  </si>
  <si>
    <t>[Stations] - New Station Data tool: application and maintenance - server, devOps, dev</t>
  </si>
  <si>
    <t>Other apps dev support: contingency (BA, POC, Dev, PM)</t>
  </si>
  <si>
    <t>outsight AI in Amsterdam - removed</t>
  </si>
  <si>
    <t>project - data forecast removed</t>
  </si>
  <si>
    <t>Project - Email Marketing project</t>
  </si>
  <si>
    <t>Project - Loyalty - Projects</t>
  </si>
  <si>
    <t>Project - Technical - AI</t>
  </si>
  <si>
    <t>Project - Technical - Data Cloud</t>
  </si>
  <si>
    <t>Project - Technical - technical debt</t>
  </si>
  <si>
    <t>RM - additional efforts</t>
  </si>
  <si>
    <t>605_IS Sales System_EIL_GBP</t>
  </si>
  <si>
    <t>606_Security &amp; Architecture_EIL_EUR</t>
  </si>
  <si>
    <t>Continous Pentesting, Bug bounty</t>
  </si>
  <si>
    <t>YesWeHack</t>
  </si>
  <si>
    <t>Internal Audits: ISO27001</t>
  </si>
  <si>
    <t>Taylor Baines, LRQA</t>
  </si>
  <si>
    <t>Audits: PCI-DSS</t>
  </si>
  <si>
    <t>SRM</t>
  </si>
  <si>
    <t>AlertLogic - Security Operating Center + Vulnerability Scans (THI Assets)</t>
  </si>
  <si>
    <t>Fortra</t>
  </si>
  <si>
    <t>CIS License for up to date hardening templates (Yearly)</t>
  </si>
  <si>
    <t>CIS</t>
  </si>
  <si>
    <t>User Password Vaulting</t>
  </si>
  <si>
    <t>1Password</t>
  </si>
  <si>
    <t>Cybersecurity system expertise</t>
  </si>
  <si>
    <t>Privilege Account Management solution</t>
  </si>
  <si>
    <t>Small Software (AD audit+ …)</t>
  </si>
  <si>
    <t>606_Security &amp; Architecture_EIL_GBP</t>
  </si>
  <si>
    <t>607_Corporate, Finance &amp; HR Systems_EIL_EUR</t>
  </si>
  <si>
    <t>Facilities Management Desk Booking licence &amp; maintenance</t>
  </si>
  <si>
    <t>Smartway2book</t>
  </si>
  <si>
    <t>Paygate</t>
  </si>
  <si>
    <t>1838_Back-office Transformation Project SIMPLIFY</t>
  </si>
  <si>
    <t>Project Essor - ERP programme for HR &amp; Finance</t>
  </si>
  <si>
    <t>Oracle/Workday (tbc)</t>
  </si>
  <si>
    <t>Prcourement Savings Tool</t>
  </si>
  <si>
    <t>Microsoft Excel</t>
  </si>
  <si>
    <t>Kyriba</t>
  </si>
  <si>
    <t>Finance Internal Control &amp; Risk Tool</t>
  </si>
  <si>
    <t>Finance Fraud Tool</t>
  </si>
  <si>
    <t>Treasury Management Solution (Kyriba replacement)</t>
  </si>
  <si>
    <t>Diapason</t>
  </si>
  <si>
    <t>Procurement/Legal Tool</t>
  </si>
  <si>
    <t>Contratech</t>
  </si>
  <si>
    <t xml:space="preserve">Box to sharepoint </t>
  </si>
  <si>
    <t>607_Corporate, Finance &amp; HR Systems_EIL_GBP</t>
  </si>
  <si>
    <t>Workday Adaptive Budget &amp; Forecast licenses - EIL &amp; THIF intances</t>
  </si>
  <si>
    <t>Workday</t>
  </si>
  <si>
    <t>Oracle EBS support (call off units) - Version 1</t>
  </si>
  <si>
    <t>Version 1</t>
  </si>
  <si>
    <t>Oracle technical and functional support - Version 1</t>
  </si>
  <si>
    <t>UKG - Clock Rental - annualised</t>
  </si>
  <si>
    <t>UKG</t>
  </si>
  <si>
    <t>UKG - SAAS Services</t>
  </si>
  <si>
    <t>Oracle Ebs (R12) licences (Finance &amp; HR)</t>
  </si>
  <si>
    <t>Oracle</t>
  </si>
  <si>
    <t>Penetration Testing</t>
  </si>
  <si>
    <t>n/a</t>
  </si>
  <si>
    <t>Kallidus -  HR Learning &amp; Development</t>
  </si>
  <si>
    <t>Kallidus</t>
  </si>
  <si>
    <t>Business Objects - Licences</t>
  </si>
  <si>
    <t>Infosol</t>
  </si>
  <si>
    <t>Business Objects - Support</t>
  </si>
  <si>
    <t>infosol</t>
  </si>
  <si>
    <t>Access Control Solution Maintenance &amp; Support</t>
  </si>
  <si>
    <t>Genetec</t>
  </si>
  <si>
    <t>Filemaker Door Access</t>
  </si>
  <si>
    <t>Filemaker</t>
  </si>
  <si>
    <t>EHS - ECO Online (Corporate Accident &amp; Hazard Reporting)</t>
  </si>
  <si>
    <t>ECO Online</t>
  </si>
  <si>
    <t>Workday Adaptive support through Clear Plan</t>
  </si>
  <si>
    <t>Clear Plan</t>
  </si>
  <si>
    <t>Box - License and application support</t>
  </si>
  <si>
    <t>Box</t>
  </si>
  <si>
    <t>Mi Invoices - Invoice Management</t>
  </si>
  <si>
    <t>Arcivate Limited</t>
  </si>
  <si>
    <t>Hotels Express</t>
  </si>
  <si>
    <t>Accommodation Plus International (API)</t>
  </si>
  <si>
    <t>607_Corporate, Finance &amp; HR Systems_EIL_USD</t>
  </si>
  <si>
    <t>Workvivo (Employee Experience Tool) - Licence &amp; Support</t>
  </si>
  <si>
    <t>Workvivo</t>
  </si>
  <si>
    <t>ACES</t>
  </si>
  <si>
    <t>608_Data &amp; Middleware_EIL_EUR</t>
  </si>
  <si>
    <t>Tableau</t>
  </si>
  <si>
    <t>Mulesoft</t>
  </si>
  <si>
    <t>Boomi</t>
  </si>
  <si>
    <t>305001 - Agency staff &amp; contractors (STATIONS ONLY)</t>
  </si>
  <si>
    <t>BI Center of Excellence</t>
  </si>
  <si>
    <t>361002 - Management consultancy</t>
  </si>
  <si>
    <t>Plug to offset late change of 2 FTE</t>
  </si>
  <si>
    <t>6+6 2025</t>
  </si>
  <si>
    <t>358300 - Equipment</t>
  </si>
  <si>
    <t>To cover one off costs of Macs for Devs &amp; phones for testing</t>
  </si>
  <si>
    <t>5+7 2024 &amp; Budget 25</t>
  </si>
  <si>
    <t>Training budget for increased team-wide knowledge</t>
  </si>
  <si>
    <t>Innovation budget</t>
  </si>
  <si>
    <t>3+9 2025</t>
  </si>
  <si>
    <t>301101 - Bonus - UK</t>
  </si>
  <si>
    <t>LTIP Bonus</t>
  </si>
  <si>
    <t>302101 - Social charges - bonus - UK</t>
  </si>
  <si>
    <t>Description</t>
  </si>
  <si>
    <t>Level Currency</t>
  </si>
  <si>
    <t>Cost in euros</t>
  </si>
  <si>
    <t>605_IS Sales System_EIL_EUR</t>
  </si>
  <si>
    <t>230300 - GDS costs (CoS)</t>
  </si>
  <si>
    <t>Amadeus CC Auth</t>
  </si>
  <si>
    <t>605_IS Sales System_EIL_USD</t>
  </si>
  <si>
    <t>ATPCO Fare filing services</t>
  </si>
  <si>
    <t>240200 - Hosting (CoS)</t>
  </si>
  <si>
    <t>AWS (USD)</t>
  </si>
  <si>
    <t xml:space="preserve">BENErail </t>
  </si>
  <si>
    <t>1052_RPO system</t>
  </si>
  <si>
    <t>Cazyn (Revenue Management Systems)</t>
  </si>
  <si>
    <t>EIL Amadeus Segment charges</t>
  </si>
  <si>
    <t>230100 - Distribution charges (CoS)</t>
  </si>
  <si>
    <t>EIL PAO Var fees (carrier agreement)</t>
  </si>
  <si>
    <t>EIL PAO Var fees (distributor agreement)</t>
  </si>
  <si>
    <t>EIL Sabre Segment charges</t>
  </si>
  <si>
    <t>EIL Sqills variable charge</t>
  </si>
  <si>
    <t>EIL Travelport Segment charges</t>
  </si>
  <si>
    <t>GDS Air Connection (Sqills fixed cost)</t>
  </si>
  <si>
    <t>IATA 2 letter code</t>
  </si>
  <si>
    <t>IATA Finance access to BSP link</t>
  </si>
  <si>
    <t>IATA INET charges</t>
  </si>
  <si>
    <t>Sabre Servicing cost</t>
  </si>
  <si>
    <t>SIDH costs (license costs and weekend update)</t>
  </si>
  <si>
    <t>THIF Amadeus Segment charges</t>
  </si>
  <si>
    <t>THIF Sabre Segment charges</t>
  </si>
  <si>
    <t>THIF Travelport Segment charges</t>
  </si>
  <si>
    <t>240001 - Software Licences and support (CoS)</t>
  </si>
  <si>
    <t>Various Software &amp; Tools</t>
  </si>
  <si>
    <t>PARENT_ASSET_ID</t>
  </si>
  <si>
    <t>OWNED_LEASED</t>
  </si>
  <si>
    <t>Level (Cost Centre) Code</t>
  </si>
  <si>
    <t>Level (Cost Centre) Name</t>
  </si>
  <si>
    <t>Cost Centre Code</t>
  </si>
  <si>
    <t>Cost Centre Name</t>
  </si>
  <si>
    <t>Currency Level Code</t>
  </si>
  <si>
    <t>Currency Level Name</t>
  </si>
  <si>
    <t>Asset_Category_1 Code</t>
  </si>
  <si>
    <t>Asset_Category_1 Name</t>
  </si>
  <si>
    <t>FP_Asset_Catergory_2 Code</t>
  </si>
  <si>
    <t>FP_Asset_Catergory_2 Name</t>
  </si>
  <si>
    <t>Asset Category 3 (20YP) Code</t>
  </si>
  <si>
    <t>Asset Category 3 (20YP) Name</t>
  </si>
  <si>
    <t>Detail</t>
  </si>
  <si>
    <t>Expected Asset Book cost (per Asset ID)</t>
  </si>
  <si>
    <t>REMAINING_LIFE_IN_MONTHS</t>
  </si>
  <si>
    <t>Recongnition- Depn Start date</t>
  </si>
  <si>
    <t>Asset Categorization at purchase Code</t>
  </si>
  <si>
    <t>Asset Categorization at purchase Name</t>
  </si>
  <si>
    <t>DEPRECIATE_FLAG</t>
  </si>
  <si>
    <t>Total in €</t>
  </si>
  <si>
    <t>No</t>
  </si>
  <si>
    <t>OWNED</t>
  </si>
  <si>
    <t>608</t>
  </si>
  <si>
    <t>SOFTWARE</t>
  </si>
  <si>
    <t>Software</t>
  </si>
  <si>
    <t>2025 Leftover - New Customer Segmentation / C360 Evolutions</t>
  </si>
  <si>
    <t xml:space="preserve"> Medium  </t>
  </si>
  <si>
    <t>1/1/2027</t>
  </si>
  <si>
    <t>CIP</t>
  </si>
  <si>
    <t>YES</t>
  </si>
  <si>
    <t>604</t>
  </si>
  <si>
    <t>[On-Board] - [iTM] - small maintenance projects</t>
  </si>
  <si>
    <t>[On-board] - Unification of TACT and iTM (hardware + software) TBC</t>
  </si>
  <si>
    <t>[Operations/Stations] - Customer Information - CIS data consolidations (train, delay, queuing time...)</t>
  </si>
  <si>
    <t>[Operations/Stations] - unification of Self Service within DPAX</t>
  </si>
  <si>
    <t>[Operations] - Equipment Change - automation of equipment changes (BA time + dev) - PRJ: 1853</t>
  </si>
  <si>
    <t>602</t>
  </si>
  <si>
    <t>[RTSP] Developments/Enhancements</t>
  </si>
  <si>
    <t>[SIMPLIFY] Quintic Planning and maintenance version upgrade</t>
  </si>
  <si>
    <t>[Stations/Operations] - DATA - Station data in Data hub + ML based forecast reports for all stations</t>
  </si>
  <si>
    <t>[Stations/Operations] - New Start On Time (TBC) - replacement with further integration for stations for x-channel</t>
  </si>
  <si>
    <t>[Stations] - CAPACITY - Check-in position replaced by Mobile Check-in</t>
  </si>
  <si>
    <t>[Stations] - CAPACITY - SPARK - improvements</t>
  </si>
  <si>
    <t>[Stations] - CAPACITY - SST refit POC</t>
  </si>
  <si>
    <t>[Stations] - CAPACITY Voyager on Mobile (inc 20% of contingency for PM) - TBC with David</t>
  </si>
  <si>
    <t>[Stations] - CIS - Integration with SNCF G&amp;C systems (connection to LIVE)</t>
  </si>
  <si>
    <t>[Stations] - CX - BORDERS - station way finder for border control</t>
  </si>
  <si>
    <t>[Stations] - CX - CIS - CIS refit for SPI (Start) - hardware + software</t>
  </si>
  <si>
    <t>[Stations] - CX - CIS - Mobile Screen refit</t>
  </si>
  <si>
    <t>[Stations] - CX - COMMS - auto-communication to for customer Station journey preparations (pre-travel, auto-reaccommodations, smart queuing, ...)</t>
  </si>
  <si>
    <t>PLANT AND MACHINERY</t>
  </si>
  <si>
    <t>It Equipments</t>
  </si>
  <si>
    <t>Plant &amp; Machinery - IT equipment</t>
  </si>
  <si>
    <t>[Stations] - CX - Display - queuing time display on mobile screen or Mobile app</t>
  </si>
  <si>
    <t>601</t>
  </si>
  <si>
    <t>Android / IOS Consolidation</t>
  </si>
  <si>
    <t>API into MRI Evolution</t>
  </si>
  <si>
    <t>AssessTech - Onboarding Ops continental teams proj (Phase 2)</t>
  </si>
  <si>
    <t>Cloud PKI</t>
  </si>
  <si>
    <t>Commercial - Joint Customer Database</t>
  </si>
  <si>
    <t xml:space="preserve"> High  </t>
  </si>
  <si>
    <t>Consolidated solution for Cloud Back up &amp; DR</t>
  </si>
  <si>
    <t>Continental Fleet PIS Enhancements</t>
  </si>
  <si>
    <t xml:space="preserve">Contractor E2M Project -  BA / PM </t>
  </si>
  <si>
    <t>Contractor Wifi PoC Project TECH PM Vrushik Patel</t>
  </si>
  <si>
    <t>600</t>
  </si>
  <si>
    <t xml:space="preserve">Cost savings Target </t>
  </si>
  <si>
    <t>Customer Information System refresh</t>
  </si>
  <si>
    <t>DataHub Platform Roadmap</t>
  </si>
  <si>
    <t>Datalakehouse Platform Roadmap</t>
  </si>
  <si>
    <t>Demand mgt, reporting and roadmap tool for IS OPS</t>
  </si>
  <si>
    <t>DevOps pipeline and containers</t>
  </si>
  <si>
    <t>1780_Digital Roadmap 2024 - Digital Product</t>
  </si>
  <si>
    <t>605</t>
  </si>
  <si>
    <t>Digital dev road map 2026</t>
  </si>
  <si>
    <t>Disaster recovery improvements</t>
  </si>
  <si>
    <t>E320 Onboard 5G WIFI Deployment Project - Full Fleet</t>
  </si>
  <si>
    <t>Enablers Evolutions</t>
  </si>
  <si>
    <t>Finance &amp; HR - ERP Compatibility Layer</t>
  </si>
  <si>
    <t>Hardware BAU</t>
  </si>
  <si>
    <t>Home drives (H) to OneDrive</t>
  </si>
  <si>
    <t>Innovation Budget</t>
  </si>
  <si>
    <t>ISLOG Replacement</t>
  </si>
  <si>
    <t>Lounge Enhancements/Customer Exerience (Wi-Fi / IPTV / Portal)</t>
  </si>
  <si>
    <t>Loyalty/Stations - lounge entry solution POC (based some recognition technical solution)</t>
  </si>
  <si>
    <t>Migration of  Performance Applications from SalesForce</t>
  </si>
  <si>
    <t xml:space="preserve">NEW TMI App  - Security &amp; move into Eil Enterprise </t>
  </si>
  <si>
    <t>OASSIS PowerBI Reporting Layer</t>
  </si>
  <si>
    <t>OCC Disaster Recovery</t>
  </si>
  <si>
    <t>1845_Ops Masterplan</t>
  </si>
  <si>
    <t>OMP 2026 (per gateway review)</t>
  </si>
  <si>
    <t>12/31/2026</t>
  </si>
  <si>
    <t>Operation Project Manager - Paul broomhead</t>
  </si>
  <si>
    <t>Operations - Analytics Continous Improvement Projects   (non-OMP)</t>
  </si>
  <si>
    <t xml:space="preserve">Other Projects </t>
  </si>
  <si>
    <t>Paris</t>
  </si>
  <si>
    <t xml:space="preserve">Passwordless </t>
  </si>
  <si>
    <t>Polaris Middleware Decoupling</t>
  </si>
  <si>
    <t>Polaris Roadmap</t>
  </si>
  <si>
    <t>Proactive laptop refresh &amp; consolidation</t>
  </si>
  <si>
    <t>RAC Digitalisation du process de mise à jour</t>
  </si>
  <si>
    <t>RM360 - general improvement to match new need followng migration to new RM tool</t>
  </si>
  <si>
    <t>Rolling Stock - Analytics Projects</t>
  </si>
  <si>
    <t>Rolling Stock - OpsAPI Refactoring &amp; DataHub Integration (Including NIS2 Activity)</t>
  </si>
  <si>
    <t>RTSP Developments/Enhancements</t>
  </si>
  <si>
    <t>SD-WAN / SASE / Consolidate VPN</t>
  </si>
  <si>
    <t>SMART Replatforming</t>
  </si>
  <si>
    <t>SPI Phase 2</t>
  </si>
  <si>
    <t>Station Wi-Fi (for mobility)</t>
  </si>
  <si>
    <t>Stations - Analytics Projects</t>
  </si>
  <si>
    <t>Stations improvements</t>
  </si>
  <si>
    <t>Teams Rooms Replacements</t>
  </si>
  <si>
    <t>Terminal Control Refurb</t>
  </si>
  <si>
    <t>Thapaas Evolutions</t>
  </si>
  <si>
    <t>UPS Upgrades + Power</t>
  </si>
  <si>
    <t>Windows 2016 Sever replacement</t>
  </si>
  <si>
    <t>Notes:</t>
  </si>
  <si>
    <t>Nov 20, 2025 9:07:58 AM GMT</t>
  </si>
  <si>
    <t>Confidential Information. Do not distribute without permission.</t>
  </si>
  <si>
    <t>Compte_Général Code</t>
  </si>
  <si>
    <t>Type de tiers Code</t>
  </si>
  <si>
    <t>Type de tiers Name</t>
  </si>
  <si>
    <t>Projet Code</t>
  </si>
  <si>
    <t xml:space="preserve">Total </t>
  </si>
  <si>
    <t>0560_DSI PM</t>
  </si>
  <si>
    <t>GENERAL</t>
  </si>
  <si>
    <t>Global Learning</t>
  </si>
  <si>
    <t>Teambuildings</t>
  </si>
  <si>
    <t>Travel costs (train, bus…)</t>
  </si>
  <si>
    <t>Travel costs (taxis)</t>
  </si>
  <si>
    <t>Travel costs (restaurants)</t>
  </si>
  <si>
    <t>0530_DSI OAIN</t>
  </si>
  <si>
    <t>COLT (TBC - customer service numbers?)</t>
  </si>
  <si>
    <t>Eurofiber Dark fibre between HQ and OCC</t>
  </si>
  <si>
    <t>HitRail, Hetmes/Tigre connection</t>
  </si>
  <si>
    <t>Telekom Deutschland German Customer Service Freecall number</t>
  </si>
  <si>
    <t>SASE Replacement for Proximus MPLS</t>
  </si>
  <si>
    <t>French crew mobile (SNCF contract)</t>
  </si>
  <si>
    <t>ORANGE (TM, TD &amp; Office mobiles)</t>
  </si>
  <si>
    <t>SFR Mobile France leagcy connections for SNCF transferees</t>
  </si>
  <si>
    <t>Licences F5, firewall services</t>
  </si>
  <si>
    <t>Checkpoint firewall maintenance</t>
  </si>
  <si>
    <t>OCC telephone support</t>
  </si>
  <si>
    <t>Paris Internet connecting (COLT reseller)</t>
  </si>
  <si>
    <t>PROXIMUS (MPLS and Internet)</t>
  </si>
  <si>
    <t xml:space="preserve">Visual Audio </t>
  </si>
  <si>
    <t>Stations</t>
  </si>
  <si>
    <t>ZEBRIX Digital Signage Screens</t>
  </si>
  <si>
    <t>CreativeOne (Door access video phone Brussels)</t>
  </si>
  <si>
    <t>Smart phones</t>
  </si>
  <si>
    <t>E-FOTA, Samsung sw/fw deployment</t>
  </si>
  <si>
    <t>AirWatch Mobile device management</t>
  </si>
  <si>
    <t>ITMS / Alteris</t>
  </si>
  <si>
    <t>Licences additionnelles</t>
  </si>
  <si>
    <t>GCS avance copie</t>
  </si>
  <si>
    <t>Office365, end user licences</t>
  </si>
  <si>
    <t>Mimecast email security - THIF</t>
  </si>
  <si>
    <t>Symantec Endpoint</t>
  </si>
  <si>
    <t>Sentinell ONE</t>
  </si>
  <si>
    <t>Azure, Microsoft cloud hosting</t>
  </si>
  <si>
    <t>Projected Azure BAU reductions (250K SVOT/SVOC decom shown in D&amp;M budget)</t>
  </si>
  <si>
    <t>Azure, Microsoft cloud hosting (New Projects: Eroster 100K, Exit checks 40K, JoinDas 40K, ARC patching 25K: )</t>
  </si>
  <si>
    <t>Terraform - Hashicorp</t>
  </si>
  <si>
    <t>Digital Certificates</t>
  </si>
  <si>
    <t>Github - CCOE, code repository</t>
  </si>
  <si>
    <t>Oracle DB for Totem+</t>
  </si>
  <si>
    <t>NetApp Storage</t>
  </si>
  <si>
    <t>Managed Service Provider - Arc/Rcs</t>
  </si>
  <si>
    <t>Renfort Infra  - Jonathan Jamart</t>
  </si>
  <si>
    <t xml:space="preserve">Renfort infra - Thomas Vitali </t>
  </si>
  <si>
    <t>0520_DSI OSS</t>
  </si>
  <si>
    <t>[ICOMERA] Wifi Licenses &amp; Services (2026)</t>
  </si>
  <si>
    <t>[ICOMERA] Wifi Mobile data (2026)</t>
  </si>
  <si>
    <t>[ICOMERA] Icoshape Traffic Shaping  Activation</t>
  </si>
  <si>
    <t>SEMES (SNCB) - description à finaliser</t>
  </si>
  <si>
    <t>ATESS - sécurité embarquée - à bord des rames</t>
  </si>
  <si>
    <t>Qualishare</t>
  </si>
  <si>
    <t>RNE</t>
  </si>
  <si>
    <t>[MASTERIS] TIGRE, Base Sillon, …</t>
  </si>
  <si>
    <t>GMAO</t>
  </si>
  <si>
    <t>[JLL] - Support annuel 2026</t>
  </si>
  <si>
    <t>[Totem+ Mantra] Support et maintenance 2026</t>
  </si>
  <si>
    <t>[Totem+ Mantra] Astreintes 2026</t>
  </si>
  <si>
    <t>[SSG] Support TAM TAM 2026 (fixed)</t>
  </si>
  <si>
    <t>[SSG] Support TAM TAM 2026 (variable part)</t>
  </si>
  <si>
    <t>[TAM TAM] - Support and maintenance 2026</t>
  </si>
  <si>
    <t>[SIMPLIFY] E ROSTER / TAM TAM - Technical evolutions (archive, hosting…)</t>
  </si>
  <si>
    <t>[DocThalys\ValidMe + TCS] - Support 2026</t>
  </si>
  <si>
    <t>[Itersys] - Evolution SI PROD 2026</t>
  </si>
  <si>
    <t>[Itersys] - Support SI PROD 2026</t>
  </si>
  <si>
    <t>[Teams+] Corrective Maintenance / Release Management 2026</t>
  </si>
  <si>
    <t>[Abdelilah Skouri] Pdct Ownr &amp; PM - 2026</t>
  </si>
  <si>
    <t>[SIMPLIFY] [IS OPS] - DECOMISSIONNING PM (1 ETP) - 2026</t>
  </si>
  <si>
    <t>NIS2</t>
  </si>
  <si>
    <t>[Totem+Mantra] Support et maintenance 2025</t>
  </si>
  <si>
    <t>Netsize</t>
  </si>
  <si>
    <t>[GoRail] Licence 2025</t>
  </si>
  <si>
    <t>0540_DSI ECOM</t>
  </si>
  <si>
    <t>SNCF-GLI76</t>
  </si>
  <si>
    <t>[On-board] - TACT hosting and application maintenance</t>
  </si>
  <si>
    <t>[On-board] - TACT additional 150 MPOS (added in June 2024)</t>
  </si>
  <si>
    <t>[On-Board] - SoftPOS solution (for 400 TMs and 6k transaction)</t>
  </si>
  <si>
    <t>0535_DSI PERFSEC&amp;ARC</t>
  </si>
  <si>
    <t>BizzDesign - Enterprise Architecture modeling software</t>
  </si>
  <si>
    <t>Darktrace - Network Behaviour Monitoring tool  (Year 3 of 3)</t>
  </si>
  <si>
    <t>Computer Emergency Response Team: Assistance, Red team exercises</t>
  </si>
  <si>
    <t>Security operations orchestration/automation</t>
  </si>
  <si>
    <t>Cybersecurity operation specialist #2</t>
  </si>
  <si>
    <t>Cybersecurity Awareness</t>
  </si>
  <si>
    <t>NIS2 Compliance project</t>
  </si>
  <si>
    <t xml:space="preserve">Travel Costs </t>
  </si>
  <si>
    <t>Internship 3 months</t>
  </si>
  <si>
    <t>Training THIF resources (3 pers*5days)</t>
  </si>
  <si>
    <t>Teambuilding (combined THIF/EIL)</t>
  </si>
  <si>
    <t>0580_DSI_CORP,FIN&amp;HR</t>
  </si>
  <si>
    <t>Genetec development for extended use @ THIF sites</t>
  </si>
  <si>
    <t>Edicom - E-Invoicing tool - Licence &amp; Maintenance</t>
  </si>
  <si>
    <t>Navision - Maintenance &amp; Support</t>
  </si>
  <si>
    <t>SAP Concur (Expenses) - Maintenance &amp; Support</t>
  </si>
  <si>
    <t>Workday Adaptive (Financial Planning) - Group Version</t>
  </si>
  <si>
    <t>Payroll - external payroll re-engineering</t>
  </si>
  <si>
    <t>SAP SuccessFactors (HR)</t>
  </si>
  <si>
    <t>0570_DSI DAT</t>
  </si>
  <si>
    <t>Postman</t>
  </si>
  <si>
    <t>Aptakube</t>
  </si>
  <si>
    <t>Docker</t>
  </si>
  <si>
    <t>EventCatalog</t>
  </si>
  <si>
    <t>Gravitee Licence</t>
  </si>
  <si>
    <t>Aikido</t>
  </si>
  <si>
    <t>Pulumi</t>
  </si>
  <si>
    <t>Data Architect</t>
  </si>
  <si>
    <t>Middleware Architect</t>
  </si>
  <si>
    <t>Lead Business Analyst</t>
  </si>
  <si>
    <t>SNCB Platforms Number Interface</t>
  </si>
  <si>
    <t>RNE TIS</t>
  </si>
  <si>
    <t>Other Infrastructure Manager Data Interfaces</t>
  </si>
  <si>
    <t>Data Systems Incidents &amp; Resolution</t>
  </si>
  <si>
    <t xml:space="preserve">EIL </t>
  </si>
  <si>
    <t>Other Middleware Systems Incidents &amp; Resolutions</t>
  </si>
  <si>
    <t xml:space="preserve">Boomi </t>
  </si>
  <si>
    <t>Maint</t>
  </si>
  <si>
    <t>Thapaas Maintenance &amp; Incident Resolution</t>
  </si>
  <si>
    <t xml:space="preserve">Licences </t>
  </si>
  <si>
    <t>Boomi Mainteance &amp; Evolutions</t>
  </si>
  <si>
    <t>On Call Support</t>
  </si>
  <si>
    <t>Contengency for APS</t>
  </si>
  <si>
    <t>OMP</t>
  </si>
  <si>
    <t>APS IS team and services for implementation</t>
  </si>
  <si>
    <t>Requirements &amp; Business Case - BA</t>
  </si>
  <si>
    <t>APS - DATAMIDDLEWARE</t>
  </si>
  <si>
    <t xml:space="preserve">Mule </t>
  </si>
  <si>
    <t>IS OPS Decommissionnng Resource</t>
  </si>
  <si>
    <t>SUPERVISION - PRODUCT ANALYTICS SUPPORT</t>
  </si>
  <si>
    <t>SUPERVISION - REGULARITY REPORTING - Change</t>
  </si>
  <si>
    <t>SUPERVISION - REFERENTIAL System updates for Connections</t>
  </si>
  <si>
    <t>SUPERVISION - REFERENTIAL Team</t>
  </si>
  <si>
    <t>IS Data objects design</t>
  </si>
  <si>
    <t>Account</t>
  </si>
  <si>
    <t>MontantCharge</t>
  </si>
  <si>
    <t>0080_DISTRI_DAF</t>
  </si>
  <si>
    <t>Sqills</t>
  </si>
  <si>
    <t>PAO carrier</t>
  </si>
  <si>
    <t>AWS</t>
  </si>
  <si>
    <t xml:space="preserve">Other software tools </t>
  </si>
  <si>
    <t xml:space="preserve">Owner </t>
  </si>
  <si>
    <t xml:space="preserve">Entity </t>
  </si>
  <si>
    <t xml:space="preserve">Function </t>
  </si>
  <si>
    <t xml:space="preserve">Description </t>
  </si>
  <si>
    <t xml:space="preserve">Amount </t>
  </si>
  <si>
    <t xml:space="preserve">Funtion </t>
  </si>
  <si>
    <t>Total Amount</t>
  </si>
  <si>
    <t>Paolo Rodeghiero</t>
  </si>
  <si>
    <t xml:space="preserve">Data Middleware </t>
  </si>
  <si>
    <t>2024 Leftover - Data Hub extensions for Stations &amp; OnBoard tools (multiple projects)</t>
  </si>
  <si>
    <t>IS sales systems</t>
  </si>
  <si>
    <t>2024 Leftover - Fraud Detection - AI Integration</t>
  </si>
  <si>
    <t>Grand Total</t>
  </si>
  <si>
    <t>Valerie Veyt</t>
  </si>
  <si>
    <t xml:space="preserve">IS Operations </t>
  </si>
  <si>
    <t>[ICOMERA] Router Upgrade x61 to 7</t>
  </si>
  <si>
    <t>[Gauthier De Lavenne] IS Supervision manager 2026</t>
  </si>
  <si>
    <t>[Samy Benhalla] BA/PM - Fiche Train 2026</t>
  </si>
  <si>
    <t>Enchainements</t>
  </si>
  <si>
    <t>RNE migration</t>
  </si>
  <si>
    <t>TOTEM+ Evolutions data quality</t>
  </si>
  <si>
    <t>INTEGRATION eROSTER/TAMTAM avec PRISM ET ANTILOPE</t>
  </si>
  <si>
    <t>START ON TIME Deployment to EUROBAHN TD</t>
  </si>
  <si>
    <t>FICHE TRAIN Harmonisation (déploiement LoRo)</t>
  </si>
  <si>
    <t>AVIS SECURITE Digitalisation INFRABEL - FICHE TRAIN?</t>
  </si>
  <si>
    <t>COMET improvements (infra and data management)</t>
  </si>
  <si>
    <t>[SIMPLIFY] [PROVIDERS] - Needed evolutions for decomissionning strat - 2026</t>
  </si>
  <si>
    <t>AVIS SECURITE Digitalisation autres réseaux</t>
  </si>
  <si>
    <t>DocThalys/ValidMe replacement</t>
  </si>
  <si>
    <t>Vending Machines Connectivity Continental Fleet</t>
  </si>
  <si>
    <t>Euromap refactoring (delay management)</t>
  </si>
  <si>
    <t>[SIMPLIFY] Itersys handover</t>
  </si>
  <si>
    <t>SOPRANO Deployment to TD</t>
  </si>
  <si>
    <t>Ben Gbeve</t>
  </si>
  <si>
    <t xml:space="preserve">IS Infrastructure </t>
  </si>
  <si>
    <t>Wi-Fi Enhancements  (Refresh old kit, secure guest &amp; Corp Wi-Fi)</t>
  </si>
  <si>
    <t>Firewalls (Checkpoint tactical for VPN)</t>
  </si>
  <si>
    <t>Continental LAN Upgrade</t>
  </si>
  <si>
    <t>Hyper-V continue and ESX upgrade, move to cloud</t>
  </si>
  <si>
    <t>IS customer systems</t>
  </si>
  <si>
    <t>Linux improvement, Patching &amp;  Identity (RADIUS)</t>
  </si>
  <si>
    <t>Auromated patching (ARC)</t>
  </si>
  <si>
    <t>Simplify</t>
  </si>
  <si>
    <t>SIMPLIFY SAVINGS</t>
  </si>
  <si>
    <t>Projected Azure BAU reductions (FinOPS Efforts)</t>
  </si>
  <si>
    <t>Managed Service Provider - Core Service Charge (BAU &amp; Tx) Reduction</t>
  </si>
  <si>
    <t>Support in Enterprise Architecture modeling and governance</t>
  </si>
  <si>
    <t>0580</t>
  </si>
  <si>
    <t>1859_Simplify</t>
  </si>
  <si>
    <t>TP01 Contracts - consolidation and renegotiation</t>
  </si>
  <si>
    <t>Forecast 2025 &amp; Budget 2026</t>
  </si>
  <si>
    <t>TP02 Infra - optimisation of cloud utilisation</t>
  </si>
  <si>
    <t>TP07 Automation</t>
  </si>
  <si>
    <t>TP08 Decomission or consolidation</t>
  </si>
  <si>
    <t>TP09 Other recurring costs</t>
  </si>
  <si>
    <t>Laurent Bellan</t>
  </si>
  <si>
    <t>1865_Simplify Savings</t>
  </si>
  <si>
    <t>302001 - Social charges - UK</t>
  </si>
  <si>
    <t>UK Social Charges Simplify Overlay</t>
  </si>
  <si>
    <t>Disconnecting in 2025, paging service fo press office</t>
  </si>
  <si>
    <t>PAGE ONE COMMUNICATIONS LTD</t>
  </si>
  <si>
    <t>Chomebits replaced by ScreenCloud</t>
  </si>
  <si>
    <t>Cost monitring service (depricated after Coforge exit)</t>
  </si>
  <si>
    <t>Now covered under Lumen</t>
  </si>
  <si>
    <t>CENTURYLINK COMMUNICATIONS UK LIMITED</t>
  </si>
  <si>
    <t xml:space="preserve">Projected AWS BAU reductions (additional 8% SNCF) discount </t>
  </si>
  <si>
    <t>Projected AWS BAU reductions (FinOPS Efforts)</t>
  </si>
  <si>
    <t>Mael Delmas</t>
  </si>
  <si>
    <t>SIMPLIFY (27% in 2026)</t>
  </si>
  <si>
    <t xml:space="preserve">SIMPLIFY on Lincence cost for Loyalty </t>
  </si>
  <si>
    <t>SIMPPLIFY (16% from contract renegictiation)</t>
  </si>
  <si>
    <t>SIMPLIFY - DATA forecast model</t>
  </si>
  <si>
    <t>SIMPLIFY - Outsight AI (Flow forecast)</t>
  </si>
  <si>
    <t>Mid-level SF admin - removed</t>
  </si>
  <si>
    <t>Roger Plummer</t>
  </si>
  <si>
    <t>607</t>
  </si>
  <si>
    <t xml:space="preserve">Systems Support </t>
  </si>
  <si>
    <t xml:space="preserve">THIF </t>
  </si>
  <si>
    <t>Blanche Derkenne</t>
  </si>
  <si>
    <t>Olivier Lepret</t>
  </si>
  <si>
    <t>decommissioning of SVOC</t>
  </si>
  <si>
    <t xml:space="preserve">Simplify Savings </t>
  </si>
  <si>
    <t>Reforecast 2025 6+6</t>
  </si>
  <si>
    <t>Remove contractor</t>
  </si>
  <si>
    <t>Telecom cost</t>
  </si>
  <si>
    <t>Reducing costs in Cognitco/Contentful/Kafka</t>
  </si>
  <si>
    <t>301001 - Salaries - UK</t>
  </si>
  <si>
    <t>Additional Q1 Pay Rise</t>
  </si>
  <si>
    <t>Reforecast 2025</t>
  </si>
  <si>
    <t>608_Data &amp; Middleware_EIL_GBP</t>
  </si>
  <si>
    <t>TP06 Support running cost</t>
  </si>
  <si>
    <t>Microsoft</t>
  </si>
  <si>
    <t>CIT membership - Discounted membership now ended back to CHF73k</t>
  </si>
  <si>
    <t>H2 Cost savings target</t>
  </si>
  <si>
    <t>Data security</t>
  </si>
  <si>
    <t>Significant increase (users gone up, Support, Copilot). COnfirm with Nick PO. PO4043310 £509735.37 covers 1/07/24 - 30/06/25</t>
  </si>
  <si>
    <t>As per new contract</t>
  </si>
  <si>
    <t>As per new contract, budget included in France SAS</t>
  </si>
  <si>
    <t>Belgium fixline</t>
  </si>
  <si>
    <t>Energy SIMS</t>
  </si>
  <si>
    <t>Why zeros; Mobile phones for France via SNCF</t>
  </si>
  <si>
    <t>Linked to CAPEX Projects in 2024</t>
  </si>
  <si>
    <t>Hexaware for 2025</t>
  </si>
  <si>
    <t>Internet Link and wifi in Brussels Business lounge</t>
  </si>
  <si>
    <t>VPN access to railway mainfram</t>
  </si>
  <si>
    <t>inc adobe (breakout on its own) anything over 10K break out</t>
  </si>
  <si>
    <t>Why zero</t>
  </si>
  <si>
    <t>Potential to remove if remove Etrali (T&amp;M)</t>
  </si>
  <si>
    <t>CSD Jasper</t>
  </si>
  <si>
    <t>ISG (£265K) for 2024</t>
  </si>
  <si>
    <t xml:space="preserve">SignageLive x36 licences £7020 for 2014; PO4041427; £1950 for extra 10 licences; </t>
  </si>
  <si>
    <t>T&amp;M maintenance</t>
  </si>
  <si>
    <t>Palo Alto, now with Bytes (BG addedd cost for Panorama management)</t>
  </si>
  <si>
    <t>SOFTCAT PLC</t>
  </si>
  <si>
    <t>Secure Power Limited</t>
  </si>
  <si>
    <t>annual cost £8004 in 2024</t>
  </si>
  <si>
    <t>From new contract figures</t>
  </si>
  <si>
    <t>Aruba and Clear Pass. Will be replaced by Meraki and Cisco ISE</t>
  </si>
  <si>
    <t>QOLCOM LIMITED</t>
  </si>
  <si>
    <t>IER Bollore Group printer support (PAYG / T&amp;M)</t>
  </si>
  <si>
    <t>average £110/month</t>
  </si>
  <si>
    <t>System being upgraded to cloud solution 45K</t>
  </si>
  <si>
    <t xml:space="preserve">refresh -  old devices </t>
  </si>
  <si>
    <t>Meraki</t>
  </si>
  <si>
    <t>Review India and Belgium potential saving £10k/month</t>
  </si>
  <si>
    <t>Stations added new screens £90K, CIS &amp; Cedar Advertising screens</t>
  </si>
  <si>
    <t>Service desk phone number</t>
  </si>
  <si>
    <t xml:space="preserve">Data Networking (LAN/WAN/WiFI) &amp; Unifed Comms - Siemens Phone system replacement </t>
  </si>
  <si>
    <t>Digital Workplace &amp; End User Computing - Azure HCI &amp; consolidated VPN</t>
  </si>
  <si>
    <t>1790_EG Service Desk Unification</t>
  </si>
  <si>
    <t>Help Desk  - Hexaware - transition &amp; transformation</t>
  </si>
  <si>
    <t xml:space="preserve">Hexaware </t>
  </si>
  <si>
    <t>Help Desk  - Hexaware Arc/Rcs</t>
  </si>
  <si>
    <t>Help Desk  - Hexaware Service / Amsterdam</t>
  </si>
  <si>
    <t>Hexaware</t>
  </si>
  <si>
    <t>Help Desk  - Hexaware Service charges</t>
  </si>
  <si>
    <t>Help Desk  - Hexaware TUPE adjustment</t>
  </si>
  <si>
    <t>Hexaware for 2025 (Rupa SOW and non-BAU for 2025)</t>
  </si>
  <si>
    <t>For signage</t>
  </si>
  <si>
    <t>Why zeros</t>
  </si>
  <si>
    <t>Ashford phone line</t>
  </si>
  <si>
    <t>Lucid chart, now go direct, not via Bytes</t>
  </si>
  <si>
    <t>BYTES SOFTWARE SERVICES LIMITED---Now direct with Lucid Chart</t>
  </si>
  <si>
    <t>MS Non-cloud Agreement</t>
  </si>
  <si>
    <t>BYTES SOFTWARE SERVICES LIMITED--- MS On prem</t>
  </si>
  <si>
    <t>Druva back up solution</t>
  </si>
  <si>
    <t>BYTES SOFTWARE SERVICES LIMITED- Driva Backup solution</t>
  </si>
  <si>
    <t xml:space="preserve">inc. mimecast (breakout on its own), </t>
  </si>
  <si>
    <t>BYTES SOFTWARE SERVICES LIMITED - Mimecast etc</t>
  </si>
  <si>
    <t>BT increasing cost to force cust off services.find new umber.</t>
  </si>
  <si>
    <t>Juniper. Plan to replace this service with Meraki - cost may increase</t>
  </si>
  <si>
    <t>AXIANS</t>
  </si>
  <si>
    <t>Peter Quinn's payement devices x 95 PED</t>
  </si>
  <si>
    <t>Growth for new apps deployed by others and consumption increase</t>
  </si>
  <si>
    <t>No transctions since 2023; need to check with Janna whether this is still needed</t>
  </si>
  <si>
    <t>Secutity SW (SentinelOne)</t>
  </si>
  <si>
    <t>BYTES SOFTWARE SERVICES LIMITED- Sentinel One</t>
  </si>
  <si>
    <t>AWS (860K)</t>
  </si>
  <si>
    <t>VESPA cost reclass</t>
  </si>
  <si>
    <t>VESPA</t>
  </si>
  <si>
    <t>SPID</t>
  </si>
  <si>
    <t xml:space="preserve">SPID </t>
  </si>
  <si>
    <t>E57_SNCF FC - Matériel</t>
  </si>
  <si>
    <t>TIGRE</t>
  </si>
  <si>
    <t>SNCF - FC - MATERIEL</t>
  </si>
  <si>
    <t>eRoster and Maintenance Planning Quintiq support</t>
  </si>
  <si>
    <t>ORDINA BELGIUM NV</t>
  </si>
  <si>
    <t>1165_Atess</t>
  </si>
  <si>
    <t>Atess black box for trains license and support</t>
  </si>
  <si>
    <t>FAIVELEY TRANSPORT TAMWORTH LTD</t>
  </si>
  <si>
    <t>eRoster+</t>
  </si>
  <si>
    <t>Budget for PIS content update  PIS content management</t>
  </si>
  <si>
    <t>WABTEC</t>
  </si>
  <si>
    <t>e320 PIS App Support</t>
  </si>
  <si>
    <t>Siemens PIS &amp; FMS Connectiveity Support</t>
  </si>
  <si>
    <t>RTSP</t>
  </si>
  <si>
    <t>Fleet wifi data</t>
  </si>
  <si>
    <t>MRI Planet FM</t>
  </si>
  <si>
    <t>MRI Planet</t>
  </si>
  <si>
    <t>1182_Metafour</t>
  </si>
  <si>
    <t>Quintiq Crew and Fleet Planning license and support</t>
  </si>
  <si>
    <t>Quintiq hosting charges</t>
  </si>
  <si>
    <t>AXWAY U.K.LTD</t>
  </si>
  <si>
    <t>1207_Cognisco</t>
  </si>
  <si>
    <t>Compentency Management Licenses and Support</t>
  </si>
  <si>
    <t>Aditional contractor</t>
  </si>
  <si>
    <t>XOVIS AG</t>
  </si>
  <si>
    <t>Worldline FRANCE</t>
  </si>
  <si>
    <t>Saleforce development support - 125hrs/months for support and maintenance</t>
  </si>
  <si>
    <t>VRP CONSULTING LIMITED</t>
  </si>
  <si>
    <t>1707_Salesforce development</t>
  </si>
  <si>
    <t>SKO SYSTEMS LIMITED</t>
  </si>
  <si>
    <t>1761_SaS PARAFE CEM 4.0</t>
  </si>
  <si>
    <t>SaS Parafe</t>
  </si>
  <si>
    <t>[Contact Centre] - Salesforce - Einstein Service Cloud - for 150 users from mid '25 (will replace Language IO)</t>
  </si>
  <si>
    <t>SALESFORCE UK LIMITED</t>
  </si>
  <si>
    <t>Salesforce - Data Cloud - licence</t>
  </si>
  <si>
    <t>Salesforce Loyalty Platform licence</t>
  </si>
  <si>
    <t>Salesforce Marketing Cloud - SMS messages, Email bundle, License cost</t>
  </si>
  <si>
    <t>1153_Intelligence Customer Management</t>
  </si>
  <si>
    <t>SALESFORCE UK LIMITED - Service/SalesClould: Unlimited License, Community Licenses, Data Storage, CDC + tehcnical interfaces</t>
  </si>
  <si>
    <t>RM - additional effort following move to CAZYN</t>
  </si>
  <si>
    <t>RM</t>
  </si>
  <si>
    <t>OwnBack-up - data seeding  (2025 budget)</t>
  </si>
  <si>
    <t>OWNBACKUP UK LIMITED</t>
  </si>
  <si>
    <t>OwnBack-up - solution for archiving (should reduce code of SF license)</t>
  </si>
  <si>
    <t>OwnBack-up - solution for Back-up (for process and data back-up policy)</t>
  </si>
  <si>
    <t>[Stations] - Flow tracking system (amsterdam)</t>
  </si>
  <si>
    <t>Other App Dev Support</t>
  </si>
  <si>
    <t>[Stations] - UK exit checks</t>
  </si>
  <si>
    <t>Project - Marketing - Personalization of Marketing Cloud</t>
  </si>
  <si>
    <t>Marketing</t>
  </si>
  <si>
    <t>Loyalty</t>
  </si>
  <si>
    <t>IER SAS</t>
  </si>
  <si>
    <t>ICLP PLC/Collinsons: Application maintenance for Loyalty</t>
  </si>
  <si>
    <t>ICLP PLC/Collinsons</t>
  </si>
  <si>
    <t>[Stations] - EDCS hosting (in E&amp; AWS Cloud)</t>
  </si>
  <si>
    <t>Contractors (IS sales)</t>
  </si>
  <si>
    <t xml:space="preserve">Project - [Contact Centre] - back-log tackling - package 2 (from 2024) - "Automate commercial gestures &amp; compensations" </t>
  </si>
  <si>
    <t>Contact Centre</t>
  </si>
  <si>
    <t>Project - Contact Centre - prj 3- Use AI to reduce AHT (advisor handling time)</t>
  </si>
  <si>
    <t>Project - Contact Centre - prj 5 - Improve SF user friendliness and advisor efficiency (milestones, layout reworks…)</t>
  </si>
  <si>
    <t>Project - Contact Centre - prj 6 - Gamification of the training, Knowledge reco…</t>
  </si>
  <si>
    <t>Project - Technical - Data Cloud set-up (enable reegnineering of data integration between SF and E* DWH/Lake).</t>
  </si>
  <si>
    <t xml:space="preserve">Project - Technical - Einstein service Cloud Set-up (Gen AI). Prompt pre-written. BA analysis,architect, dev, QA… </t>
  </si>
  <si>
    <t>Project - [Stations] - DATA - forecast modeling based on AI techniques (ML) .Based on Licensed products</t>
  </si>
  <si>
    <t>Project - Technical - technical debt tackling phase 2 (clean further data model improvement, performance enhancement …)</t>
  </si>
  <si>
    <t>Audits: ISO27001</t>
  </si>
  <si>
    <t>Continous Pentesting</t>
  </si>
  <si>
    <t>Cybersecurity exercise/Awareness</t>
  </si>
  <si>
    <t>Cybersecurity systems expertise (SASE, Intune, ActiveDirectory … )</t>
  </si>
  <si>
    <t>Hotels + Team dinners + Events</t>
  </si>
  <si>
    <t>Privileged Acount Management Solution</t>
  </si>
  <si>
    <t>Realtime Threat hunting (Watchtower)</t>
  </si>
  <si>
    <t>Small Software, Miscaleneous</t>
  </si>
  <si>
    <t>User password vaulting</t>
  </si>
  <si>
    <t>Vulnerability management tool</t>
  </si>
  <si>
    <t>Transformation project -Box to Sharepoint</t>
  </si>
  <si>
    <t xml:space="preserve">Transformation project </t>
  </si>
  <si>
    <t>Transformation project -eInvoicing ISA Compliance</t>
  </si>
  <si>
    <t>Transformation project -Employee Experience Platform</t>
  </si>
  <si>
    <t>Kyriba Treasury software licenses</t>
  </si>
  <si>
    <t>KYRIBA UK LIMITED</t>
  </si>
  <si>
    <t>Blackline license costs</t>
  </si>
  <si>
    <t>BLACKLINE SYSTEMS INC</t>
  </si>
  <si>
    <t>Facilities Management Desk Booking</t>
  </si>
  <si>
    <t>Facilities Management Ticketing</t>
  </si>
  <si>
    <t>1403_Adaptive implementation</t>
  </si>
  <si>
    <t>Adaptive Budget &amp; Forecast licenses</t>
  </si>
  <si>
    <t>WORKDAY LIMITED</t>
  </si>
  <si>
    <t>Paygate - Payroll and Payments system</t>
  </si>
  <si>
    <t>PAYGATE SOLUTIONS LIMITED</t>
  </si>
  <si>
    <t>1187_Oracle</t>
  </si>
  <si>
    <t>Oracle licences</t>
  </si>
  <si>
    <t>ORACLE CORPORATION UK LIMITED</t>
  </si>
  <si>
    <t>Access Control: Readers and physcial access</t>
  </si>
  <si>
    <t>Janus</t>
  </si>
  <si>
    <t>1167_Business Objects</t>
  </si>
  <si>
    <t>Business Objects  License</t>
  </si>
  <si>
    <t>INFOSOL LIMITED</t>
  </si>
  <si>
    <t>Business Objects Support</t>
  </si>
  <si>
    <t>Oracle EBS support (call off units)</t>
  </si>
  <si>
    <t>HITACHI VANTARA LIMITED</t>
  </si>
  <si>
    <t>Oracle technical and functional support</t>
  </si>
  <si>
    <t>Access Control: Filemaker card ID support</t>
  </si>
  <si>
    <t>Compass Data</t>
  </si>
  <si>
    <t>Additional Adaptive support</t>
  </si>
  <si>
    <t>CLEAR PLAN (SAAS) LIMITED</t>
  </si>
  <si>
    <t>1281_BOX Cloud storage and collaboration platform</t>
  </si>
  <si>
    <t>Box License and Application Support</t>
  </si>
  <si>
    <t>BOX.COM (UK) LIMITED</t>
  </si>
  <si>
    <t>1157_Markview</t>
  </si>
  <si>
    <t>Arcivate - Mi Invoices Invoice Management</t>
  </si>
  <si>
    <t>ARCIVATE LIMITED</t>
  </si>
  <si>
    <t>Door access control contractor</t>
  </si>
  <si>
    <t>Hotels</t>
  </si>
  <si>
    <t>Kallidus - Group</t>
  </si>
  <si>
    <t>New Access Control Solution support</t>
  </si>
  <si>
    <t>Travel Costs</t>
  </si>
  <si>
    <t>Simpplr cloud based social intranet services</t>
  </si>
  <si>
    <t>SIMPPLR INC</t>
  </si>
  <si>
    <t>Bloomberg license costs</t>
  </si>
  <si>
    <t>BLOOMBERG FINANCE L.P.</t>
  </si>
  <si>
    <t>Currently: 25 creators (75€ month), 35 explorers 42€ / month, 88 viewers 15€ / month)
In budget +5 creators +10 explorer +15 viewersTableau</t>
  </si>
  <si>
    <t>Penetration Tests</t>
  </si>
  <si>
    <t>Software Support</t>
  </si>
  <si>
    <t>Application Support Enablement</t>
  </si>
  <si>
    <t>Projects</t>
  </si>
  <si>
    <t>Boomi Refactoring and Mulesoft Migration</t>
  </si>
  <si>
    <t>Operations MasterPlan - Integration &amp; Legacy Compability  Layer (multiple applications, multiple projects)</t>
  </si>
  <si>
    <t>licences estimated at 600€ / yearPostman</t>
  </si>
  <si>
    <t>Boomi Dev Support and Data Dev support</t>
  </si>
  <si>
    <t>NTT DATA SERVICES UK LIMITED</t>
  </si>
  <si>
    <t>Current contract (926k£ over 3y)Mulesoft</t>
  </si>
  <si>
    <t>Incuding new gateway for high avalability &amp; securityGravitee</t>
  </si>
  <si>
    <t>Gravitee</t>
  </si>
  <si>
    <t>Current plus some possible new connectorsBoomi</t>
  </si>
  <si>
    <t>Up to 35 people, pro licenceAikido (Static code analysis for security)</t>
  </si>
  <si>
    <t>0,8 person for 251 working daysEvent Architect</t>
  </si>
  <si>
    <t>1 person for 251 working daysData Architect</t>
  </si>
  <si>
    <t>1 person for 251 working daysIncident Manager</t>
  </si>
  <si>
    <t>1 person for 251 working daysIntegration Architect</t>
  </si>
  <si>
    <t>1 person for 251 working daysLead Analyst</t>
  </si>
  <si>
    <t>1,1 person for 251 working daysData OPEX (Incident &amp; Bugfix)</t>
  </si>
  <si>
    <t>1,1 person for 251 working daysMiddleware OPEX (Incident &amp; Bugfix)</t>
  </si>
  <si>
    <t>2 overnights staying on average per week plus 50 nights for special occasions (Christmas Party, Departements events etc.)Travelling</t>
  </si>
  <si>
    <t>2 person for 251 working daysRun &amp; Maintenance BI Systems</t>
  </si>
  <si>
    <t>3 people rotation at avg 80€ per day On Call (Astrainte)</t>
  </si>
  <si>
    <t>6k per monthDevelopment Tools and Innovation</t>
  </si>
  <si>
    <t>3+9  2025</t>
  </si>
  <si>
    <t>41 FTE</t>
  </si>
  <si>
    <t>2025 Budget</t>
  </si>
  <si>
    <t>1687_Delta - Distribution</t>
  </si>
  <si>
    <t>Delta distribution capex offcharge</t>
  </si>
  <si>
    <t>PAO - rebranding, loyalty, currency adaptations</t>
  </si>
  <si>
    <t>PAO for Delta</t>
  </si>
  <si>
    <t>Oct 21, 2025 9:19:09 AM GMT</t>
  </si>
  <si>
    <t>Morgane Dapremont at Eurostar International Limited</t>
  </si>
  <si>
    <t>Sheet</t>
  </si>
  <si>
    <t>FM PL - Operating Expenses (OPEX)</t>
  </si>
  <si>
    <t>Level</t>
  </si>
  <si>
    <t>Technology &amp; Process Optimisation_Consol</t>
  </si>
  <si>
    <t>Version</t>
  </si>
  <si>
    <t>Budget 2026 (€380m) (B26 Rates)</t>
  </si>
  <si>
    <t xml:space="preserve">Staff </t>
  </si>
  <si>
    <t xml:space="preserve">Contractors </t>
  </si>
  <si>
    <t>IS Architecture &amp; Security</t>
  </si>
  <si>
    <t>IS Operations</t>
  </si>
  <si>
    <t>IS Corporate, HR &amp; Finance</t>
  </si>
  <si>
    <t>IS Customer Systems</t>
  </si>
  <si>
    <t>Data &amp; Middleware</t>
  </si>
  <si>
    <t>IS Management &amp; Portfolio Management</t>
  </si>
  <si>
    <t>CIO</t>
  </si>
  <si>
    <t>-</t>
  </si>
  <si>
    <t>IS Strategic Projects Management</t>
  </si>
  <si>
    <t>IS Sales Systems</t>
  </si>
  <si>
    <t>0510_DSI SYST</t>
  </si>
  <si>
    <t>Xavier Romanet</t>
  </si>
  <si>
    <t>IT Service Delivery &amp; Infrastructure</t>
  </si>
  <si>
    <t>0120_PDT SAB</t>
  </si>
  <si>
    <t>0550_DSI TKL</t>
  </si>
  <si>
    <t>1050_MS DSI</t>
  </si>
  <si>
    <t>Budget 2026 Overview</t>
  </si>
  <si>
    <t>Overview of budget 2026</t>
  </si>
  <si>
    <t>Simplify Savings</t>
  </si>
  <si>
    <t>Detail of any simplify savings included in budget 2026 (where applicable)</t>
  </si>
  <si>
    <t>Simplify Investments</t>
  </si>
  <si>
    <t>Detail of any simplify investments included in budget 2026 (where applicable)</t>
  </si>
  <si>
    <t xml:space="preserve">EIL Opex Costs </t>
  </si>
  <si>
    <t xml:space="preserve">Detail of opex in EIL for budget 2026 downloaded directly from financial system. </t>
  </si>
  <si>
    <t>THIF Opex Costs</t>
  </si>
  <si>
    <t xml:space="preserve">EIL Cost of Sales </t>
  </si>
  <si>
    <t xml:space="preserve">Detail of Cost of sales in EIL for budget 2026 downloaded directly from financial system. </t>
  </si>
  <si>
    <t>EIL Capex</t>
  </si>
  <si>
    <t xml:space="preserve">Detail of Capex in EIL for budget 2026 downloaded directly from financial system. </t>
  </si>
  <si>
    <t xml:space="preserve">THIF Cost of Sales </t>
  </si>
  <si>
    <t>THIF Capex</t>
  </si>
  <si>
    <t xml:space="preserve">Detail of opex in THIF for budget 2026 downloaded directly from financial system. </t>
  </si>
  <si>
    <t xml:space="preserve">Detail of Cost of sales in THIF for budget 2026 downloaded directly from financial system. </t>
  </si>
  <si>
    <t xml:space="preserve">Detail of Capex in THIF for budget 2026 downloaded directly from financial system. </t>
  </si>
  <si>
    <t>FX Rates</t>
  </si>
  <si>
    <t>&lt;&lt; Investment projects assumed a 50:50 split between opex and capex for BU26</t>
  </si>
  <si>
    <t>&lt;&lt; Centralised IS cost saving target to come back in line with the business plan</t>
  </si>
  <si>
    <t>&lt;&lt; Column AA and AB are net of Simplify savings and show the allowable spend for budget 2026.  Column AD is the budget before simplify with column AC showing the effort to be made per line.</t>
  </si>
  <si>
    <t>Accounts</t>
  </si>
  <si>
    <t>General Account</t>
  </si>
  <si>
    <t>B2026 - Board Approved (€380m_B26 Rates)</t>
  </si>
  <si>
    <t>[EIL_230100] Distribution charges (CoS) (Input)</t>
  </si>
  <si>
    <t>[EIL_230300] GDS costs (CoS) (Input)</t>
  </si>
  <si>
    <t>[EIL_240001] Software Licences and support (CoS) (Input)</t>
  </si>
  <si>
    <t>[EIL_240200] Hosting (CoS) (Input)</t>
  </si>
  <si>
    <t>Non-Operating Expenses</t>
  </si>
  <si>
    <t>[241000] Matériel informatique - valeur d'acquisition</t>
  </si>
  <si>
    <t>[603300] Sous-traitance - Wifi</t>
  </si>
  <si>
    <t>[611100] Locations diverses</t>
  </si>
  <si>
    <t>[611200] Prestations entretiens &amp; Repartions bâtiments</t>
  </si>
  <si>
    <t>[612502] Télécommunication SMS / MAILS</t>
  </si>
  <si>
    <t>[612503] Télécommunication Téléphonie / WI Fi Lounge</t>
  </si>
  <si>
    <t>[612520] Licences &amp; petits logiciels</t>
  </si>
  <si>
    <t>[612620] Autres frais informatiques</t>
  </si>
  <si>
    <t>[612900] Petits matériels informatiques</t>
  </si>
  <si>
    <t>[613003] Sous-traitance informatique - Maintenance Adaptati</t>
  </si>
  <si>
    <t>[613004] Sous-traitance informatique - Maintenance contract</t>
  </si>
  <si>
    <t>[613020] Consultance</t>
  </si>
  <si>
    <t>[615100] Frais de déplacements (train, tram, bus)</t>
  </si>
  <si>
    <t>[615105] Frais de déplacements - Taxis</t>
  </si>
  <si>
    <t>[615120] Frais de représentation - Restaurants</t>
  </si>
  <si>
    <t>[615130] Frais de représentation - Hôtels</t>
  </si>
  <si>
    <t>[616310] Eco chèques &amp; sport culture &amp; consommation</t>
  </si>
  <si>
    <t>[616400] Billets RH</t>
  </si>
  <si>
    <t>[616510] Déplacements domicile - lieu de travail</t>
  </si>
  <si>
    <t>[616520] Europ Assistance</t>
  </si>
  <si>
    <t>[616800] Teambuildings</t>
  </si>
  <si>
    <t>[620000] Rémunérations contractuels</t>
  </si>
  <si>
    <t>[620010] Rémunérations contractuels autres</t>
  </si>
  <si>
    <t>[621000] Cotisations patronales</t>
  </si>
  <si>
    <t>[623000] Assurance groupe</t>
  </si>
  <si>
    <t>[623300] Chèques repas - contractuels</t>
  </si>
  <si>
    <t>[626000] Primes objectifs - Provisions</t>
  </si>
  <si>
    <t>[EIL_301001] Salaries - UK (Input)</t>
  </si>
  <si>
    <t>[EIL_301002] Salaries - Fr (Input)</t>
  </si>
  <si>
    <t>[EIL_301011] Allowances - UK (Input)</t>
  </si>
  <si>
    <t>[EIL_301101] Bonus - UK (Input)</t>
  </si>
  <si>
    <t>[EIL_301900] Offcharge to capital - salary costs (Input)</t>
  </si>
  <si>
    <t>[EIL_302001] Social charges - UK (Input)</t>
  </si>
  <si>
    <t>[EIL_302002] Social charges - Fr (Input)</t>
  </si>
  <si>
    <t>[EIL_302101] Social charges - bonus - UK (Input)</t>
  </si>
  <si>
    <t>[EIL_302900] Offcharge to capital - social charges (Input)</t>
  </si>
  <si>
    <t>[EIL_303001] Pension contributions - UK (Input)</t>
  </si>
  <si>
    <t>[EIL_303900] Offcharge to capital - pension costs (Input)</t>
  </si>
  <si>
    <t>[EIL_305001] Agency staff &amp; contractors (Input)</t>
  </si>
  <si>
    <t>[EIL_307001] Staff entertainment (Input)</t>
  </si>
  <si>
    <t>[EIL_307200] Training (Input)</t>
  </si>
  <si>
    <t>[EIL_340001] Local Area Network (LAN) (Input)</t>
  </si>
  <si>
    <t>[EIL_340100] Communication rooms (Input)</t>
  </si>
  <si>
    <t>[EIL_340200] Computer / NIIT (Input)</t>
  </si>
  <si>
    <t>[EIL_340300] IS consumables (Input)</t>
  </si>
  <si>
    <t>[EIL_340400] IS Hardware maintenance &amp; support (Input)</t>
  </si>
  <si>
    <t>[EIL_341001] Global Wide Area Network (GWAN) (Input)</t>
  </si>
  <si>
    <t>[EIL_341100] Non Global Wide Area Network (GWAN) (Input)</t>
  </si>
  <si>
    <t>[EIL_341200] Internet access (Input)</t>
  </si>
  <si>
    <t>[EIL_342001] Systems support (Input)</t>
  </si>
  <si>
    <t>[EIL_342100] Systems development (Input)</t>
  </si>
  <si>
    <t>[EIL_342200] Hosting (Input)</t>
  </si>
  <si>
    <t>[EIL_342300] Software Licences and support (Input)</t>
  </si>
  <si>
    <t>[EIL_356001] Telecomms Maintenance &amp; Support (Input)</t>
  </si>
  <si>
    <t>[EIL_356101] Fixed Line telephony (Input)</t>
  </si>
  <si>
    <t>[EIL_356300] Mobile telephony (Input)</t>
  </si>
  <si>
    <t>[EIL_358300] Equipment (Input)</t>
  </si>
  <si>
    <t>[EIL_361002] Management consultancy (Input)</t>
  </si>
  <si>
    <t>[EIL_361003] IS consultancy (Input)</t>
  </si>
  <si>
    <t>[EIL_362001] Travel costs (Input)</t>
  </si>
  <si>
    <t>[EIL_362002] Hotels (Input)</t>
  </si>
  <si>
    <t>[EIL_362100] Duty travel control account (Input)</t>
  </si>
  <si>
    <t>[EIL_363001] Printing and paper (Input)</t>
  </si>
  <si>
    <t>[EIL_363003] Corporate memberships and subscriptions (Input)</t>
  </si>
  <si>
    <t>[EIL_363004] Stationery (Input)</t>
  </si>
  <si>
    <t>[EIL_363007] Freight and courier (Input)</t>
  </si>
  <si>
    <t>[EIL_401004] Depreciation - P&amp;M (Input)</t>
  </si>
  <si>
    <t>[EIL_402001] Amortisation - software (Input)</t>
  </si>
  <si>
    <t>[613025] Ressources consultants</t>
  </si>
  <si>
    <t>4122 of THIF COS  in finance</t>
  </si>
  <si>
    <t>Staff</t>
  </si>
  <si>
    <t>Non staff</t>
  </si>
  <si>
    <t>&lt;&lt; opex excluding FTE related staff costs</t>
  </si>
  <si>
    <t>THIF opex</t>
  </si>
  <si>
    <t>Total after Simplify</t>
  </si>
  <si>
    <t>&lt;&lt; staff cost (non FTE)</t>
  </si>
  <si>
    <t>Currency</t>
  </si>
  <si>
    <t>Row Labels</t>
  </si>
  <si>
    <t>Sum of Total after Simplify</t>
  </si>
  <si>
    <t>&lt;&lt; staff</t>
  </si>
  <si>
    <t>Mapping difference</t>
  </si>
  <si>
    <t>COS</t>
  </si>
  <si>
    <t>EIL Opex</t>
  </si>
  <si>
    <t>THIF staff</t>
  </si>
  <si>
    <t>EIL staff</t>
  </si>
  <si>
    <t>&lt;&lt; staff costs are shown net of FTE related simplify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</si>
</sst>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m/d/yyyy"/>
    <numFmt numFmtId="166" formatCode="[=0]#,##0,;[&lt;0]\-#,##0,;#,##0,"/>
    <numFmt numFmtId="167" formatCode="_-* #,##0.0_-;\-* #,##0.0_-;_-* &quot;-&quot;??_-;_-@_-"/>
  </numFmts>
  <fonts count="28" x14ac:knownFonts="1">
    <font>
      <sz val="11"/>
      <color indexed="8"/>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0"/>
      <color indexed="8"/>
      <name val="Calibri"/>
      <family val="2"/>
    </font>
    <font>
      <sz val="10"/>
      <color indexed="8"/>
      <name val="Calibri"/>
      <family val="2"/>
    </font>
    <font>
      <sz val="11"/>
      <color rgb="FF9C0006"/>
      <name val="Aptos Narrow"/>
      <family val="2"/>
      <scheme val="minor"/>
    </font>
    <font>
      <sz val="11"/>
      <color indexed="8"/>
      <name val="Aptos Narrow"/>
      <family val="2"/>
      <scheme val="minor"/>
    </font>
    <font>
      <sz val="11"/>
      <color rgb="FFFF0000"/>
      <name val="Aptos Narrow"/>
      <family val="2"/>
      <scheme val="minor"/>
    </font>
    <font>
      <b/>
      <sz val="11"/>
      <color indexed="8"/>
      <name val="Aptos Narrow"/>
      <family val="2"/>
      <scheme val="minor"/>
    </font>
    <font>
      <b/>
      <sz val="11"/>
      <color theme="1"/>
      <name val="Aptos Narrow"/>
      <family val="2"/>
      <scheme val="minor"/>
    </font>
    <font>
      <b/>
      <sz val="11"/>
      <color theme="1"/>
      <name val="Aptos Narrow"/>
      <family val="2"/>
    </font>
    <font>
      <b/>
      <sz val="10"/>
      <name val="Calibri"/>
      <family val="2"/>
    </font>
    <font>
      <sz val="8"/>
      <name val="Aptos Narrow"/>
      <family val="2"/>
      <scheme val="minor"/>
    </font>
    <font>
      <strike/>
      <sz val="11"/>
      <color indexed="8"/>
      <name val="Aptos Narrow"/>
      <family val="2"/>
      <scheme val="minor"/>
    </font>
    <font>
      <b/>
      <strike/>
      <sz val="11"/>
      <color theme="1"/>
      <name val="Aptos Narrow"/>
      <family val="2"/>
      <scheme val="minor"/>
    </font>
    <font>
      <sz val="10"/>
      <name val="Arial"/>
    </font>
    <font>
      <b/>
      <u/>
      <sz val="11"/>
      <name val="Calibri"/>
    </font>
    <font>
      <b/>
      <sz val="11"/>
      <name val="Calibri"/>
    </font>
    <font>
      <sz val="11"/>
      <name val="Calibri"/>
    </font>
    <font>
      <sz val="10"/>
      <color indexed="8"/>
      <name val="Calibri"/>
    </font>
    <font>
      <b/>
      <sz val="10"/>
      <color indexed="8"/>
      <name val="Calibri"/>
    </font>
    <font>
      <b/>
      <sz val="9"/>
      <color indexed="81"/>
      <name val="Tahoma"/>
      <charset val="1"/>
    </font>
    <font>
      <sz val="9"/>
      <color indexed="81"/>
      <name val="Tahoma"/>
      <charset val="1"/>
    </font>
  </fonts>
  <fills count="18">
    <fill>
      <patternFill patternType="none"/>
    </fill>
    <fill>
      <patternFill patternType="gray125"/>
    </fill>
    <fill>
      <patternFill patternType="solid">
        <fgColor indexed="55"/>
      </patternFill>
    </fill>
    <fill>
      <patternFill patternType="solid">
        <fgColor indexed="22"/>
      </patternFill>
    </fill>
    <fill>
      <patternFill patternType="none">
        <fgColor indexed="9"/>
      </patternFill>
    </fill>
    <fill>
      <patternFill patternType="solid">
        <fgColor rgb="FFFFC7CE"/>
      </patternFill>
    </fill>
    <fill>
      <patternFill patternType="solid">
        <fgColor rgb="FF00B0F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00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4">
    <xf numFmtId="0" fontId="0" fillId="0" borderId="0"/>
    <xf numFmtId="0" fontId="10" fillId="5" borderId="0" applyNumberFormat="0" applyBorder="0" applyAlignment="0" applyProtection="0"/>
    <xf numFmtId="0" fontId="7" fillId="4" borderId="0"/>
    <xf numFmtId="43" fontId="11" fillId="0" borderId="0" applyFont="0" applyFill="0" applyBorder="0" applyAlignment="0" applyProtection="0"/>
    <xf numFmtId="0" fontId="11" fillId="4" borderId="0"/>
    <xf numFmtId="0" fontId="6" fillId="4" borderId="0"/>
    <xf numFmtId="43" fontId="6" fillId="4" borderId="0" applyFont="0" applyFill="0" applyBorder="0" applyAlignment="0" applyProtection="0"/>
    <xf numFmtId="43" fontId="11" fillId="4" borderId="0" applyFont="0" applyFill="0" applyBorder="0" applyAlignment="0" applyProtection="0"/>
    <xf numFmtId="0" fontId="5" fillId="4" borderId="0"/>
    <xf numFmtId="43" fontId="5" fillId="4" borderId="0" applyFont="0" applyFill="0" applyBorder="0" applyAlignment="0" applyProtection="0"/>
    <xf numFmtId="0" fontId="11" fillId="4" borderId="0"/>
    <xf numFmtId="0" fontId="3" fillId="4" borderId="0"/>
    <xf numFmtId="0" fontId="2" fillId="4" borderId="0"/>
    <xf numFmtId="0" fontId="20" fillId="4" borderId="0"/>
  </cellStyleXfs>
  <cellXfs count="139">
    <xf numFmtId="0" fontId="0" fillId="0" borderId="0" xfId="0"/>
    <xf numFmtId="0" fontId="9" fillId="4" borderId="0" xfId="0" applyFont="1" applyFill="1"/>
    <xf numFmtId="0" fontId="9" fillId="4" borderId="0" xfId="0" applyFont="1" applyFill="1" applyAlignment="1">
      <alignment horizontal="left"/>
    </xf>
    <xf numFmtId="3" fontId="9" fillId="4" borderId="0" xfId="0" applyNumberFormat="1" applyFont="1" applyFill="1" applyAlignment="1">
      <alignment horizontal="right"/>
    </xf>
    <xf numFmtId="0" fontId="7" fillId="4" borderId="0" xfId="2"/>
    <xf numFmtId="0" fontId="10" fillId="5" borderId="0" xfId="1"/>
    <xf numFmtId="164" fontId="0" fillId="0" borderId="0" xfId="3" applyNumberFormat="1" applyFont="1"/>
    <xf numFmtId="164" fontId="8" fillId="6" borderId="0" xfId="3" applyNumberFormat="1" applyFont="1" applyFill="1" applyAlignment="1">
      <alignment horizontal="center"/>
    </xf>
    <xf numFmtId="38" fontId="0" fillId="0" borderId="0" xfId="3" applyNumberFormat="1" applyFont="1"/>
    <xf numFmtId="0" fontId="12" fillId="7" borderId="0" xfId="0" applyFont="1" applyFill="1"/>
    <xf numFmtId="164" fontId="13" fillId="0" borderId="1" xfId="3" applyNumberFormat="1" applyFont="1" applyBorder="1"/>
    <xf numFmtId="0" fontId="0" fillId="0" borderId="1" xfId="0" applyBorder="1"/>
    <xf numFmtId="0" fontId="0" fillId="0" borderId="2" xfId="0" applyBorder="1"/>
    <xf numFmtId="0" fontId="13" fillId="0" borderId="1" xfId="0" applyFont="1" applyBorder="1"/>
    <xf numFmtId="0" fontId="8" fillId="2" borderId="0" xfId="4" applyFont="1" applyFill="1" applyAlignment="1">
      <alignment horizontal="center"/>
    </xf>
    <xf numFmtId="0" fontId="8" fillId="6" borderId="0" xfId="4" applyFont="1" applyFill="1" applyAlignment="1">
      <alignment horizontal="center"/>
    </xf>
    <xf numFmtId="0" fontId="11" fillId="4" borderId="0" xfId="4"/>
    <xf numFmtId="0" fontId="9" fillId="4" borderId="0" xfId="4" applyFont="1" applyAlignment="1">
      <alignment horizontal="left"/>
    </xf>
    <xf numFmtId="3" fontId="9" fillId="4" borderId="0" xfId="4" applyNumberFormat="1" applyFont="1" applyAlignment="1">
      <alignment horizontal="right"/>
    </xf>
    <xf numFmtId="0" fontId="6" fillId="4" borderId="3" xfId="5" applyBorder="1"/>
    <xf numFmtId="0" fontId="14" fillId="4" borderId="3" xfId="5" applyFont="1" applyBorder="1" applyAlignment="1">
      <alignment horizontal="center" wrapText="1"/>
    </xf>
    <xf numFmtId="0" fontId="6" fillId="4" borderId="0" xfId="5"/>
    <xf numFmtId="0" fontId="14" fillId="4" borderId="0" xfId="5" applyFont="1"/>
    <xf numFmtId="3" fontId="8" fillId="0" borderId="0" xfId="0" applyNumberFormat="1" applyFont="1" applyAlignment="1">
      <alignment horizontal="right"/>
    </xf>
    <xf numFmtId="0" fontId="16" fillId="3" borderId="0" xfId="4" applyFont="1" applyFill="1" applyAlignment="1">
      <alignment horizontal="center"/>
    </xf>
    <xf numFmtId="14" fontId="16" fillId="3" borderId="0" xfId="4" applyNumberFormat="1" applyFont="1" applyFill="1" applyAlignment="1">
      <alignment horizontal="center"/>
    </xf>
    <xf numFmtId="43" fontId="0" fillId="4" borderId="0" xfId="7" applyFont="1"/>
    <xf numFmtId="43" fontId="11" fillId="4" borderId="0" xfId="4" applyNumberFormat="1"/>
    <xf numFmtId="0" fontId="11" fillId="10" borderId="0" xfId="4" applyFill="1"/>
    <xf numFmtId="0" fontId="11" fillId="4" borderId="0" xfId="4" quotePrefix="1"/>
    <xf numFmtId="0" fontId="5" fillId="4" borderId="0" xfId="8"/>
    <xf numFmtId="43" fontId="0" fillId="4" borderId="0" xfId="9" applyFont="1"/>
    <xf numFmtId="0" fontId="14" fillId="11" borderId="0" xfId="8" applyFont="1" applyFill="1" applyAlignment="1">
      <alignment horizontal="center"/>
    </xf>
    <xf numFmtId="164" fontId="0" fillId="4" borderId="0" xfId="9" applyNumberFormat="1" applyFont="1"/>
    <xf numFmtId="0" fontId="14" fillId="4" borderId="0" xfId="8" applyFont="1"/>
    <xf numFmtId="164" fontId="14" fillId="4" borderId="0" xfId="9" applyNumberFormat="1" applyFont="1"/>
    <xf numFmtId="38" fontId="14" fillId="4" borderId="0" xfId="8" applyNumberFormat="1" applyFont="1"/>
    <xf numFmtId="3" fontId="5" fillId="4" borderId="0" xfId="8" applyNumberFormat="1"/>
    <xf numFmtId="0" fontId="16" fillId="3" borderId="0" xfId="10" applyFont="1" applyFill="1" applyAlignment="1">
      <alignment horizontal="center"/>
    </xf>
    <xf numFmtId="14" fontId="16" fillId="3" borderId="0" xfId="10" applyNumberFormat="1" applyFont="1" applyFill="1" applyAlignment="1">
      <alignment horizontal="center"/>
    </xf>
    <xf numFmtId="0" fontId="11" fillId="4" borderId="0" xfId="10"/>
    <xf numFmtId="0" fontId="15" fillId="4" borderId="3" xfId="5" applyFont="1" applyBorder="1" applyAlignment="1">
      <alignment horizontal="center" wrapText="1"/>
    </xf>
    <xf numFmtId="43" fontId="11" fillId="4" borderId="0" xfId="3" applyFont="1" applyFill="1"/>
    <xf numFmtId="3" fontId="0" fillId="0" borderId="0" xfId="0" applyNumberFormat="1"/>
    <xf numFmtId="38" fontId="0" fillId="0" borderId="0" xfId="0" applyNumberFormat="1"/>
    <xf numFmtId="38" fontId="11" fillId="4" borderId="0" xfId="4" applyNumberFormat="1"/>
    <xf numFmtId="3" fontId="11" fillId="4" borderId="0" xfId="4" applyNumberFormat="1"/>
    <xf numFmtId="38" fontId="11" fillId="7" borderId="0" xfId="4" applyNumberFormat="1" applyFill="1"/>
    <xf numFmtId="38" fontId="11" fillId="12" borderId="0" xfId="4" applyNumberFormat="1" applyFill="1"/>
    <xf numFmtId="0" fontId="13" fillId="4" borderId="0" xfId="4" applyFont="1"/>
    <xf numFmtId="0" fontId="18" fillId="4" borderId="0" xfId="4" applyFont="1"/>
    <xf numFmtId="38" fontId="18" fillId="4" borderId="0" xfId="4" applyNumberFormat="1" applyFont="1"/>
    <xf numFmtId="43" fontId="18" fillId="4" borderId="0" xfId="4" applyNumberFormat="1" applyFont="1"/>
    <xf numFmtId="43" fontId="7" fillId="4" borderId="0" xfId="2" applyNumberFormat="1"/>
    <xf numFmtId="43" fontId="6" fillId="4" borderId="0" xfId="5" applyNumberFormat="1"/>
    <xf numFmtId="164" fontId="6" fillId="4" borderId="0" xfId="5" applyNumberFormat="1"/>
    <xf numFmtId="0" fontId="4" fillId="4" borderId="0" xfId="2" applyFont="1"/>
    <xf numFmtId="0" fontId="13" fillId="0" borderId="0" xfId="0" applyFont="1"/>
    <xf numFmtId="0" fontId="19" fillId="4" borderId="0" xfId="5" applyFont="1"/>
    <xf numFmtId="38" fontId="6" fillId="4" borderId="0" xfId="5" applyNumberFormat="1"/>
    <xf numFmtId="164" fontId="0" fillId="4" borderId="0" xfId="7" applyNumberFormat="1" applyFont="1"/>
    <xf numFmtId="164" fontId="11" fillId="4" borderId="0" xfId="4" applyNumberFormat="1"/>
    <xf numFmtId="164" fontId="11" fillId="10" borderId="0" xfId="4" applyNumberFormat="1" applyFill="1"/>
    <xf numFmtId="0" fontId="9" fillId="0" borderId="0" xfId="0" applyFont="1" applyAlignment="1">
      <alignment horizontal="left"/>
    </xf>
    <xf numFmtId="43" fontId="11" fillId="10" borderId="0" xfId="4" applyNumberFormat="1" applyFill="1"/>
    <xf numFmtId="0" fontId="8" fillId="2" borderId="0" xfId="0" applyFont="1" applyFill="1" applyAlignment="1">
      <alignment horizontal="center"/>
    </xf>
    <xf numFmtId="38" fontId="4" fillId="13" borderId="0" xfId="3" applyNumberFormat="1" applyFont="1" applyFill="1"/>
    <xf numFmtId="38" fontId="4" fillId="8" borderId="0" xfId="3" applyNumberFormat="1" applyFont="1" applyFill="1"/>
    <xf numFmtId="164" fontId="4" fillId="4" borderId="0" xfId="3" applyNumberFormat="1" applyFont="1" applyFill="1"/>
    <xf numFmtId="164" fontId="4" fillId="9" borderId="0" xfId="3" applyNumberFormat="1" applyFont="1" applyFill="1"/>
    <xf numFmtId="38" fontId="4" fillId="4" borderId="0" xfId="3" applyNumberFormat="1" applyFont="1" applyFill="1"/>
    <xf numFmtId="164" fontId="4" fillId="7" borderId="0" xfId="3" applyNumberFormat="1" applyFont="1" applyFill="1"/>
    <xf numFmtId="0" fontId="4" fillId="4" borderId="0" xfId="5" applyFont="1"/>
    <xf numFmtId="4" fontId="9" fillId="4" borderId="0" xfId="4" applyNumberFormat="1" applyFont="1" applyAlignment="1">
      <alignment horizontal="right"/>
    </xf>
    <xf numFmtId="165" fontId="9" fillId="4" borderId="0" xfId="4" applyNumberFormat="1" applyFont="1" applyAlignment="1">
      <alignment horizontal="left"/>
    </xf>
    <xf numFmtId="0" fontId="8" fillId="3" borderId="0" xfId="4" applyFont="1" applyFill="1" applyAlignment="1">
      <alignment horizontal="left"/>
    </xf>
    <xf numFmtId="0" fontId="9" fillId="4" borderId="0" xfId="4" applyFont="1"/>
    <xf numFmtId="3" fontId="9" fillId="0" borderId="0" xfId="0" applyNumberFormat="1" applyFont="1" applyAlignment="1">
      <alignment horizontal="right"/>
    </xf>
    <xf numFmtId="164" fontId="8" fillId="4" borderId="0" xfId="3" applyNumberFormat="1" applyFont="1" applyFill="1" applyAlignment="1">
      <alignment horizontal="center"/>
    </xf>
    <xf numFmtId="43" fontId="13" fillId="4" borderId="0" xfId="3" applyFont="1" applyFill="1"/>
    <xf numFmtId="0" fontId="8" fillId="4" borderId="0" xfId="0" applyFont="1" applyFill="1" applyAlignment="1">
      <alignment horizontal="left"/>
    </xf>
    <xf numFmtId="3" fontId="8" fillId="4" borderId="0" xfId="0" applyNumberFormat="1" applyFont="1" applyFill="1" applyAlignment="1">
      <alignment horizontal="right"/>
    </xf>
    <xf numFmtId="0" fontId="8" fillId="3" borderId="0" xfId="0" applyFont="1" applyFill="1" applyAlignment="1">
      <alignment horizontal="left"/>
    </xf>
    <xf numFmtId="43" fontId="4" fillId="4" borderId="0" xfId="3" applyFont="1" applyFill="1"/>
    <xf numFmtId="0" fontId="3" fillId="4" borderId="4" xfId="11" applyBorder="1"/>
    <xf numFmtId="0" fontId="3" fillId="4" borderId="5" xfId="11" applyBorder="1"/>
    <xf numFmtId="0" fontId="3" fillId="4" borderId="6" xfId="11" applyBorder="1"/>
    <xf numFmtId="0" fontId="3" fillId="4" borderId="0" xfId="11"/>
    <xf numFmtId="0" fontId="3" fillId="4" borderId="7" xfId="11" applyBorder="1"/>
    <xf numFmtId="0" fontId="3" fillId="4" borderId="0" xfId="11" applyAlignment="1">
      <alignment horizontal="left"/>
    </xf>
    <xf numFmtId="0" fontId="3" fillId="4" borderId="8" xfId="11" applyBorder="1"/>
    <xf numFmtId="0" fontId="3" fillId="4" borderId="9" xfId="11" applyBorder="1"/>
    <xf numFmtId="0" fontId="3" fillId="4" borderId="3" xfId="11" applyBorder="1"/>
    <xf numFmtId="0" fontId="3" fillId="4" borderId="10" xfId="11" applyBorder="1"/>
    <xf numFmtId="0" fontId="2" fillId="4" borderId="0" xfId="11" applyFont="1"/>
    <xf numFmtId="0" fontId="14" fillId="4" borderId="0" xfId="12" applyFont="1"/>
    <xf numFmtId="0" fontId="2" fillId="4" borderId="0" xfId="12"/>
    <xf numFmtId="2" fontId="2" fillId="4" borderId="0" xfId="12" applyNumberFormat="1"/>
    <xf numFmtId="164" fontId="11" fillId="4" borderId="0" xfId="10" applyNumberFormat="1"/>
    <xf numFmtId="164" fontId="11" fillId="4" borderId="0" xfId="3" applyNumberFormat="1" applyFill="1"/>
    <xf numFmtId="4" fontId="9" fillId="4" borderId="0" xfId="4" applyNumberFormat="1" applyFont="1"/>
    <xf numFmtId="4" fontId="8" fillId="13" borderId="0" xfId="4" applyNumberFormat="1" applyFont="1" applyFill="1"/>
    <xf numFmtId="0" fontId="9" fillId="0" borderId="0" xfId="4" applyFont="1" applyFill="1"/>
    <xf numFmtId="3" fontId="9" fillId="4" borderId="0" xfId="4" applyNumberFormat="1" applyFont="1"/>
    <xf numFmtId="0" fontId="8" fillId="2" borderId="0" xfId="0" applyFont="1" applyFill="1" applyAlignment="1">
      <alignment horizontal="center" wrapText="1"/>
    </xf>
    <xf numFmtId="0" fontId="20" fillId="0" borderId="0" xfId="13" applyFill="1"/>
    <xf numFmtId="0" fontId="21" fillId="0" borderId="0" xfId="13" applyFont="1" applyFill="1" applyAlignment="1">
      <alignment horizontal="center"/>
    </xf>
    <xf numFmtId="0" fontId="22" fillId="0" borderId="0" xfId="13" applyFont="1" applyFill="1"/>
    <xf numFmtId="166" fontId="23" fillId="0" borderId="0" xfId="13" applyNumberFormat="1" applyFont="1" applyFill="1"/>
    <xf numFmtId="166" fontId="20" fillId="0" borderId="0" xfId="13" applyNumberFormat="1" applyFill="1"/>
    <xf numFmtId="3" fontId="24" fillId="0" borderId="0" xfId="4" applyNumberFormat="1" applyFont="1" applyFill="1"/>
    <xf numFmtId="3" fontId="9" fillId="0" borderId="0" xfId="4" applyNumberFormat="1" applyFont="1" applyFill="1"/>
    <xf numFmtId="166" fontId="23" fillId="14" borderId="0" xfId="13" applyNumberFormat="1" applyFont="1" applyFill="1"/>
    <xf numFmtId="166" fontId="20" fillId="15" borderId="0" xfId="13" applyNumberFormat="1" applyFill="1"/>
    <xf numFmtId="166" fontId="23" fillId="15" borderId="0" xfId="13" applyNumberFormat="1" applyFont="1" applyFill="1"/>
    <xf numFmtId="0" fontId="0" fillId="0" borderId="0" xfId="0" pivotButton="1"/>
    <xf numFmtId="0" fontId="0" fillId="0" borderId="0" xfId="0" applyAlignment="1">
      <alignment horizontal="left"/>
    </xf>
    <xf numFmtId="167" fontId="0" fillId="0" borderId="0" xfId="0" applyNumberFormat="1"/>
    <xf numFmtId="3" fontId="25" fillId="0" borderId="0" xfId="0" applyNumberFormat="1" applyFont="1" applyAlignment="1">
      <alignment horizontal="right"/>
    </xf>
    <xf numFmtId="3" fontId="9" fillId="15" borderId="0" xfId="0" applyNumberFormat="1" applyFont="1" applyFill="1" applyAlignment="1">
      <alignment horizontal="right"/>
    </xf>
    <xf numFmtId="164" fontId="0" fillId="16" borderId="0" xfId="3" applyNumberFormat="1" applyFont="1" applyFill="1"/>
    <xf numFmtId="38" fontId="1" fillId="0" borderId="0" xfId="3" applyNumberFormat="1" applyFont="1" applyFill="1"/>
    <xf numFmtId="166" fontId="23" fillId="17" borderId="0" xfId="13" applyNumberFormat="1" applyFont="1" applyFill="1"/>
    <xf numFmtId="38" fontId="4" fillId="0" borderId="0" xfId="3" applyNumberFormat="1" applyFont="1" applyFill="1"/>
    <xf numFmtId="166" fontId="23" fillId="7" borderId="12" xfId="13" applyNumberFormat="1" applyFont="1" applyFill="1" applyBorder="1"/>
    <xf numFmtId="166" fontId="23" fillId="7" borderId="13" xfId="13" applyNumberFormat="1" applyFont="1" applyFill="1" applyBorder="1"/>
    <xf numFmtId="166" fontId="23" fillId="7" borderId="14" xfId="13" applyNumberFormat="1" applyFont="1" applyFill="1" applyBorder="1"/>
    <xf numFmtId="166" fontId="20" fillId="7" borderId="11" xfId="13" applyNumberFormat="1" applyFill="1" applyBorder="1"/>
    <xf numFmtId="166" fontId="23" fillId="0" borderId="15" xfId="13" applyNumberFormat="1" applyFont="1" applyFill="1" applyBorder="1"/>
    <xf numFmtId="0" fontId="20" fillId="0" borderId="16" xfId="13" applyFill="1" applyBorder="1"/>
    <xf numFmtId="166" fontId="23" fillId="0" borderId="17" xfId="13" applyNumberFormat="1" applyFont="1" applyFill="1" applyBorder="1"/>
    <xf numFmtId="0" fontId="20" fillId="0" borderId="18" xfId="13" applyFill="1" applyBorder="1"/>
    <xf numFmtId="166" fontId="23" fillId="0" borderId="19" xfId="13" applyNumberFormat="1" applyFont="1" applyFill="1" applyBorder="1"/>
    <xf numFmtId="0" fontId="20" fillId="0" borderId="20" xfId="13" applyFill="1" applyBorder="1"/>
    <xf numFmtId="38" fontId="0" fillId="0" borderId="0" xfId="3" applyNumberFormat="1" applyFont="1" applyFill="1"/>
    <xf numFmtId="0" fontId="9" fillId="4" borderId="0" xfId="4" applyFont="1"/>
    <xf numFmtId="0" fontId="0" fillId="0" borderId="0" xfId="0"/>
    <xf numFmtId="0" fontId="8" fillId="4" borderId="0" xfId="0" applyFont="1" applyFill="1" applyAlignment="1">
      <alignment horizontal="left"/>
    </xf>
    <xf numFmtId="0" fontId="20" fillId="0" borderId="0" xfId="13" applyFill="1"/>
  </cellXfs>
  <cellStyles count="14">
    <cellStyle name="Bad" xfId="1" builtinId="27"/>
    <cellStyle name="Comma" xfId="3" builtinId="3"/>
    <cellStyle name="Comma 2" xfId="7" xr:uid="{3AC8C3FF-A176-4380-999D-D1D977E6B2D3}"/>
    <cellStyle name="Comma 3" xfId="6" xr:uid="{97CE09C2-2F81-4A0E-841C-6E2AEE10AF8D}"/>
    <cellStyle name="Comma 4" xfId="9" xr:uid="{0DE37F98-72CF-403C-B9C5-771A620DFF1C}"/>
    <cellStyle name="Normal" xfId="0" builtinId="0"/>
    <cellStyle name="Normal 2" xfId="4" xr:uid="{E780723E-2A8A-4DE2-9952-6040762BD420}"/>
    <cellStyle name="Normal 25" xfId="2" xr:uid="{FDFD299C-0B56-421E-9477-AABAC9181D3A}"/>
    <cellStyle name="Normal 3" xfId="5" xr:uid="{671593D2-1303-4F5A-81F8-0D46CDAE13A7}"/>
    <cellStyle name="Normal 3 2" xfId="11" xr:uid="{10DAE0A6-A329-489F-A02D-1B502EDE69EC}"/>
    <cellStyle name="Normal 4" xfId="8" xr:uid="{5FC6A6D2-8A49-4554-8176-CECA66F9DD7A}"/>
    <cellStyle name="Normal 4 2" xfId="12" xr:uid="{DBACA523-D19E-4E86-B11B-B5B990E5E4AD}"/>
    <cellStyle name="Normal 5" xfId="10" xr:uid="{5BEC1CBA-B835-4EC7-AC48-CAABA8D780A9}"/>
    <cellStyle name="Normal 6" xfId="13" xr:uid="{744786B8-4F67-4BB5-BE86-DFCD899CCD8D}"/>
  </cellStyles>
  <dxfs count="2">
    <dxf>
      <numFmt numFmtId="167" formatCode="_-* #,##0.0_-;\-* #,##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42" Type="http://schemas.openxmlformats.org/officeDocument/2006/relationships/externalLink" Target="externalLinks/externalLink23.xml"/><Relationship Id="rId47" Type="http://schemas.openxmlformats.org/officeDocument/2006/relationships/externalLink" Target="externalLinks/externalLink28.xml"/><Relationship Id="rId63" Type="http://schemas.openxmlformats.org/officeDocument/2006/relationships/externalLink" Target="externalLinks/externalLink44.xml"/><Relationship Id="rId68" Type="http://schemas.openxmlformats.org/officeDocument/2006/relationships/externalLink" Target="externalLinks/externalLink49.xml"/><Relationship Id="rId84" Type="http://schemas.openxmlformats.org/officeDocument/2006/relationships/externalLink" Target="externalLinks/externalLink65.xml"/><Relationship Id="rId89" Type="http://schemas.openxmlformats.org/officeDocument/2006/relationships/externalLink" Target="externalLinks/externalLink7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53" Type="http://schemas.openxmlformats.org/officeDocument/2006/relationships/externalLink" Target="externalLinks/externalLink34.xml"/><Relationship Id="rId58" Type="http://schemas.openxmlformats.org/officeDocument/2006/relationships/externalLink" Target="externalLinks/externalLink39.xml"/><Relationship Id="rId74" Type="http://schemas.openxmlformats.org/officeDocument/2006/relationships/externalLink" Target="externalLinks/externalLink55.xml"/><Relationship Id="rId79" Type="http://schemas.openxmlformats.org/officeDocument/2006/relationships/externalLink" Target="externalLinks/externalLink60.xml"/><Relationship Id="rId102" Type="http://schemas.openxmlformats.org/officeDocument/2006/relationships/customXml" Target="../customXml/item2.xml"/><Relationship Id="rId5" Type="http://schemas.openxmlformats.org/officeDocument/2006/relationships/worksheet" Target="worksheets/sheet5.xml"/><Relationship Id="rId90" Type="http://schemas.openxmlformats.org/officeDocument/2006/relationships/externalLink" Target="externalLinks/externalLink71.xml"/><Relationship Id="rId95" Type="http://schemas.openxmlformats.org/officeDocument/2006/relationships/pivotCacheDefinition" Target="pivotCache/pivotCacheDefinition1.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64" Type="http://schemas.openxmlformats.org/officeDocument/2006/relationships/externalLink" Target="externalLinks/externalLink45.xml"/><Relationship Id="rId69" Type="http://schemas.openxmlformats.org/officeDocument/2006/relationships/externalLink" Target="externalLinks/externalLink50.xml"/><Relationship Id="rId80" Type="http://schemas.openxmlformats.org/officeDocument/2006/relationships/externalLink" Target="externalLinks/externalLink61.xml"/><Relationship Id="rId85" Type="http://schemas.openxmlformats.org/officeDocument/2006/relationships/externalLink" Target="externalLinks/externalLink66.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openxmlformats.org/officeDocument/2006/relationships/externalLink" Target="externalLinks/externalLink27.xml"/><Relationship Id="rId59" Type="http://schemas.openxmlformats.org/officeDocument/2006/relationships/externalLink" Target="externalLinks/externalLink40.xml"/><Relationship Id="rId67" Type="http://schemas.openxmlformats.org/officeDocument/2006/relationships/externalLink" Target="externalLinks/externalLink48.xml"/><Relationship Id="rId103" Type="http://schemas.openxmlformats.org/officeDocument/2006/relationships/customXml" Target="../customXml/item3.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54" Type="http://schemas.openxmlformats.org/officeDocument/2006/relationships/externalLink" Target="externalLinks/externalLink35.xml"/><Relationship Id="rId62" Type="http://schemas.openxmlformats.org/officeDocument/2006/relationships/externalLink" Target="externalLinks/externalLink43.xml"/><Relationship Id="rId70" Type="http://schemas.openxmlformats.org/officeDocument/2006/relationships/externalLink" Target="externalLinks/externalLink51.xml"/><Relationship Id="rId75" Type="http://schemas.openxmlformats.org/officeDocument/2006/relationships/externalLink" Target="externalLinks/externalLink56.xml"/><Relationship Id="rId83" Type="http://schemas.openxmlformats.org/officeDocument/2006/relationships/externalLink" Target="externalLinks/externalLink64.xml"/><Relationship Id="rId88" Type="http://schemas.openxmlformats.org/officeDocument/2006/relationships/externalLink" Target="externalLinks/externalLink69.xml"/><Relationship Id="rId91" Type="http://schemas.openxmlformats.org/officeDocument/2006/relationships/externalLink" Target="externalLinks/externalLink72.xml"/><Relationship Id="rId96"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externalLink" Target="externalLinks/externalLink30.xml"/><Relationship Id="rId57" Type="http://schemas.openxmlformats.org/officeDocument/2006/relationships/externalLink" Target="externalLinks/externalLink38.xml"/><Relationship Id="rId10" Type="http://schemas.openxmlformats.org/officeDocument/2006/relationships/worksheet" Target="worksheets/sheet10.xml"/><Relationship Id="rId31" Type="http://schemas.openxmlformats.org/officeDocument/2006/relationships/externalLink" Target="externalLinks/externalLink12.xml"/><Relationship Id="rId44" Type="http://schemas.openxmlformats.org/officeDocument/2006/relationships/externalLink" Target="externalLinks/externalLink25.xml"/><Relationship Id="rId52" Type="http://schemas.openxmlformats.org/officeDocument/2006/relationships/externalLink" Target="externalLinks/externalLink33.xml"/><Relationship Id="rId60" Type="http://schemas.openxmlformats.org/officeDocument/2006/relationships/externalLink" Target="externalLinks/externalLink41.xml"/><Relationship Id="rId65" Type="http://schemas.openxmlformats.org/officeDocument/2006/relationships/externalLink" Target="externalLinks/externalLink46.xml"/><Relationship Id="rId73" Type="http://schemas.openxmlformats.org/officeDocument/2006/relationships/externalLink" Target="externalLinks/externalLink54.xml"/><Relationship Id="rId78" Type="http://schemas.openxmlformats.org/officeDocument/2006/relationships/externalLink" Target="externalLinks/externalLink59.xml"/><Relationship Id="rId81" Type="http://schemas.openxmlformats.org/officeDocument/2006/relationships/externalLink" Target="externalLinks/externalLink62.xml"/><Relationship Id="rId86" Type="http://schemas.openxmlformats.org/officeDocument/2006/relationships/externalLink" Target="externalLinks/externalLink67.xml"/><Relationship Id="rId94" Type="http://schemas.openxmlformats.org/officeDocument/2006/relationships/externalLink" Target="externalLinks/externalLink75.xml"/><Relationship Id="rId99" Type="http://schemas.openxmlformats.org/officeDocument/2006/relationships/sharedStrings" Target="sharedStrings.xml"/><Relationship Id="rId10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0.xml"/><Relationship Id="rId34" Type="http://schemas.openxmlformats.org/officeDocument/2006/relationships/externalLink" Target="externalLinks/externalLink15.xml"/><Relationship Id="rId50" Type="http://schemas.openxmlformats.org/officeDocument/2006/relationships/externalLink" Target="externalLinks/externalLink31.xml"/><Relationship Id="rId55" Type="http://schemas.openxmlformats.org/officeDocument/2006/relationships/externalLink" Target="externalLinks/externalLink36.xml"/><Relationship Id="rId76" Type="http://schemas.openxmlformats.org/officeDocument/2006/relationships/externalLink" Target="externalLinks/externalLink57.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52.xml"/><Relationship Id="rId92" Type="http://schemas.openxmlformats.org/officeDocument/2006/relationships/externalLink" Target="externalLinks/externalLink73.xml"/><Relationship Id="rId2" Type="http://schemas.openxmlformats.org/officeDocument/2006/relationships/worksheet" Target="worksheets/sheet2.xml"/><Relationship Id="rId29" Type="http://schemas.openxmlformats.org/officeDocument/2006/relationships/externalLink" Target="externalLinks/externalLink10.xml"/><Relationship Id="rId24" Type="http://schemas.openxmlformats.org/officeDocument/2006/relationships/externalLink" Target="externalLinks/externalLink5.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66" Type="http://schemas.openxmlformats.org/officeDocument/2006/relationships/externalLink" Target="externalLinks/externalLink47.xml"/><Relationship Id="rId87" Type="http://schemas.openxmlformats.org/officeDocument/2006/relationships/externalLink" Target="externalLinks/externalLink68.xml"/><Relationship Id="rId61" Type="http://schemas.openxmlformats.org/officeDocument/2006/relationships/externalLink" Target="externalLinks/externalLink42.xml"/><Relationship Id="rId82" Type="http://schemas.openxmlformats.org/officeDocument/2006/relationships/externalLink" Target="externalLinks/externalLink6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56" Type="http://schemas.openxmlformats.org/officeDocument/2006/relationships/externalLink" Target="externalLinks/externalLink37.xml"/><Relationship Id="rId77" Type="http://schemas.openxmlformats.org/officeDocument/2006/relationships/externalLink" Target="externalLinks/externalLink58.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32.xml"/><Relationship Id="rId72" Type="http://schemas.openxmlformats.org/officeDocument/2006/relationships/externalLink" Target="externalLinks/externalLink53.xml"/><Relationship Id="rId93" Type="http://schemas.openxmlformats.org/officeDocument/2006/relationships/externalLink" Target="externalLinks/externalLink74.xml"/><Relationship Id="rId98" Type="http://schemas.openxmlformats.org/officeDocument/2006/relationships/styles" Target="styles.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urostarinternational.sharepoint.com/ctx-ad-fil01/RG%20Shareddata/WIT%20Lounge%20Purchasing/Accruals%20-%20Purchase%20Ledger/Outstanding%20Accruals%20August%20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sclient\R\Bouclette%20Europe-Overseas%2012.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x-ad-fil01\RG%20Shareddata\WIT%20Lounge%20Purchasing\Accruals%20-%20Purchase%20Ledger\Outstanding%20Accruals%20August%20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Budget\JAJInc03\1st%20Budget%20Review\Templates%20Received\1st%20Budget%20Review%202003%20-%20JAJCC.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1/a9507525/LOCALS~1/Temp/DropOL/Visite%20usine%20aout%202008/Travail/Site%20Visit%20-%20Master%20Back-u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61p14dg001\commun\DCG\Dcgcg\CYCLEGST\reporting\octobre%202009\TVE%20et%20dette%2031%20octobre%20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lient\T$\Documents%20and%20Settings\dcg361\Local%20Settings\Temporary%20Internet%20Files\OLK13\Simulation%202006_2010%20toutes%20uc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eurostar.inet\headquarters\Finance\Departmental\Production\Depot_at_TMI\HC_statistics_at_October_2012\2012_HC_Budget_Rolling_Stock_Master_v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sclient\S\Bouclette%20Europe-Overseas%2012.2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urostarinternational.sharepoint.com/eaa-wfs-001-p/DataUser$/Users/paynes/AppData/Roaming/Microsoft/Excel/Management%20Pack%20CS%20&amp;%20BE%20-%20Jul%20(version%201).xlsb"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aa-wfs-001-p\DataUser$\Users\paynes\AppData\Roaming\Microsoft\Excel\Management%20Pack%20CS%20&amp;%20BE%20-%20Jul%20(version%20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lient\T$\Dcgcg\CYCLEGST\Prev2001\COMEX102000\EnvoiDom\GL1020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lient\T$\DCG\Dccg%20Conso\PMT%202007-2009\Restitution\Plaquette%20synth&#232;se%20oD%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03_Dossiers/90_Ad-hoc/10_Acquisitions/Business_Plan/Via%20Location/Acquisitions/Maquette%20d'analys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eurostarinternational.sharepoint.com/eaa-wfs-001-p/DataUser$/Users/mcintyreJ/AppData/Local/Microsoft/Windows/INetCache/Content.Outlook/69A2R3L2/Ops%20Delivery%20Capex%20-%20workings%20v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aa-wfs-001-p\DataUser$\Users\mcintyreJ\AppData\Local\Microsoft\Windows\INetCache\Content.Outlook\69A2R3L2\Ops%20Delivery%20Capex%20-%20workings%20v0.5.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eurostarinternational.sharepoint.com/ad.eurostar.inet/headquarters/Finance/Departmental/FP&amp;A/2021/20YP/GreenSpeed%20-%20June%20Update/nfm/nfm-f670-d158.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eurostar.inet\headquarters\Finance\Departmental\FP&amp;A\2021\20YP\GreenSpeed%20-%20June%20Update\nfm\nfm-f670-d158.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61p14dg001\dcg\DCG\Dccg%20Conso\CONSO%2006A\VFEP\Etats\Anciens%20&#233;tats\plaquette%20consolid&#233;e%2012-2005%20IFRS%20et%2099-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Reporting%20mensuel\Reporting%202009.12\03.%20Resultat%202009.12\01-%20R&#233;sultats%202009.12%20apr&#232;s%20modif%20Messageri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sclient\S\Reporting%20mensuel\Reporting%202008.11\01%20-%20Flash%202008.11\01-%20R&#233;sultats%202007.1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na$/_Compta%20ana/Compte%20de%20Resultat/Pr&#233;visions/2006/prev%202006%20v%20sept%202006/Routes/Cologne-Paris_12_06%20prev080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ta/Excel/Budgets/2011/F&amp;B%20Follow%20up%20201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61p14dg001\DCG\Mes%20documents\Backup%20Book%20VFLI%202007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61p14dg001\DCG\DCG\Dccg%20Conso\DOSSIER%20PERMANENT\Maquette%20restitutions\SNCF\Maquette%20Annuelle\Impact%20bilan%20ouverture%2031%2012%20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lient\T$\DCG\Dccg%20Conso\CONSO%2005A\Rapport%20de%20gestion%2005A\Etats%20consolid&#233;s%2031%20d&#233;cembre%20200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PACKAGE\Packav1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eurostarinternational.sharepoint.com/eaa-wfs-001-p/DataUser$/Users/BuckleyN/AppData/Local/Adaptive%20Insights/OfficeConnect/Infrastructure%20Analytical%20Pack_Feb%2018%20v6.xlsxai"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aa-wfs-001-p\DataUser$\Users\BuckleyN\AppData\Local\Adaptive%20Insights\OfficeConnect\Infrastructure%20Analytical%20Pack_Feb%2018%20v6.xlsxai"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lient\T$\DCG\Dcgcic\efenaux\microEF\Conso05S\Documents%20de%20synth&#232;se%2005S\TFT%2005S\Variation%20de%20l'endettement%20net%2005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lient\T$\Documents%20and%20Settings\6711628Y\Mes%20documents\Professionnel\Conso\Tableau%20de%20bor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eurostarinternational.sharepoint.com/ad.eurostar.inet/headquarters/Finance/Departmental/FP&amp;A/2017/Consolidated/Headcount%20&amp;%20FTE/03.%20March/Headcount%20Report%20-%20Mar%2017.xlsm"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d.eurostar.inet\headquarters\Finance\Departmental\FP&amp;A\2017\Consolidated\Headcount%20&amp;%20FTE\03.%20March\Headcount%20Report%20-%20Mar%2017.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rv-files\serv$\FINANSERVICE\CAVP%202011\Bud%20CAVP%202011%20avec%20coeff%20plateaux%20&#224;%200.92%20v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na$/_Compta%20ana/Compte%20de%20Resultat/Pr&#233;visions/2006/prev%202006%20v%20sept%202006/Routes/Dorsale%20Flamande_12_06%20prev080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lient\T$\DCG\Dcgcg\CYCLEGST\Prev2006\Reprev%208+4\synth&#232;se\Book%20synth&#232;se%208+4\Synthese%208+4%20Excel%20290920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61p14dg001\commun\DCG\Dcgcg\CYCLEGST\reporting\octobre%202009\Bilan%20&#233;conomique%20au%2031-10-09%20par%20branch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61p14dg001\DCG\DCG\Dccg%20Conso\Conso%2009A\Restitutions\TVE%20et%20dette%2031%20d&#233;cembre%200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lient\t$\DCG\Dccg%20Conso\CONSO%2007A\Annexe\Fichiers%20excel%20pour%20annexe%20word\Annexe%202007A%20Note%2019%20Passifs%20financier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urostarinternational.sharepoint.com/eaa-wfs-001-p/DataUser$/Users/parkerl/AppData/Local/Box/Box%20Edit/Documents/TxpsWhUiUEmle5d7heWk5Q==/Grand%20Slam_CM%20Bank%20Case%20June%20Actuals%20-%20Central%20Case%202022%20v3.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aa-wfs-001-p\DataUser$\Users\parkerl\AppData\Local\Box\Box%20Edit\Documents\TxpsWhUiUEmle5d7heWk5Q==\Grand%20Slam_CM%20Bank%20Case%20June%20Actuals%20-%20Central%20Case%202022%20v3.xlsm"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43.xml.rels><?xml version="1.0" encoding="UTF-8" standalone="yes"?>
<Relationships xmlns="http://schemas.openxmlformats.org/package/2006/relationships"><Relationship Id="rId2" Type="http://schemas.microsoft.com/office/2019/04/relationships/externalLinkLongPath" Target="https://eurostarinternational.sharepoint.com/ad.eurostar.inet/headquarters/Finance/Departmental/FP&amp;A/2021/Ops%20Delivery/Budget%202021/Rolling%20Stock/FY21%20buget%20_TSSSA%20Estimator124%20_%20Band%201_2010_R%20exams%20and%20banding%20update%20scenarios.xlsx?6D6450AD" TargetMode="External"/><Relationship Id="rId1" Type="http://schemas.openxmlformats.org/officeDocument/2006/relationships/externalLinkPath" Target="file:///\\6D6450AD\FY21%20buget%20_TSSSA%20Estimator124%20_%20Band%201_2010_R%20exams%20and%20banding%20update%20scenarios.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d.eurostar.inet\headquarters\Finance\Departmental\FP&amp;A\2021\Ops%20Delivery\Budget%202021\Rolling%20Stock\FY21%20buget%20_TSSSA%20Estimator124%20_%20Band%201_2010_R%20exams%20and%20banding%20update%20scenarios.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eurostarinternational.sharepoint.com/ad.eurostar.inet/headquarters/Finance/Departmental/FP&amp;A/2016/2016%2010YP%20(December%20Board)/Model%20Versions/EAM-f767-d514-MID.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d.eurostar.inet\headquarters\Finance\Departmental\FP&amp;A\2016\2016%2010YP%20(December%20Board)\Model%20Versions\EAM-f767-d514-MID.xlsm"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tsclient\R\Reporting%20mensuel\19%20-%20Reporting%202005.05\resultats%202005.05\Flash%202005.05\Matrice%20Estimation%20Flash%202005.05%20(version%2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lient\T$\Documents%20and%20Settings\dcg361\Local%20Settings\Temporary%20Internet%20Files\OLK13\Copie%20de%20CRN%20SUITE%20NEW%20LAST%2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na$/_Compta%20ana/Compte%20de%20Resultat/Pr&#233;visions/2006/prev%202006%20v%20sept%202006/Routes/Li&#232;ge%20G-Paris_12_06%20prev080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lient\T$\PA\PUBLIC\PA-CG\RA%20Mai%202004\Cessions\PREVISIONS%20VENTES%20bureaux%20DIOv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lient\T$\DCG\Dcgcic\Arrete%2031%20decembre%202002\Liasse%20UNIQUE%20&#224;%20remplir%20pour%20la%20CONSOLIDATION\Liasse%20SNCF%2031-12-01%20-%20B2%20corrig&#233;e%20VIERGE.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https://eurostarinternational.sharepoint.com/sites/FPAandBusinessPartnering/Shared%20Documents/General/2024/Capex/EIL%20Capex/02.%20February%2024/Capex%20Management%20Accounts%20Feb%2024.xlsm" TargetMode="External"/><Relationship Id="rId1" Type="http://schemas.openxmlformats.org/officeDocument/2006/relationships/externalLinkPath" Target="https://eurostarinternational.sharepoint.com/sites/FPAandBusinessPartnering/Shared%20Documents/General/2024/Capex/EIL%20Capex/02.%20February%2024/Capex%20Management%20Accounts%20Feb%2024.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lient\T$\DCG\Dccg%20Conso\CONSO%2006A\VFEP\Etats\Anciens%20&#233;tats\plaquette%20consolid&#233;e%2012-2005%20IFRS%20et%2099-02.xls" TargetMode="External"/></Relationships>
</file>

<file path=xl/externalLinks/_rels/externalLink54.xml.rels><?xml version="1.0" encoding="UTF-8" standalone="yes"?>
<Relationships xmlns="http://schemas.openxmlformats.org/package/2006/relationships"><Relationship Id="rId3" Type="http://schemas.openxmlformats.org/officeDocument/2006/relationships/externalLinkPath" Target="https://eurostarinternational.sharepoint.com/sites/FPAandBusinessPartnering/Shared%20Documents/General/2026/2026%20Budget/Technology%20&amp;%20Process%20Optimisation/Budget%20Targets/Technology%20&amp;%20Process%20Optimisation%20-%20Budget%202026%20Target%20RR%20Edit%20.xlsx" TargetMode="External"/><Relationship Id="rId2" Type="http://schemas.microsoft.com/office/2019/04/relationships/externalLinkLongPath" Target="https://eurostarinternational.sharepoint.com/sites/FPAandBusinessPartnering/Shared%20Documents/General/2026/2026%20Budget/Technology%20&amp;%20Process%20Optimisation/Budget%20Targets/Technology%20&amp;%20Process%20Optimisation%20-%20Budget%202026%20Target%20RR%20Edit%20.xlsx?D5437FEC" TargetMode="External"/><Relationship Id="rId1" Type="http://schemas.openxmlformats.org/officeDocument/2006/relationships/externalLinkPath" Target="file:///\\D5437FEC\Technology%20&amp;%20Process%20Optimisation%20-%20Budget%202026%20Target%20RR%20Edit%20.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rv-files\fina$\_Biblioth&#232;que%20donn&#233;es%20de%20r&#233;f&#233;rence\2004\CDR\CDR%202004%20infra%20test%20avec%20UM.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rv-files\fina$\_Decomptes\Ams%20MLV\D&#233;compte%202004%20AMS%20MLV\Decte2004Disney%20-%20proposal%205.04.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www.budget.sncf.com/DCG/Dccg%20Conso/CONSO%2005A/Rapport%20de%20gestion%2005A/Etats%20consolid&#233;s%2031%20d&#233;cembre%20200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na$/_Budget/Suivi%20budg&#233;taire%20THI/budget%202004/suivi%20mensuel/suivi%20budget%20fin%20septembre%2020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HQS03-003FS\Share\Human%20Resources\Restricted\Pay\Pay%20Grades%20&amp;%20Salary%20Bands\salary%20band%20archive\Salary%20Bands\on%201.5.1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Documents%20and%20Settings/7509834N/Local%20Settings/Temporary%20Internet%20Files/OLK6/2008-12-02%20Impairment%20test%20IAS%20hors%20parc%20immobilier%20MAJ%20SUBVENTION.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https://eurostarinternational.sharepoint.com/sites/EurostarGroupBPModel/Shared%20Documents/General/20Y%20plan/BP%202025-2044/Model/Eurostar%2020Y-plan%20model%20-%20BP%202025-2044.xlsm" TargetMode="External"/><Relationship Id="rId1" Type="http://schemas.openxmlformats.org/officeDocument/2006/relationships/externalLinkPath" Target="https://eurostarinternational.sharepoint.com/sites/EurostarGroupBPModel/Shared%20Documents/General/20Y%20plan/BP%202025-2044/Model/Eurostar%2020Y-plan%20model%20-%20BP%202025-2044.xlsm" TargetMode="External"/></Relationships>
</file>

<file path=xl/externalLinks/_rels/externalLink62.xml.rels><?xml version="1.0" encoding="UTF-8" standalone="yes"?>
<Relationships xmlns="http://schemas.openxmlformats.org/package/2006/relationships"><Relationship Id="rId2" Type="http://schemas.openxmlformats.org/officeDocument/2006/relationships/externalLinkPath" Target="https://eurostarinternational.sharepoint.com/sites/EurostarGroupBPModel/Shared%20Documents/General/20Y%20plan/BP%202025-2044/Model/Eurostar%2020Y-plan%20model%20-%20BP%202025-2044%20-%20V2.xlsm" TargetMode="External"/><Relationship Id="rId1" Type="http://schemas.openxmlformats.org/officeDocument/2006/relationships/externalLinkPath" Target="https://eurostarinternational.sharepoint.com/sites/EurostarGroupBPModel/Shared%20Documents/General/20Y%20plan/BP%202025-2044/Model/Eurostar%2020Y-plan%20model%20-%20BP%202025-2044%20-%20V2.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DOCUME~1/ftacher/LOCALS~1/Temp/d.Lotus.Notes.Data/Suivi%20AO%20+%20CR/CHIMIE%20Appels%20d'Offres%20Geodis%20BM%20MAI%202004.xls" TargetMode="External"/></Relationships>
</file>

<file path=xl/externalLinks/_rels/externalLink64.xml.rels><?xml version="1.0" encoding="UTF-8" standalone="yes"?>
<Relationships xmlns="http://schemas.openxmlformats.org/package/2006/relationships"><Relationship Id="rId2" Type="http://schemas.microsoft.com/office/2019/04/relationships/externalLinkLongPath" Target="file:///\\Client\T$\DOCUME~1\Caroline\LOCALS~1\Temp\R&#233;pertoire%20temporaire%202%20pour%20Fichiers%20annexe%20juin%202007.zip\Documents%20and%20Settings\sdurchon\Mes%20documents\SNCF%20IAS%20-%20IFRS\Maquette%20des%20&#233;tats%20financiers\Magnitude%20-%20Structure\Magnitude%20-%20Tables?782A6E29" TargetMode="External"/><Relationship Id="rId1" Type="http://schemas.openxmlformats.org/officeDocument/2006/relationships/externalLinkPath" Target="file:///\\782A6E29\Magnitude%20-%20Table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na$/_Compta%20ana/Compte%20de%20Resultat/Pr&#233;visions/2006/prev%202006%20v%20sept%202006/_d&#233;cembre%20route_12_06%20prev080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na$/_Compta%20ana/Compte%20de%20Resultat/Neige/2006/Neige_04_0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LDNC034PN1\_BUIHA$\My%20Documents\Ratings%20Advisory\Adjustment%20template\Global%20Industrial%20Annual-DELINKED.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ors_Access/Arrete_comptable_2003/Arrete_comptable_31_07_03/Tableau%20de%20bord/R&#233;unions/DDI/DDI%2009%2010%2002/DDI%2022%2007%2002/Suivi%20cl&#244;ture%20semestrielle%202002%20AU%2015%20JUI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eurostarinternational.sharepoint.com/ad.eurostar.inet/headquarters/Finance/Departmental/JOURNALS/2015/04-April-2015/CS%20&amp;%20IS/Central%20Services/2.%20Posted/2015%2004%20Costs%20Allocation%20GBP.xlsm"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d.eurostar.inet\headquarters\Finance\Departmental\JOURNALS\2015\04-April-2015\CS%20&amp;%20IS\Central%20Services\2.%20Posted\2015%2004%20Costs%20Allocation%20GBP.xlsm"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tsclient\R\Reporting%20mensuel\Reporting%202007.08\03%20-%20R&#233;sultats%202007.08\01-%20R&#233;sultats%202007.08.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lient\r$\Bouclette%20Europe-Overseas%2012.2000.xls"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https://eurostarinternational.sharepoint.com/sites/FPAandBusinessPartnering/Shared%20Documents/General/2026/2026%20Budget/Central%20Services/Final%20Budget%20Distribution/Bus%20dev%20example.xlsx" TargetMode="External"/><Relationship Id="rId1" Type="http://schemas.openxmlformats.org/officeDocument/2006/relationships/externalLinkPath" Target="https://eurostarinternational.sharepoint.com/sites/FPAandBusinessPartnering/Shared%20Documents/General/2026/2026%20Budget/Central%20Services/Final%20Budget%20Distribution/Bus%20dev%20example.xlsx"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https://eurostarinternational.sharepoint.com/sites/FPAandBusinessPartnering/Shared%20Documents/General/2026/2026%20Budget/Technology%20&amp;%20Process%20Optimisation/Budget%20Distribution/EIL%20IS%20OPEX%20604%20605.xlsx" TargetMode="External"/><Relationship Id="rId1" Type="http://schemas.openxmlformats.org/officeDocument/2006/relationships/externalLinkPath" Target="https://eurostarinternational.sharepoint.com/sites/FPAandBusinessPartnering/Shared%20Documents/General/2026/2026%20Budget/Technology%20&amp;%20Process%20Optimisation/Budget%20Distribution/EIL%20IS%20OPEX%20604%20605.xlsx"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https://eurostarinternational.sharepoint.com/sites/FPAandBusinessPartnering/Shared%20Documents/General/2026/2026%20Budget/Technology%20&amp;%20Process%20Optimisation/Budget%20Targets/Capex%20-%20B26%20Targets.xlsx" TargetMode="External"/><Relationship Id="rId1" Type="http://schemas.openxmlformats.org/officeDocument/2006/relationships/externalLinkPath" Target="https://eurostarinternational.sharepoint.com/sites/FPAandBusinessPartnering/Shared%20Documents/General/2026/2026%20Budget/Technology%20&amp;%20Process%20Optimisation/Budget%20Targets/Capex%20-%20B26%20Targ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Accr"/>
      <sheetName val="D.N. Accr"/>
      <sheetName val="Inv. Accr"/>
      <sheetName val="Eurovend Accr"/>
      <sheetName val="Mnthly Bills"/>
      <sheetName val="Lnge Accr"/>
      <sheetName val="Lnge Clean"/>
      <sheetName val="Lnge Stock Accr"/>
      <sheetName val="Inter Comp. Accr"/>
      <sheetName val="Additio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cp"/>
      <sheetName val="ecartacquis actif"/>
      <sheetName val="ecartacquis passif"/>
      <sheetName val="Participt non conso "/>
      <sheetName val="Part reev MEE"/>
      <sheetName val="VCP GROUPE"/>
      <sheetName val="VCP mino"/>
      <sheetName val="RESSOC AU CONSO"/>
      <sheetName val="CPSOC AU CONSO"/>
      <sheetName val="S rchg"/>
      <sheetName val="det prov rc"/>
      <sheetName val="detechéandettes"/>
      <sheetName val="CPTRES"/>
      <sheetName val="SIG"/>
      <sheetName val="VentSE"/>
      <sheetName val="Res fin"/>
      <sheetName val="Res excep rub"/>
      <sheetName val="S excep"/>
      <sheetName val="Detexcept"/>
      <sheetName val="ENGAGT HORS BILAN"/>
      <sheetName val="EFMESEUR"/>
      <sheetName val="Bouclette Europe-Overseas 12"/>
      <sheetName val="Market Sector"/>
      <sheetName val="Interco-3rd party"/>
      <sheetName val="Entite_20150916"/>
      <sheetName val="Business and Offer"/>
      <sheetName val="Business"/>
      <sheetName val="Offer"/>
      <sheetName val="Listen"/>
      <sheetName val="Rattachement"/>
      <sheetName val="Vertical Markets"/>
      <sheetName val="Classification"/>
      <sheetName val="Mois"/>
      <sheetName val="Date"/>
      <sheetName val="Parameters"/>
      <sheetName val="Liste"/>
      <sheetName val="CR IFRS"/>
      <sheetName val="Activity"/>
      <sheetName val="ListParam"/>
      <sheetName val="Feuil1"/>
      <sheetName val="Liasse de Saisie"/>
      <sheetName val="Madrid Direct Function"/>
      <sheetName val="Rates"/>
      <sheetName val="Lists"/>
      <sheetName val="Sheet1"/>
      <sheetName val="ecartacquis_actif"/>
      <sheetName val="ecartacquis_passif"/>
      <sheetName val="Participt_non_conso_"/>
      <sheetName val="Part_reev_MEE"/>
      <sheetName val="VCP_GROUPE"/>
      <sheetName val="VCP_mino"/>
      <sheetName val="RESSOC_AU_CONSO"/>
      <sheetName val="CPSOC_AU_CONSO"/>
      <sheetName val="S_rchg"/>
      <sheetName val="det_prov_rc"/>
      <sheetName val="Res_fin"/>
      <sheetName val="Res_excep_rub"/>
      <sheetName val="S_excep"/>
      <sheetName val="ENGAGT_HORS_BILAN"/>
      <sheetName val="Bouclette_Europe-Overseas_12"/>
      <sheetName val="Market_Sector"/>
      <sheetName val="Interco-3rd_party"/>
      <sheetName val="Business_and_Offer"/>
      <sheetName val="Vertical_Markets"/>
      <sheetName val="CR_IFRS"/>
      <sheetName val="Madrid_Direct_Function"/>
      <sheetName val="ecartacquis_actif1"/>
      <sheetName val="ecartacquis_passif1"/>
      <sheetName val="Participt_non_conso_1"/>
      <sheetName val="Part_reev_MEE1"/>
      <sheetName val="VCP_GROUPE1"/>
      <sheetName val="VCP_mino1"/>
      <sheetName val="RESSOC_AU_CONSO1"/>
      <sheetName val="CPSOC_AU_CONSO1"/>
      <sheetName val="S_rchg1"/>
      <sheetName val="det_prov_rc1"/>
      <sheetName val="Res_fin1"/>
      <sheetName val="Res_excep_rub1"/>
      <sheetName val="S_excep1"/>
      <sheetName val="ENGAGT_HORS_BILAN1"/>
      <sheetName val="Bouclette_Europe-Overseas_121"/>
      <sheetName val="Market_Sector1"/>
      <sheetName val="Interco-3rd_party1"/>
      <sheetName val="Business_and_Offer1"/>
      <sheetName val="Vertical_Markets1"/>
      <sheetName val="CR_IFRS1"/>
      <sheetName val="Madrid_Direct_Function1"/>
      <sheetName val="Liasse_de_Saisie"/>
      <sheetName val="Datas"/>
      <sheetName val="ecartacquis_actif2"/>
      <sheetName val="ecartacquis_passif2"/>
      <sheetName val="Participt_non_conso_2"/>
      <sheetName val="Part_reev_MEE2"/>
      <sheetName val="VCP_GROUPE2"/>
      <sheetName val="VCP_mino2"/>
      <sheetName val="RESSOC_AU_CONSO2"/>
      <sheetName val="CPSOC_AU_CONSO2"/>
      <sheetName val="S_rchg2"/>
      <sheetName val="det_prov_rc2"/>
      <sheetName val="Res_fin2"/>
      <sheetName val="Res_excep_rub2"/>
      <sheetName val="S_excep2"/>
      <sheetName val="ENGAGT_HORS_BILAN2"/>
      <sheetName val="Bouclette_Europe-Overseas_122"/>
      <sheetName val="Market_Sector2"/>
      <sheetName val="Interco-3rd_party2"/>
      <sheetName val="Business_and_Offer2"/>
      <sheetName val="Vertical_Markets2"/>
      <sheetName val="CR_IFRS2"/>
      <sheetName val="Madrid_Direct_Function2"/>
      <sheetName val="Liasse_de_Saisie1"/>
      <sheetName val="MASTER"/>
      <sheetName val="ref"/>
      <sheetName val="ecartacquis_actif3"/>
      <sheetName val="ecartacquis_passif3"/>
      <sheetName val="Participt_non_conso_3"/>
      <sheetName val="Part_reev_MEE3"/>
      <sheetName val="VCP_GROUPE3"/>
      <sheetName val="VCP_mino3"/>
      <sheetName val="RESSOC_AU_CONSO3"/>
      <sheetName val="CPSOC_AU_CONSO3"/>
      <sheetName val="S_rchg3"/>
      <sheetName val="det_prov_rc3"/>
      <sheetName val="Res_fin3"/>
      <sheetName val="Res_excep_rub3"/>
      <sheetName val="S_excep3"/>
      <sheetName val="ENGAGT_HORS_BILAN3"/>
      <sheetName val="Bouclette_Europe-Overseas_123"/>
      <sheetName val="Market_Sector3"/>
      <sheetName val="Interco-3rd_party3"/>
      <sheetName val="Business_and_Offer3"/>
      <sheetName val="Vertical_Markets3"/>
      <sheetName val="CR_IFRS3"/>
      <sheetName val="Madrid_Direct_Function3"/>
      <sheetName val="Liasse_de_Saisie2"/>
      <sheetName val="ecartacquis_actif4"/>
      <sheetName val="ecartacquis_passif4"/>
      <sheetName val="Participt_non_conso_4"/>
      <sheetName val="Part_reev_MEE4"/>
      <sheetName val="VCP_GROUPE4"/>
      <sheetName val="VCP_mino4"/>
      <sheetName val="RESSOC_AU_CONSO4"/>
      <sheetName val="CPSOC_AU_CONSO4"/>
      <sheetName val="S_rchg4"/>
      <sheetName val="det_prov_rc4"/>
      <sheetName val="Res_fin4"/>
      <sheetName val="Res_excep_rub4"/>
      <sheetName val="S_excep4"/>
      <sheetName val="ENGAGT_HORS_BILAN4"/>
      <sheetName val="Bouclette_Europe-Overseas_124"/>
      <sheetName val="Market_Sector4"/>
      <sheetName val="Interco-3rd_party4"/>
      <sheetName val="Business_and_Offer4"/>
      <sheetName val="Vertical_Markets4"/>
      <sheetName val="CR_IFRS4"/>
      <sheetName val="Madrid_Direct_Function4"/>
      <sheetName val="Liasse_de_Saisie3"/>
      <sheetName val="PLAGES"/>
      <sheetName val="ecartacquis_actif5"/>
      <sheetName val="ecartacquis_passif5"/>
      <sheetName val="Participt_non_conso_5"/>
      <sheetName val="Part_reev_MEE5"/>
      <sheetName val="VCP_GROUPE5"/>
      <sheetName val="VCP_mino5"/>
      <sheetName val="RESSOC_AU_CONSO5"/>
      <sheetName val="CPSOC_AU_CONSO5"/>
      <sheetName val="S_rchg5"/>
      <sheetName val="det_prov_rc5"/>
      <sheetName val="Res_fin5"/>
      <sheetName val="Res_excep_rub5"/>
      <sheetName val="S_excep5"/>
      <sheetName val="ENGAGT_HORS_BILAN5"/>
      <sheetName val="Bouclette_Europe-Overseas_125"/>
      <sheetName val="Market_Sector5"/>
      <sheetName val="Interco-3rd_party5"/>
      <sheetName val="Business_and_Offer5"/>
      <sheetName val="Vertical_Markets5"/>
      <sheetName val="CR_IFRS5"/>
      <sheetName val="Madrid_Direct_Function5"/>
      <sheetName val="Liasse_de_Saisie4"/>
      <sheetName val="ecartacquis_actif7"/>
      <sheetName val="ecartacquis_passif7"/>
      <sheetName val="Participt_non_conso_7"/>
      <sheetName val="Part_reev_MEE7"/>
      <sheetName val="VCP_GROUPE7"/>
      <sheetName val="VCP_mino7"/>
      <sheetName val="RESSOC_AU_CONSO7"/>
      <sheetName val="CPSOC_AU_CONSO7"/>
      <sheetName val="S_rchg7"/>
      <sheetName val="det_prov_rc7"/>
      <sheetName val="Res_fin7"/>
      <sheetName val="Res_excep_rub7"/>
      <sheetName val="S_excep7"/>
      <sheetName val="ENGAGT_HORS_BILAN7"/>
      <sheetName val="Bouclette_Europe-Overseas_127"/>
      <sheetName val="Market_Sector7"/>
      <sheetName val="Interco-3rd_party7"/>
      <sheetName val="Business_and_Offer7"/>
      <sheetName val="Vertical_Markets7"/>
      <sheetName val="CR_IFRS7"/>
      <sheetName val="Madrid_Direct_Function7"/>
      <sheetName val="Liasse_de_Saisie6"/>
      <sheetName val="ecartacquis_actif6"/>
      <sheetName val="ecartacquis_passif6"/>
      <sheetName val="Participt_non_conso_6"/>
      <sheetName val="Part_reev_MEE6"/>
      <sheetName val="VCP_GROUPE6"/>
      <sheetName val="VCP_mino6"/>
      <sheetName val="RESSOC_AU_CONSO6"/>
      <sheetName val="CPSOC_AU_CONSO6"/>
      <sheetName val="S_rchg6"/>
      <sheetName val="det_prov_rc6"/>
      <sheetName val="Res_fin6"/>
      <sheetName val="Res_excep_rub6"/>
      <sheetName val="S_excep6"/>
      <sheetName val="ENGAGT_HORS_BILAN6"/>
      <sheetName val="Bouclette_Europe-Overseas_126"/>
      <sheetName val="Market_Sector6"/>
      <sheetName val="Interco-3rd_party6"/>
      <sheetName val="Business_and_Offer6"/>
      <sheetName val="Vertical_Markets6"/>
      <sheetName val="CR_IFRS6"/>
      <sheetName val="Madrid_Direct_Function6"/>
      <sheetName val="Liasse_de_Saisie5"/>
      <sheetName val="ecartacquis_actif8"/>
      <sheetName val="ecartacquis_passif8"/>
      <sheetName val="Participt_non_conso_8"/>
      <sheetName val="Part_reev_MEE8"/>
      <sheetName val="VCP_GROUPE8"/>
      <sheetName val="VCP_mino8"/>
      <sheetName val="RESSOC_AU_CONSO8"/>
      <sheetName val="CPSOC_AU_CONSO8"/>
      <sheetName val="S_rchg8"/>
      <sheetName val="det_prov_rc8"/>
      <sheetName val="Res_fin8"/>
      <sheetName val="Res_excep_rub8"/>
      <sheetName val="S_excep8"/>
      <sheetName val="ENGAGT_HORS_BILAN8"/>
      <sheetName val="Bouclette_Europe-Overseas_128"/>
      <sheetName val="Market_Sector8"/>
      <sheetName val="Interco-3rd_party8"/>
      <sheetName val="Business_and_Offer8"/>
      <sheetName val="Vertical_Markets8"/>
      <sheetName val="CR_IFRS8"/>
      <sheetName val="Madrid_Direct_Function8"/>
      <sheetName val="Liasse_de_Saisie7"/>
      <sheetName val="Synthèse des états"/>
      <sheetName val="Connexion"/>
      <sheetName val="Connexion (2)"/>
      <sheetName val="Dynamique de saisie"/>
      <sheetName val="Détail des masques &gt;&gt;"/>
      <sheetName val="Légende"/>
      <sheetName val="Coûts du Central &gt;"/>
      <sheetName val="Charte graphique"/>
      <sheetName val="CA_Externe &amp; Filiales"/>
      <sheetName val="CA_Inter-EPIC, Intra-Mob"/>
      <sheetName val="CA_Intra-Voyages"/>
      <sheetName val="Listes_CA"/>
      <sheetName val="ACE_Externe &amp; filiales"/>
      <sheetName val="Masque paramétrage custom"/>
      <sheetName val="Mensu liste"/>
      <sheetName val="Listes_ACE"/>
      <sheetName val="ACE_Inter-EPIC, Intra-Mob"/>
      <sheetName val="ACE_Intra-Voyages"/>
      <sheetName val="Autres P&amp;C_HG"/>
      <sheetName val="Autres P&amp;C_Part yc filiales"/>
      <sheetName val="Autres P&amp;C_Intra-Voyages"/>
      <sheetName val="Coûts du SI &gt;"/>
      <sheetName val="SI_As is"/>
      <sheetName val="SI_S9999"/>
      <sheetName val="SI_Listes"/>
      <sheetName val="Listes SI"/>
      <sheetName val="Projets_Option 2"/>
      <sheetName val="ACE Hors Groupe (yc projet)"/>
      <sheetName val="Autres I&amp;T"/>
      <sheetName val="Autres I&amp;T_HG"/>
      <sheetName val="Autres I&amp;T_Part yc filiales"/>
      <sheetName val="Autres I&amp;T_Intra-Voyages"/>
      <sheetName val="Liste Partenaire"/>
      <sheetName val="Liste Plan de compte"/>
      <sheetName val="PDCE"/>
      <sheetName val="Liste_Projets SI"/>
      <sheetName val="Liste Axe Ana"/>
      <sheetName val="Personnel"/>
      <sheetName val="Effectif 2016"/>
      <sheetName val="Mapping RG"/>
      <sheetName val="Effectif 2017"/>
      <sheetName val="ecartacquis_actif9"/>
      <sheetName val="ecartacquis_passif9"/>
      <sheetName val="Participt_non_conso_9"/>
      <sheetName val="Part_reev_MEE9"/>
      <sheetName val="VCP_GROUPE9"/>
      <sheetName val="VCP_mino9"/>
      <sheetName val="RESSOC_AU_CONSO9"/>
      <sheetName val="CPSOC_AU_CONSO9"/>
      <sheetName val="S_rchg9"/>
      <sheetName val="det_prov_rc9"/>
      <sheetName val="Res_fin9"/>
      <sheetName val="Res_excep_rub9"/>
      <sheetName val="S_excep9"/>
      <sheetName val="ENGAGT_HORS_BILAN9"/>
      <sheetName val="Bouclette_Europe-Overseas_129"/>
      <sheetName val="Market_Sector9"/>
      <sheetName val="Interco-3rd_party9"/>
      <sheetName val="Business_and_Offer9"/>
      <sheetName val="Vertical_Markets9"/>
      <sheetName val="CR_IFRS9"/>
      <sheetName val="Madrid_Direct_Function9"/>
      <sheetName val="Liasse_de_Saisie8"/>
      <sheetName val="ecartacquis_actif10"/>
      <sheetName val="ecartacquis_passif10"/>
      <sheetName val="Participt_non_conso_10"/>
      <sheetName val="Part_reev_MEE10"/>
      <sheetName val="VCP_GROUPE10"/>
      <sheetName val="VCP_mino10"/>
      <sheetName val="RESSOC_AU_CONSO10"/>
      <sheetName val="CPSOC_AU_CONSO10"/>
      <sheetName val="S_rchg10"/>
      <sheetName val="det_prov_rc10"/>
      <sheetName val="Res_fin10"/>
      <sheetName val="Res_excep_rub10"/>
      <sheetName val="S_excep10"/>
      <sheetName val="ENGAGT_HORS_BILAN10"/>
      <sheetName val="Bouclette_Europe-Overseas_1210"/>
      <sheetName val="Market_Sector10"/>
      <sheetName val="Interco-3rd_party10"/>
      <sheetName val="Business_and_Offer10"/>
      <sheetName val="Vertical_Markets10"/>
      <sheetName val="CR_IFRS10"/>
      <sheetName val="Madrid_Direct_Function10"/>
      <sheetName val="Liasse_de_Saisie9"/>
      <sheetName val="Feuil2"/>
      <sheetName val="Feuil3"/>
      <sheetName val="Gestion CT - 2"/>
      <sheetName val="ecartacquis_actif11"/>
      <sheetName val="ecartacquis_passif11"/>
      <sheetName val="Participt_non_conso_11"/>
      <sheetName val="Part_reev_MEE11"/>
      <sheetName val="VCP_GROUPE11"/>
      <sheetName val="VCP_mino11"/>
      <sheetName val="RESSOC_AU_CONSO11"/>
      <sheetName val="CPSOC_AU_CONSO11"/>
      <sheetName val="S_rchg11"/>
      <sheetName val="det_prov_rc11"/>
      <sheetName val="Res_fin11"/>
      <sheetName val="Res_excep_rub11"/>
      <sheetName val="S_excep11"/>
      <sheetName val="ENGAGT_HORS_BILAN11"/>
      <sheetName val="Bouclette_Europe-Overseas_1211"/>
      <sheetName val="Market_Sector11"/>
      <sheetName val="Interco-3rd_party11"/>
      <sheetName val="Business_and_Offer11"/>
      <sheetName val="Vertical_Markets11"/>
      <sheetName val="CR_IFRS11"/>
      <sheetName val="Madrid_Direct_Function11"/>
      <sheetName val="Liasse_de_Saisie10"/>
      <sheetName val="Synthèse_des_états"/>
      <sheetName val="Connexion_(2)"/>
      <sheetName val="Dynamique_de_saisie"/>
      <sheetName val="Détail_des_masques_&gt;&gt;"/>
      <sheetName val="Coûts_du_Central_&gt;"/>
      <sheetName val="Charte_graphique"/>
      <sheetName val="CA_Externe_&amp;_Filiales"/>
      <sheetName val="CA_Inter-EPIC,_Intra-Mob"/>
      <sheetName val="ACE_Externe_&amp;_filiales"/>
      <sheetName val="Masque_paramétrage_custom"/>
      <sheetName val="Mensu_liste"/>
      <sheetName val="ACE_Inter-EPIC,_Intra-Mob"/>
      <sheetName val="Autres_P&amp;C_HG"/>
      <sheetName val="Autres_P&amp;C_Part_yc_filiales"/>
      <sheetName val="Autres_P&amp;C_Intra-Voyages"/>
      <sheetName val="Coûts_du_SI_&gt;"/>
      <sheetName val="SI_As_is"/>
      <sheetName val="Listes_SI"/>
      <sheetName val="Projets_Option_2"/>
      <sheetName val="ACE_Hors_Groupe_(yc_projet)"/>
      <sheetName val="Autres_I&amp;T"/>
      <sheetName val="Autres_I&amp;T_HG"/>
      <sheetName val="Autres_I&amp;T_Part_yc_filiales"/>
      <sheetName val="Autres_I&amp;T_Intra-Voyages"/>
      <sheetName val="Liste_Partenaire"/>
      <sheetName val="Liste_Plan_de_compte"/>
      <sheetName val="Liste_Projets_SI"/>
      <sheetName val="Liste_Axe_Ana"/>
      <sheetName val="Effectif_2016"/>
      <sheetName val="Mapping_RG"/>
      <sheetName val="Effectif_2017"/>
      <sheetName val="ecartacquis_actif12"/>
      <sheetName val="ecartacquis_passif12"/>
      <sheetName val="Participt_non_conso_12"/>
      <sheetName val="Part_reev_MEE12"/>
      <sheetName val="VCP_GROUPE12"/>
      <sheetName val="VCP_mino12"/>
      <sheetName val="RESSOC_AU_CONSO12"/>
      <sheetName val="CPSOC_AU_CONSO12"/>
      <sheetName val="S_rchg12"/>
      <sheetName val="det_prov_rc12"/>
      <sheetName val="Res_fin12"/>
      <sheetName val="Res_excep_rub12"/>
      <sheetName val="S_excep12"/>
      <sheetName val="ENGAGT_HORS_BILAN12"/>
      <sheetName val="Bouclette_Europe-Overseas_1212"/>
      <sheetName val="Market_Sector12"/>
      <sheetName val="Interco-3rd_party12"/>
      <sheetName val="Business_and_Offer12"/>
      <sheetName val="Vertical_Markets12"/>
      <sheetName val="CR_IFRS12"/>
      <sheetName val="Madrid_Direct_Function12"/>
      <sheetName val="Liasse_de_Saisie11"/>
      <sheetName val="Synthèse_des_états1"/>
      <sheetName val="Connexion_(2)1"/>
      <sheetName val="Dynamique_de_saisie1"/>
      <sheetName val="Détail_des_masques_&gt;&gt;1"/>
      <sheetName val="Coûts_du_Central_&gt;1"/>
      <sheetName val="Charte_graphique1"/>
      <sheetName val="CA_Externe_&amp;_Filiales1"/>
      <sheetName val="CA_Inter-EPIC,_Intra-Mob1"/>
      <sheetName val="ACE_Externe_&amp;_filiales1"/>
      <sheetName val="Masque_paramétrage_custom1"/>
      <sheetName val="Mensu_liste1"/>
      <sheetName val="ACE_Inter-EPIC,_Intra-Mob1"/>
      <sheetName val="Autres_P&amp;C_HG1"/>
      <sheetName val="Autres_P&amp;C_Part_yc_filiales1"/>
      <sheetName val="Autres_P&amp;C_Intra-Voyages1"/>
      <sheetName val="Coûts_du_SI_&gt;1"/>
      <sheetName val="SI_As_is1"/>
      <sheetName val="Listes_SI1"/>
      <sheetName val="Projets_Option_21"/>
      <sheetName val="ACE_Hors_Groupe_(yc_projet)1"/>
      <sheetName val="Autres_I&amp;T1"/>
      <sheetName val="Autres_I&amp;T_HG1"/>
      <sheetName val="Autres_I&amp;T_Part_yc_filiales1"/>
      <sheetName val="Autres_I&amp;T_Intra-Voyages1"/>
      <sheetName val="Liste_Partenaire1"/>
      <sheetName val="Liste_Plan_de_compte1"/>
      <sheetName val="Liste_Projets_SI1"/>
      <sheetName val="Liste_Axe_Ana1"/>
      <sheetName val="Effectif_20161"/>
      <sheetName val="Mapping_RG1"/>
      <sheetName val="Effectif_20171"/>
      <sheetName val="ecartacquis_actif13"/>
      <sheetName val="ecartacquis_passif13"/>
      <sheetName val="Participt_non_conso_13"/>
      <sheetName val="Part_reev_MEE13"/>
      <sheetName val="VCP_GROUPE13"/>
      <sheetName val="VCP_mino13"/>
      <sheetName val="RESSOC_AU_CONSO13"/>
      <sheetName val="CPSOC_AU_CONSO13"/>
      <sheetName val="S_rchg13"/>
      <sheetName val="det_prov_rc13"/>
      <sheetName val="Res_fin13"/>
      <sheetName val="Res_excep_rub13"/>
      <sheetName val="S_excep13"/>
      <sheetName val="ENGAGT_HORS_BILAN13"/>
      <sheetName val="Bouclette_Europe-Overseas_1213"/>
      <sheetName val="Market_Sector13"/>
      <sheetName val="Interco-3rd_party13"/>
      <sheetName val="Business_and_Offer13"/>
      <sheetName val="Vertical_Markets13"/>
      <sheetName val="CR_IFRS13"/>
      <sheetName val="Madrid_Direct_Function13"/>
      <sheetName val="Liasse_de_Saisie12"/>
      <sheetName val="Synthèse_des_états2"/>
      <sheetName val="Connexion_(2)2"/>
      <sheetName val="Dynamique_de_saisie2"/>
      <sheetName val="Détail_des_masques_&gt;&gt;2"/>
      <sheetName val="Coûts_du_Central_&gt;2"/>
      <sheetName val="Charte_graphique2"/>
      <sheetName val="CA_Externe_&amp;_Filiales2"/>
      <sheetName val="CA_Inter-EPIC,_Intra-Mob2"/>
      <sheetName val="ACE_Externe_&amp;_filiales2"/>
      <sheetName val="Masque_paramétrage_custom2"/>
      <sheetName val="Mensu_liste2"/>
      <sheetName val="ACE_Inter-EPIC,_Intra-Mob2"/>
      <sheetName val="Autres_P&amp;C_HG2"/>
      <sheetName val="Autres_P&amp;C_Part_yc_filiales2"/>
      <sheetName val="Autres_P&amp;C_Intra-Voyages2"/>
      <sheetName val="Coûts_du_SI_&gt;2"/>
      <sheetName val="SI_As_is2"/>
      <sheetName val="Listes_SI2"/>
      <sheetName val="Projets_Option_22"/>
      <sheetName val="ACE_Hors_Groupe_(yc_projet)2"/>
      <sheetName val="Autres_I&amp;T2"/>
      <sheetName val="Autres_I&amp;T_HG2"/>
      <sheetName val="Autres_I&amp;T_Part_yc_filiales2"/>
      <sheetName val="Autres_I&amp;T_Intra-Voyages2"/>
      <sheetName val="Liste_Partenaire2"/>
      <sheetName val="Liste_Plan_de_compte2"/>
      <sheetName val="Liste_Projets_SI2"/>
      <sheetName val="Liste_Axe_Ana2"/>
      <sheetName val="Effectif_20162"/>
      <sheetName val="Mapping_RG2"/>
      <sheetName val="Effectif_20172"/>
      <sheetName val="ecartacquis_actif14"/>
      <sheetName val="ecartacquis_passif14"/>
      <sheetName val="Participt_non_conso_14"/>
      <sheetName val="Part_reev_MEE14"/>
      <sheetName val="VCP_GROUPE14"/>
      <sheetName val="VCP_mino14"/>
      <sheetName val="RESSOC_AU_CONSO14"/>
      <sheetName val="CPSOC_AU_CONSO14"/>
      <sheetName val="S_rchg14"/>
      <sheetName val="det_prov_rc14"/>
      <sheetName val="Res_fin14"/>
      <sheetName val="Res_excep_rub14"/>
      <sheetName val="S_excep14"/>
      <sheetName val="ENGAGT_HORS_BILAN14"/>
      <sheetName val="Bouclette_Europe-Overseas_1214"/>
      <sheetName val="Market_Sector14"/>
      <sheetName val="Interco-3rd_party14"/>
      <sheetName val="Business_and_Offer14"/>
      <sheetName val="Vertical_Markets14"/>
      <sheetName val="CR_IFRS14"/>
      <sheetName val="Madrid_Direct_Function14"/>
      <sheetName val="Liasse_de_Saisie13"/>
      <sheetName val="Synthèse_des_états3"/>
      <sheetName val="Connexion_(2)3"/>
      <sheetName val="Dynamique_de_saisie3"/>
      <sheetName val="Détail_des_masques_&gt;&gt;3"/>
      <sheetName val="Coûts_du_Central_&gt;3"/>
      <sheetName val="Charte_graphique3"/>
      <sheetName val="CA_Externe_&amp;_Filiales3"/>
      <sheetName val="CA_Inter-EPIC,_Intra-Mob3"/>
      <sheetName val="ACE_Externe_&amp;_filiales3"/>
      <sheetName val="Masque_paramétrage_custom3"/>
      <sheetName val="Mensu_liste3"/>
      <sheetName val="ACE_Inter-EPIC,_Intra-Mob3"/>
      <sheetName val="Autres_P&amp;C_HG3"/>
      <sheetName val="Autres_P&amp;C_Part_yc_filiales3"/>
      <sheetName val="Autres_P&amp;C_Intra-Voyages3"/>
      <sheetName val="Coûts_du_SI_&gt;3"/>
      <sheetName val="SI_As_is3"/>
      <sheetName val="Listes_SI3"/>
      <sheetName val="Projets_Option_23"/>
      <sheetName val="ACE_Hors_Groupe_(yc_projet)3"/>
      <sheetName val="Autres_I&amp;T3"/>
      <sheetName val="Autres_I&amp;T_HG3"/>
      <sheetName val="Autres_I&amp;T_Part_yc_filiales3"/>
      <sheetName val="Autres_I&amp;T_Intra-Voyages3"/>
      <sheetName val="Liste_Partenaire3"/>
      <sheetName val="Liste_Plan_de_compte3"/>
      <sheetName val="Liste_Projets_SI3"/>
      <sheetName val="Liste_Axe_Ana3"/>
      <sheetName val="Effectif_20163"/>
      <sheetName val="Mapping_RG3"/>
      <sheetName val="Effectif_20173"/>
      <sheetName val="pvt"/>
      <sheetName val="LEDGER 2019"/>
      <sheetName val="LEDGER 2020"/>
      <sheetName val="E-faktur (FP)"/>
      <sheetName val="RECAP (TIDAK ADA DI GL VAT)"/>
      <sheetName val="look up"/>
      <sheetName val="July19"/>
      <sheetName val="ecartacquis_actif15"/>
      <sheetName val="ecartacquis_passif15"/>
      <sheetName val="Participt_non_conso_15"/>
      <sheetName val="Part_reev_MEE15"/>
      <sheetName val="VCP_GROUPE15"/>
      <sheetName val="VCP_mino15"/>
      <sheetName val="RESSOC_AU_CONSO15"/>
      <sheetName val="CPSOC_AU_CONSO15"/>
      <sheetName val="S_rchg15"/>
      <sheetName val="det_prov_rc15"/>
      <sheetName val="Res_fin15"/>
      <sheetName val="Res_excep_rub15"/>
      <sheetName val="S_excep15"/>
      <sheetName val="ENGAGT_HORS_BILAN15"/>
      <sheetName val="Bouclette_Europe-Overseas_1215"/>
      <sheetName val="Market_Sector15"/>
      <sheetName val="Interco-3rd_party15"/>
      <sheetName val="Business_and_Offer15"/>
      <sheetName val="Vertical_Markets15"/>
      <sheetName val="CR_IFRS15"/>
      <sheetName val="Madrid_Direct_Function15"/>
      <sheetName val="Liasse_de_Saisie14"/>
      <sheetName val="Synthèse_des_états4"/>
      <sheetName val="Connexion_(2)4"/>
      <sheetName val="Dynamique_de_saisie4"/>
      <sheetName val="Détail_des_masques_&gt;&gt;4"/>
      <sheetName val="Coûts_du_Central_&gt;4"/>
      <sheetName val="Charte_graphique4"/>
      <sheetName val="CA_Externe_&amp;_Filiales4"/>
      <sheetName val="CA_Inter-EPIC,_Intra-Mob4"/>
      <sheetName val="ACE_Externe_&amp;_filiales4"/>
      <sheetName val="Masque_paramétrage_custom4"/>
      <sheetName val="Mensu_liste4"/>
      <sheetName val="ACE_Inter-EPIC,_Intra-Mob4"/>
      <sheetName val="Autres_P&amp;C_HG4"/>
      <sheetName val="Autres_P&amp;C_Part_yc_filiales4"/>
      <sheetName val="Autres_P&amp;C_Intra-Voyages4"/>
      <sheetName val="Coûts_du_SI_&gt;4"/>
      <sheetName val="SI_As_is4"/>
      <sheetName val="Listes_SI4"/>
      <sheetName val="Projets_Option_24"/>
      <sheetName val="ACE_Hors_Groupe_(yc_projet)4"/>
      <sheetName val="Autres_I&amp;T4"/>
      <sheetName val="Autres_I&amp;T_HG4"/>
      <sheetName val="Autres_I&amp;T_Part_yc_filiales4"/>
      <sheetName val="Autres_I&amp;T_Intra-Voyages4"/>
      <sheetName val="Liste_Partenaire4"/>
      <sheetName val="Liste_Plan_de_compte4"/>
      <sheetName val="Liste_Projets_SI4"/>
      <sheetName val="Liste_Axe_Ana4"/>
      <sheetName val="Effectif_20164"/>
      <sheetName val="Mapping_RG4"/>
      <sheetName val="Effectif_20174"/>
      <sheetName val="Gestion_CT_-_2"/>
      <sheetName val="ecartacquis_actif16"/>
      <sheetName val="ecartacquis_passif16"/>
      <sheetName val="Participt_non_conso_16"/>
      <sheetName val="Part_reev_MEE16"/>
      <sheetName val="VCP_GROUPE16"/>
      <sheetName val="VCP_mino16"/>
      <sheetName val="RESSOC_AU_CONSO16"/>
      <sheetName val="CPSOC_AU_CONSO16"/>
      <sheetName val="S_rchg16"/>
      <sheetName val="det_prov_rc16"/>
      <sheetName val="Res_fin16"/>
      <sheetName val="Res_excep_rub16"/>
      <sheetName val="S_excep16"/>
      <sheetName val="ENGAGT_HORS_BILAN16"/>
      <sheetName val="Bouclette_Europe-Overseas_1216"/>
      <sheetName val="Market_Sector16"/>
      <sheetName val="Interco-3rd_party16"/>
      <sheetName val="Business_and_Offer16"/>
      <sheetName val="Vertical_Markets16"/>
      <sheetName val="CR_IFRS16"/>
      <sheetName val="Madrid_Direct_Function16"/>
      <sheetName val="Liasse_de_Saisie15"/>
      <sheetName val="Synthèse_des_états5"/>
      <sheetName val="Connexion_(2)5"/>
      <sheetName val="Dynamique_de_saisie5"/>
      <sheetName val="Détail_des_masques_&gt;&gt;5"/>
      <sheetName val="Coûts_du_Central_&gt;5"/>
      <sheetName val="Charte_graphique5"/>
      <sheetName val="CA_Externe_&amp;_Filiales5"/>
      <sheetName val="CA_Inter-EPIC,_Intra-Mob5"/>
      <sheetName val="ACE_Externe_&amp;_filiales5"/>
      <sheetName val="Masque_paramétrage_custom5"/>
      <sheetName val="Mensu_liste5"/>
      <sheetName val="ACE_Inter-EPIC,_Intra-Mob5"/>
      <sheetName val="Autres_P&amp;C_HG5"/>
      <sheetName val="Autres_P&amp;C_Part_yc_filiales5"/>
      <sheetName val="Autres_P&amp;C_Intra-Voyages5"/>
      <sheetName val="Coûts_du_SI_&gt;5"/>
      <sheetName val="SI_As_is5"/>
      <sheetName val="Listes_SI5"/>
      <sheetName val="Projets_Option_25"/>
      <sheetName val="ACE_Hors_Groupe_(yc_projet)5"/>
      <sheetName val="Autres_I&amp;T5"/>
      <sheetName val="Autres_I&amp;T_HG5"/>
      <sheetName val="Autres_I&amp;T_Part_yc_filiales5"/>
      <sheetName val="Autres_I&amp;T_Intra-Voyages5"/>
      <sheetName val="Liste_Partenaire5"/>
      <sheetName val="Liste_Plan_de_compte5"/>
      <sheetName val="Liste_Projets_SI5"/>
      <sheetName val="Liste_Axe_Ana5"/>
      <sheetName val="Effectif_20165"/>
      <sheetName val="Mapping_RG5"/>
      <sheetName val="Effectif_20175"/>
      <sheetName val="Gestion_CT_-_21"/>
      <sheetName val="ecartacquis_actif17"/>
      <sheetName val="ecartacquis_passif17"/>
      <sheetName val="Participt_non_conso_17"/>
      <sheetName val="Part_reev_MEE17"/>
      <sheetName val="VCP_GROUPE17"/>
      <sheetName val="VCP_mino17"/>
      <sheetName val="RESSOC_AU_CONSO17"/>
      <sheetName val="CPSOC_AU_CONSO17"/>
      <sheetName val="S_rchg17"/>
      <sheetName val="det_prov_rc17"/>
      <sheetName val="Res_fin17"/>
      <sheetName val="Res_excep_rub17"/>
      <sheetName val="S_excep17"/>
      <sheetName val="ENGAGT_HORS_BILAN17"/>
      <sheetName val="Bouclette_Europe-Overseas_1217"/>
      <sheetName val="Market_Sector17"/>
      <sheetName val="Interco-3rd_party17"/>
      <sheetName val="Business_and_Offer17"/>
      <sheetName val="Vertical_Markets17"/>
      <sheetName val="CR_IFRS17"/>
      <sheetName val="Madrid_Direct_Function17"/>
      <sheetName val="Liasse_de_Saisie16"/>
      <sheetName val="Synthèse_des_états6"/>
      <sheetName val="Connexion_(2)6"/>
      <sheetName val="Dynamique_de_saisie6"/>
      <sheetName val="Détail_des_masques_&gt;&gt;6"/>
      <sheetName val="Coûts_du_Central_&gt;6"/>
      <sheetName val="Charte_graphique6"/>
      <sheetName val="CA_Externe_&amp;_Filiales6"/>
      <sheetName val="CA_Inter-EPIC,_Intra-Mob6"/>
      <sheetName val="ACE_Externe_&amp;_filiales6"/>
      <sheetName val="Masque_paramétrage_custom6"/>
      <sheetName val="Mensu_liste6"/>
      <sheetName val="ACE_Inter-EPIC,_Intra-Mob6"/>
      <sheetName val="Autres_P&amp;C_HG6"/>
      <sheetName val="Autres_P&amp;C_Part_yc_filiales6"/>
      <sheetName val="Autres_P&amp;C_Intra-Voyages6"/>
      <sheetName val="Coûts_du_SI_&gt;6"/>
      <sheetName val="SI_As_is6"/>
      <sheetName val="Listes_SI6"/>
      <sheetName val="Projets_Option_26"/>
      <sheetName val="ACE_Hors_Groupe_(yc_projet)6"/>
      <sheetName val="Autres_I&amp;T6"/>
      <sheetName val="Autres_I&amp;T_HG6"/>
      <sheetName val="Autres_I&amp;T_Part_yc_filiales6"/>
      <sheetName val="Autres_I&amp;T_Intra-Voyages6"/>
      <sheetName val="Liste_Partenaire6"/>
      <sheetName val="Liste_Plan_de_compte6"/>
      <sheetName val="Liste_Projets_SI6"/>
      <sheetName val="Liste_Axe_Ana6"/>
      <sheetName val="Effectif_20166"/>
      <sheetName val="Mapping_RG6"/>
      <sheetName val="Effectif_20176"/>
      <sheetName val="Gestion_CT_-_22"/>
      <sheetName val="LEDGER_2019"/>
      <sheetName val="LEDGER_2020"/>
      <sheetName val="E-faktur_(FP)"/>
      <sheetName val="RECAP_(TIDAK_ADA_DI_GL_VAT)"/>
      <sheetName val="look_up"/>
      <sheetName val="ecartacquis_actif18"/>
      <sheetName val="ecartacquis_passif18"/>
      <sheetName val="Participt_non_conso_18"/>
      <sheetName val="Part_reev_MEE18"/>
      <sheetName val="VCP_GROUPE18"/>
      <sheetName val="VCP_mino18"/>
      <sheetName val="RESSOC_AU_CONSO18"/>
      <sheetName val="CPSOC_AU_CONSO18"/>
      <sheetName val="S_rchg18"/>
      <sheetName val="det_prov_rc18"/>
      <sheetName val="Res_fin18"/>
      <sheetName val="Res_excep_rub18"/>
      <sheetName val="S_excep18"/>
      <sheetName val="ENGAGT_HORS_BILAN18"/>
      <sheetName val="Bouclette_Europe-Overseas_1218"/>
      <sheetName val="Market_Sector18"/>
      <sheetName val="Interco-3rd_party18"/>
      <sheetName val="Business_and_Offer18"/>
      <sheetName val="Vertical_Markets18"/>
      <sheetName val="CR_IFRS18"/>
      <sheetName val="Madrid_Direct_Function18"/>
      <sheetName val="Liasse_de_Saisie17"/>
      <sheetName val="Synthèse_des_états7"/>
      <sheetName val="Connexion_(2)7"/>
      <sheetName val="Dynamique_de_saisie7"/>
      <sheetName val="Détail_des_masques_&gt;&gt;7"/>
      <sheetName val="Coûts_du_Central_&gt;7"/>
      <sheetName val="Charte_graphique7"/>
      <sheetName val="CA_Externe_&amp;_Filiales7"/>
      <sheetName val="CA_Inter-EPIC,_Intra-Mob7"/>
      <sheetName val="ACE_Externe_&amp;_filiales7"/>
      <sheetName val="Masque_paramétrage_custom7"/>
      <sheetName val="Mensu_liste7"/>
      <sheetName val="ACE_Inter-EPIC,_Intra-Mob7"/>
      <sheetName val="Autres_P&amp;C_HG7"/>
      <sheetName val="Autres_P&amp;C_Part_yc_filiales7"/>
      <sheetName val="Autres_P&amp;C_Intra-Voyages7"/>
      <sheetName val="Coûts_du_SI_&gt;7"/>
      <sheetName val="SI_As_is7"/>
      <sheetName val="Listes_SI7"/>
      <sheetName val="Projets_Option_27"/>
      <sheetName val="ACE_Hors_Groupe_(yc_projet)7"/>
      <sheetName val="Autres_I&amp;T7"/>
      <sheetName val="Autres_I&amp;T_HG7"/>
      <sheetName val="Autres_I&amp;T_Part_yc_filiales7"/>
      <sheetName val="Autres_I&amp;T_Intra-Voyages7"/>
      <sheetName val="Liste_Partenaire7"/>
      <sheetName val="Liste_Plan_de_compte7"/>
      <sheetName val="Liste_Projets_SI7"/>
      <sheetName val="Liste_Axe_Ana7"/>
      <sheetName val="Effectif_20167"/>
      <sheetName val="Mapping_RG7"/>
      <sheetName val="Effectif_20177"/>
      <sheetName val="Gestion_CT_-_23"/>
      <sheetName val="LEDGER_20191"/>
      <sheetName val="LEDGER_20201"/>
      <sheetName val="E-faktur_(FP)1"/>
      <sheetName val="RECAP_(TIDAK_ADA_DI_GL_VAT)1"/>
      <sheetName val="look_up1"/>
      <sheetName val="OCCITAN"/>
      <sheetName val="BRIANCON"/>
      <sheetName val="NICE"/>
      <sheetName val="PYREEN"/>
      <sheetName val="1 budget 2020 KVK"/>
      <sheetName val="ecartacquis_actif19"/>
      <sheetName val="ecartacquis_passif19"/>
      <sheetName val="Participt_non_conso_19"/>
      <sheetName val="Part_reev_MEE19"/>
      <sheetName val="VCP_GROUPE19"/>
      <sheetName val="VCP_mino19"/>
      <sheetName val="RESSOC_AU_CONSO19"/>
      <sheetName val="CPSOC_AU_CONSO19"/>
      <sheetName val="S_rchg19"/>
      <sheetName val="det_prov_rc19"/>
      <sheetName val="Res_fin19"/>
      <sheetName val="Res_excep_rub19"/>
      <sheetName val="S_excep19"/>
      <sheetName val="ENGAGT_HORS_BILAN19"/>
      <sheetName val="Bouclette_Europe-Overseas_1219"/>
      <sheetName val="Market_Sector19"/>
      <sheetName val="Interco-3rd_party19"/>
      <sheetName val="Business_and_Offer19"/>
      <sheetName val="Vertical_Markets19"/>
      <sheetName val="CR_IFRS19"/>
      <sheetName val="Liasse_de_Saisie18"/>
      <sheetName val="Madrid_Direct_Function19"/>
      <sheetName val="Synthèse_des_états8"/>
      <sheetName val="Connexion_(2)8"/>
      <sheetName val="Dynamique_de_saisie8"/>
      <sheetName val="Détail_des_masques_&gt;&gt;8"/>
      <sheetName val="Coûts_du_Central_&gt;8"/>
      <sheetName val="Charte_graphique8"/>
      <sheetName val="CA_Externe_&amp;_Filiales8"/>
      <sheetName val="CA_Inter-EPIC,_Intra-Mob8"/>
      <sheetName val="ACE_Externe_&amp;_filiales8"/>
      <sheetName val="Masque_paramétrage_custom8"/>
      <sheetName val="Mensu_liste8"/>
      <sheetName val="ACE_Inter-EPIC,_Intra-Mob8"/>
      <sheetName val="Autres_P&amp;C_HG8"/>
      <sheetName val="Autres_P&amp;C_Part_yc_filiales8"/>
      <sheetName val="Autres_P&amp;C_Intra-Voyages8"/>
      <sheetName val="Coûts_du_SI_&gt;8"/>
      <sheetName val="SI_As_is8"/>
      <sheetName val="Listes_SI8"/>
      <sheetName val="Projets_Option_28"/>
      <sheetName val="ACE_Hors_Groupe_(yc_projet)8"/>
      <sheetName val="Autres_I&amp;T8"/>
      <sheetName val="Autres_I&amp;T_HG8"/>
      <sheetName val="Autres_I&amp;T_Part_yc_filiales8"/>
      <sheetName val="Autres_I&amp;T_Intra-Voyages8"/>
      <sheetName val="Liste_Partenaire8"/>
      <sheetName val="Liste_Plan_de_compte8"/>
      <sheetName val="Liste_Projets_SI8"/>
      <sheetName val="Liste_Axe_Ana8"/>
      <sheetName val="Effectif_20168"/>
      <sheetName val="Mapping_RG8"/>
      <sheetName val="Effectif_20178"/>
      <sheetName val="Gestion_CT_-_24"/>
      <sheetName val="LEDGER_20192"/>
      <sheetName val="LEDGER_20202"/>
      <sheetName val="E-faktur_(FP)2"/>
      <sheetName val="RECAP_(TIDAK_ADA_DI_GL_VAT)2"/>
      <sheetName val="look_up2"/>
      <sheetName val="ecartacquis_actif20"/>
      <sheetName val="ecartacquis_passif20"/>
      <sheetName val="Participt_non_conso_20"/>
      <sheetName val="Part_reev_MEE20"/>
      <sheetName val="VCP_GROUPE20"/>
      <sheetName val="VCP_mino20"/>
      <sheetName val="RESSOC_AU_CONSO20"/>
      <sheetName val="CPSOC_AU_CONSO20"/>
      <sheetName val="S_rchg20"/>
      <sheetName val="det_prov_rc20"/>
      <sheetName val="Res_fin20"/>
      <sheetName val="Res_excep_rub20"/>
      <sheetName val="S_excep20"/>
      <sheetName val="ENGAGT_HORS_BILAN20"/>
      <sheetName val="Bouclette_Europe-Overseas_1220"/>
      <sheetName val="Market_Sector20"/>
      <sheetName val="Interco-3rd_party20"/>
      <sheetName val="Business_and_Offer20"/>
      <sheetName val="Vertical_Markets20"/>
      <sheetName val="CR_IFRS20"/>
      <sheetName val="Liasse_de_Saisie19"/>
      <sheetName val="Madrid_Direct_Function20"/>
      <sheetName val="Synthèse_des_états9"/>
      <sheetName val="Connexion_(2)9"/>
      <sheetName val="Dynamique_de_saisie9"/>
      <sheetName val="Détail_des_masques_&gt;&gt;9"/>
      <sheetName val="Coûts_du_Central_&gt;9"/>
      <sheetName val="Charte_graphique9"/>
      <sheetName val="CA_Externe_&amp;_Filiales9"/>
      <sheetName val="CA_Inter-EPIC,_Intra-Mob9"/>
      <sheetName val="ACE_Externe_&amp;_filiales9"/>
      <sheetName val="Masque_paramétrage_custom9"/>
      <sheetName val="Mensu_liste9"/>
      <sheetName val="ACE_Inter-EPIC,_Intra-Mob9"/>
      <sheetName val="Autres_P&amp;C_HG9"/>
      <sheetName val="Autres_P&amp;C_Part_yc_filiales9"/>
      <sheetName val="Autres_P&amp;C_Intra-Voyages9"/>
      <sheetName val="Coûts_du_SI_&gt;9"/>
      <sheetName val="SI_As_is9"/>
      <sheetName val="Listes_SI9"/>
      <sheetName val="Projets_Option_29"/>
      <sheetName val="ACE_Hors_Groupe_(yc_projet)9"/>
      <sheetName val="Autres_I&amp;T9"/>
      <sheetName val="Autres_I&amp;T_HG9"/>
      <sheetName val="Autres_I&amp;T_Part_yc_filiales9"/>
      <sheetName val="Autres_I&amp;T_Intra-Voyages9"/>
      <sheetName val="Liste_Partenaire9"/>
      <sheetName val="Liste_Plan_de_compte9"/>
      <sheetName val="Liste_Projets_SI9"/>
      <sheetName val="Liste_Axe_Ana9"/>
      <sheetName val="Effectif_20169"/>
      <sheetName val="Mapping_RG9"/>
      <sheetName val="Effectif_20179"/>
      <sheetName val="Gestion_CT_-_25"/>
      <sheetName val="LEDGER_20193"/>
      <sheetName val="LEDGER_20203"/>
      <sheetName val="E-faktur_(FP)3"/>
      <sheetName val="RECAP_(TIDAK_ADA_DI_GL_VAT)3"/>
      <sheetName val="look_up3"/>
      <sheetName val="Connexion_x0003_(2)4"/>
      <sheetName val="Bridge MOP B2021-B2022"/>
      <sheetName val="Bridge_MOP_B2021-B2022"/>
      <sheetName val="ecartacquis_actif21"/>
      <sheetName val="ecartacquis_passif21"/>
      <sheetName val="Participt_non_conso_21"/>
      <sheetName val="Part_reev_MEE21"/>
      <sheetName val="VCP_GROUPE21"/>
      <sheetName val="VCP_mino21"/>
      <sheetName val="RESSOC_AU_CONSO21"/>
      <sheetName val="CPSOC_AU_CONSO21"/>
      <sheetName val="S_rchg21"/>
      <sheetName val="det_prov_rc21"/>
      <sheetName val="Res_fin21"/>
      <sheetName val="Res_excep_rub21"/>
      <sheetName val="S_excep21"/>
      <sheetName val="ENGAGT_HORS_BILAN21"/>
      <sheetName val="Bouclette_Europe-Overseas_1221"/>
      <sheetName val="Market_Sector21"/>
      <sheetName val="Interco-3rd_party21"/>
      <sheetName val="Business_and_Offer21"/>
      <sheetName val="Vertical_Markets21"/>
      <sheetName val="CR_IFRS21"/>
      <sheetName val="Liasse_de_Saisie20"/>
      <sheetName val="Madrid_Direct_Function21"/>
      <sheetName val="Synthèse_des_états10"/>
      <sheetName val="Connexion_(2)10"/>
      <sheetName val="Dynamique_de_saisie10"/>
      <sheetName val="Détail_des_masques_&gt;&gt;10"/>
      <sheetName val="Coûts_du_Central_&gt;10"/>
      <sheetName val="Charte_graphique10"/>
      <sheetName val="CA_Externe_&amp;_Filiales10"/>
      <sheetName val="CA_Inter-EPIC,_Intra-Mob10"/>
      <sheetName val="ACE_Externe_&amp;_filiales10"/>
      <sheetName val="Masque_paramétrage_custom10"/>
      <sheetName val="Mensu_liste10"/>
      <sheetName val="ACE_Inter-EPIC,_Intra-Mob10"/>
      <sheetName val="Autres_P&amp;C_HG10"/>
      <sheetName val="Autres_P&amp;C_Part_yc_filiales10"/>
      <sheetName val="Autres_P&amp;C_Intra-Voyages10"/>
      <sheetName val="Coûts_du_SI_&gt;10"/>
      <sheetName val="SI_As_is10"/>
      <sheetName val="Listes_SI10"/>
      <sheetName val="Projets_Option_210"/>
      <sheetName val="ACE_Hors_Groupe_(yc_projet)10"/>
      <sheetName val="Autres_I&amp;T10"/>
      <sheetName val="Autres_I&amp;T_HG10"/>
      <sheetName val="Autres_I&amp;T_Part_yc_filiales10"/>
      <sheetName val="Autres_I&amp;T_Intra-Voyages10"/>
      <sheetName val="Liste_Partenaire10"/>
      <sheetName val="Liste_Plan_de_compte10"/>
      <sheetName val="Liste_Projets_SI10"/>
      <sheetName val="Liste_Axe_Ana10"/>
      <sheetName val="Effectif_201610"/>
      <sheetName val="Mapping_RG10"/>
      <sheetName val="Effectif_201710"/>
      <sheetName val="Gestion_CT_-_26"/>
      <sheetName val="LEDGER_20194"/>
      <sheetName val="LEDGER_20204"/>
      <sheetName val="E-faktur_(FP)4"/>
      <sheetName val="RECAP_(TIDAK_ADA_DI_GL_VAT)4"/>
      <sheetName val="look_up4"/>
      <sheetName val="1_budget_2020_KVK"/>
      <sheetName val="VATEL Impots 2022"/>
      <sheetName val="R3-B2023"/>
      <sheetName val="Connexion(2)4"/>
      <sheetName val="Bridge_MOP_B2021-B20221"/>
      <sheetName val="Réalisé ED"/>
      <sheetName val="Budget 2019"/>
      <sheetName val="Synthèse avec ACI 05_2022"/>
      <sheetName val="ecartacquis_actif22"/>
      <sheetName val="ecartacquis_passif22"/>
      <sheetName val="Participt_non_conso_22"/>
      <sheetName val="Part_reev_MEE22"/>
      <sheetName val="VCP_GROUPE22"/>
      <sheetName val="VCP_mino22"/>
      <sheetName val="RESSOC_AU_CONSO22"/>
      <sheetName val="CPSOC_AU_CONSO22"/>
      <sheetName val="S_rchg22"/>
      <sheetName val="det_prov_rc22"/>
      <sheetName val="Res_fin22"/>
      <sheetName val="Res_excep_rub22"/>
      <sheetName val="S_excep22"/>
      <sheetName val="ENGAGT_HORS_BILAN22"/>
      <sheetName val="Bouclette_Europe-Overseas_1222"/>
      <sheetName val="Market_Sector22"/>
      <sheetName val="Interco-3rd_party22"/>
      <sheetName val="Business_and_Offer22"/>
      <sheetName val="Vertical_Markets22"/>
      <sheetName val="CR_IFRS22"/>
      <sheetName val="Liasse_de_Saisie21"/>
      <sheetName val="Madrid_Direct_Function22"/>
      <sheetName val="Synthèse_des_états11"/>
      <sheetName val="Connexion_(2)11"/>
      <sheetName val="Dynamique_de_saisie11"/>
      <sheetName val="Détail_des_masques_&gt;&gt;11"/>
      <sheetName val="Coûts_du_Central_&gt;11"/>
      <sheetName val="Charte_graphique11"/>
      <sheetName val="CA_Externe_&amp;_Filiales11"/>
      <sheetName val="CA_Inter-EPIC,_Intra-Mob11"/>
      <sheetName val="ACE_Externe_&amp;_filiales11"/>
      <sheetName val="Masque_paramétrage_custom11"/>
      <sheetName val="Mensu_liste11"/>
      <sheetName val="ACE_Inter-EPIC,_Intra-Mob11"/>
      <sheetName val="Autres_P&amp;C_HG11"/>
      <sheetName val="Autres_P&amp;C_Part_yc_filiales11"/>
      <sheetName val="Autres_P&amp;C_Intra-Voyages11"/>
      <sheetName val="Coûts_du_SI_&gt;11"/>
      <sheetName val="SI_As_is11"/>
      <sheetName val="Listes_SI11"/>
      <sheetName val="Projets_Option_211"/>
      <sheetName val="ACE_Hors_Groupe_(yc_projet)11"/>
      <sheetName val="Autres_I&amp;T11"/>
      <sheetName val="Autres_I&amp;T_HG11"/>
      <sheetName val="Autres_I&amp;T_Part_yc_filiales11"/>
      <sheetName val="Autres_I&amp;T_Intra-Voyages11"/>
      <sheetName val="Liste_Partenaire11"/>
      <sheetName val="Liste_Plan_de_compte11"/>
      <sheetName val="Liste_Projets_SI11"/>
      <sheetName val="Liste_Axe_Ana11"/>
      <sheetName val="Effectif_201611"/>
      <sheetName val="Mapping_RG11"/>
      <sheetName val="Effectif_201711"/>
      <sheetName val="Gestion_CT_-_27"/>
      <sheetName val="LEDGER_20195"/>
      <sheetName val="LEDGER_20205"/>
      <sheetName val="E-faktur_(FP)5"/>
      <sheetName val="RECAP_(TIDAK_ADA_DI_GL_VAT)5"/>
      <sheetName val="look_up5"/>
      <sheetName val="Bridge_MOP_B2021-B20222"/>
      <sheetName val="1_budget_2020_KVK1"/>
      <sheetName val="Réalisé_ED"/>
      <sheetName val="Budget_2019"/>
      <sheetName val="VATEL_Impots_2022"/>
      <sheetName val="Market_line_-_EXCOM"/>
      <sheetName val="Market line - EXCOM"/>
      <sheetName val="08.Zoom Stock"/>
      <sheetName val="Bridges 2023_2032 "/>
      <sheetName val="tableau"/>
      <sheetName val="Evolution base coûts"/>
      <sheetName val="CHINA3"/>
      <sheetName val="ecartacquis_actif23"/>
      <sheetName val="ecartacquis_passif23"/>
      <sheetName val="Participt_non_conso_23"/>
      <sheetName val="Part_reev_MEE23"/>
      <sheetName val="VCP_GROUPE23"/>
      <sheetName val="VCP_mino23"/>
      <sheetName val="RESSOC_AU_CONSO23"/>
      <sheetName val="CPSOC_AU_CONSO23"/>
      <sheetName val="S_rchg23"/>
      <sheetName val="det_prov_rc23"/>
      <sheetName val="Res_fin23"/>
      <sheetName val="Res_excep_rub23"/>
      <sheetName val="S_excep23"/>
      <sheetName val="ENGAGT_HORS_BILAN23"/>
      <sheetName val="Bouclette_Europe-Overseas_1223"/>
      <sheetName val="Market_Sector23"/>
      <sheetName val="Interco-3rd_party23"/>
      <sheetName val="Business_and_Offer23"/>
      <sheetName val="Vertical_Markets23"/>
      <sheetName val="CR_IFRS23"/>
      <sheetName val="Liasse_de_Saisie22"/>
      <sheetName val="Madrid_Direct_Function23"/>
      <sheetName val="Synthèse_des_états12"/>
      <sheetName val="Connexion_(2)12"/>
      <sheetName val="Dynamique_de_saisie12"/>
      <sheetName val="Détail_des_masques_&gt;&gt;12"/>
      <sheetName val="Coûts_du_Central_&gt;12"/>
      <sheetName val="Charte_graphique12"/>
      <sheetName val="CA_Externe_&amp;_Filiales12"/>
      <sheetName val="CA_Inter-EPIC,_Intra-Mob12"/>
      <sheetName val="ACE_Externe_&amp;_filiales12"/>
      <sheetName val="Masque_paramétrage_custom12"/>
      <sheetName val="Mensu_liste12"/>
      <sheetName val="ACE_Inter-EPIC,_Intra-Mob12"/>
      <sheetName val="Autres_P&amp;C_HG12"/>
      <sheetName val="Autres_P&amp;C_Part_yc_filiales12"/>
      <sheetName val="Autres_P&amp;C_Intra-Voyages12"/>
      <sheetName val="Coûts_du_SI_&gt;12"/>
      <sheetName val="SI_As_is12"/>
      <sheetName val="Listes_SI12"/>
      <sheetName val="Projets_Option_212"/>
      <sheetName val="ACE_Hors_Groupe_(yc_projet)12"/>
      <sheetName val="Autres_I&amp;T12"/>
      <sheetName val="Autres_I&amp;T_HG12"/>
      <sheetName val="Autres_I&amp;T_Part_yc_filiales12"/>
      <sheetName val="Autres_I&amp;T_Intra-Voyages12"/>
      <sheetName val="Liste_Partenaire12"/>
      <sheetName val="Liste_Plan_de_compte12"/>
      <sheetName val="Liste_Projets_SI12"/>
      <sheetName val="Liste_Axe_Ana12"/>
      <sheetName val="Effectif_201612"/>
      <sheetName val="Mapping_RG12"/>
      <sheetName val="Effectif_201712"/>
      <sheetName val="Gestion_CT_-_28"/>
      <sheetName val="LEDGER_20196"/>
      <sheetName val="LEDGER_20206"/>
      <sheetName val="E-faktur_(FP)6"/>
      <sheetName val="RECAP_(TIDAK_ADA_DI_GL_VAT)6"/>
      <sheetName val="look_up6"/>
      <sheetName val="1_budget_2020_KVK2"/>
      <sheetName val="Bridge_MOP_B2021-B20223"/>
      <sheetName val="Budget_20191"/>
      <sheetName val="VATEL_Impots_20221"/>
      <sheetName val="Réalisé_ED1"/>
      <sheetName val="Synthèse_avec_ACI_05_2022"/>
      <sheetName val="Market_line_-_EXCOM1"/>
      <sheetName val="08_Zoom_Stock"/>
      <sheetName val="Bridges_2023_2032_"/>
      <sheetName val="COMPTEUR A3"/>
      <sheetName val="ABSENTEISME A3"/>
      <sheetName val="EVS A3"/>
      <sheetName val="ecartacquis_actif24"/>
      <sheetName val="ecartacquis_passif24"/>
      <sheetName val="Participt_non_conso_24"/>
      <sheetName val="Part_reev_MEE24"/>
      <sheetName val="VCP_GROUPE24"/>
      <sheetName val="VCP_mino24"/>
      <sheetName val="RESSOC_AU_CONSO24"/>
      <sheetName val="CPSOC_AU_CONSO24"/>
      <sheetName val="S_rchg24"/>
      <sheetName val="det_prov_rc24"/>
      <sheetName val="Res_fin24"/>
      <sheetName val="Res_excep_rub24"/>
      <sheetName val="S_excep24"/>
      <sheetName val="ENGAGT_HORS_BILAN24"/>
      <sheetName val="Bouclette_Europe-Overseas_1224"/>
      <sheetName val="Market_Sector24"/>
      <sheetName val="Interco-3rd_party24"/>
      <sheetName val="Business_and_Offer24"/>
      <sheetName val="Vertical_Markets24"/>
      <sheetName val="CR_IFRS24"/>
      <sheetName val="Liasse_de_Saisie23"/>
      <sheetName val="Madrid_Direct_Function24"/>
      <sheetName val="Synthèse_des_états13"/>
      <sheetName val="Connexion_(2)13"/>
      <sheetName val="Dynamique_de_saisie13"/>
      <sheetName val="Détail_des_masques_&gt;&gt;13"/>
      <sheetName val="Coûts_du_Central_&gt;13"/>
      <sheetName val="Charte_graphique13"/>
      <sheetName val="CA_Externe_&amp;_Filiales13"/>
      <sheetName val="CA_Inter-EPIC,_Intra-Mob13"/>
      <sheetName val="ACE_Externe_&amp;_filiales13"/>
      <sheetName val="Masque_paramétrage_custom13"/>
      <sheetName val="Mensu_liste13"/>
      <sheetName val="ACE_Inter-EPIC,_Intra-Mob13"/>
      <sheetName val="Autres_P&amp;C_HG13"/>
      <sheetName val="Autres_P&amp;C_Part_yc_filiales13"/>
      <sheetName val="Autres_P&amp;C_Intra-Voyages13"/>
      <sheetName val="Coûts_du_SI_&gt;13"/>
      <sheetName val="SI_As_is13"/>
      <sheetName val="Listes_SI13"/>
      <sheetName val="Projets_Option_213"/>
      <sheetName val="ACE_Hors_Groupe_(yc_projet)13"/>
      <sheetName val="Autres_I&amp;T13"/>
      <sheetName val="Autres_I&amp;T_HG13"/>
      <sheetName val="Autres_I&amp;T_Part_yc_filiales13"/>
      <sheetName val="Autres_I&amp;T_Intra-Voyages13"/>
      <sheetName val="Liste_Partenaire13"/>
      <sheetName val="Liste_Plan_de_compte13"/>
      <sheetName val="Liste_Projets_SI13"/>
      <sheetName val="Liste_Axe_Ana13"/>
      <sheetName val="Effectif_201613"/>
      <sheetName val="Mapping_RG13"/>
      <sheetName val="Effectif_201713"/>
      <sheetName val="Gestion_CT_-_29"/>
      <sheetName val="LEDGER_20197"/>
      <sheetName val="LEDGER_20207"/>
      <sheetName val="E-faktur_(FP)7"/>
      <sheetName val="RECAP_(TIDAK_ADA_DI_GL_VAT)7"/>
      <sheetName val="look_up7"/>
      <sheetName val="1_budget_2020_KVK3"/>
      <sheetName val="Bridge_MOP_B2021-B20224"/>
      <sheetName val="Budget_20192"/>
      <sheetName val="VATEL_Impots_20222"/>
      <sheetName val="Réalisé_ED2"/>
      <sheetName val="Synthèse_avec_ACI_05_20221"/>
      <sheetName val="Market_line_-_EXCOM2"/>
      <sheetName val="08_Zoom_Stock1"/>
      <sheetName val="Bridges_2023_2032_1"/>
      <sheetName val="Evolution_base_coûts"/>
      <sheetName val="COMPTEUR_A3"/>
      <sheetName val="ABSENTEISME_A3"/>
      <sheetName val="EVS_A3"/>
      <sheetName val="synthèse"/>
      <sheetName val="ecartacquis_actif25"/>
      <sheetName val="ecartacquis_passif25"/>
      <sheetName val="Participt_non_conso_25"/>
      <sheetName val="Part_reev_MEE25"/>
      <sheetName val="VCP_GROUPE25"/>
      <sheetName val="VCP_mino25"/>
      <sheetName val="RESSOC_AU_CONSO25"/>
      <sheetName val="CPSOC_AU_CONSO25"/>
      <sheetName val="S_rchg25"/>
      <sheetName val="det_prov_rc25"/>
      <sheetName val="Res_fin25"/>
      <sheetName val="Res_excep_rub25"/>
      <sheetName val="S_excep25"/>
      <sheetName val="ENGAGT_HORS_BILAN25"/>
      <sheetName val="Bouclette_Europe-Overseas_1225"/>
      <sheetName val="Market_Sector25"/>
      <sheetName val="Interco-3rd_party25"/>
      <sheetName val="Business_and_Offer25"/>
      <sheetName val="Vertical_Markets25"/>
      <sheetName val="CR_IFRS25"/>
      <sheetName val="Liasse_de_Saisie24"/>
      <sheetName val="Madrid_Direct_Function25"/>
      <sheetName val="Synthèse_des_états14"/>
      <sheetName val="Connexion_(2)14"/>
      <sheetName val="Dynamique_de_saisie14"/>
      <sheetName val="Détail_des_masques_&gt;&gt;14"/>
      <sheetName val="Coûts_du_Central_&gt;14"/>
      <sheetName val="Charte_graphique14"/>
      <sheetName val="CA_Externe_&amp;_Filiales14"/>
      <sheetName val="CA_Inter-EPIC,_Intra-Mob14"/>
      <sheetName val="ACE_Externe_&amp;_filiales14"/>
      <sheetName val="Masque_paramétrage_custom14"/>
      <sheetName val="Mensu_liste14"/>
      <sheetName val="ACE_Inter-EPIC,_Intra-Mob14"/>
      <sheetName val="Autres_P&amp;C_HG14"/>
      <sheetName val="Autres_P&amp;C_Part_yc_filiales14"/>
      <sheetName val="Autres_P&amp;C_Intra-Voyages14"/>
      <sheetName val="Coûts_du_SI_&gt;14"/>
      <sheetName val="SI_As_is14"/>
      <sheetName val="Listes_SI14"/>
      <sheetName val="Projets_Option_214"/>
      <sheetName val="ACE_Hors_Groupe_(yc_projet)14"/>
      <sheetName val="Autres_I&amp;T14"/>
      <sheetName val="Autres_I&amp;T_HG14"/>
      <sheetName val="Autres_I&amp;T_Part_yc_filiales14"/>
      <sheetName val="Autres_I&amp;T_Intra-Voyages14"/>
      <sheetName val="Liste_Partenaire14"/>
      <sheetName val="Liste_Plan_de_compte14"/>
      <sheetName val="Liste_Projets_SI14"/>
      <sheetName val="Liste_Axe_Ana14"/>
      <sheetName val="Effectif_201614"/>
      <sheetName val="Mapping_RG14"/>
      <sheetName val="Effectif_201714"/>
      <sheetName val="Gestion_CT_-_210"/>
      <sheetName val="LEDGER_20198"/>
      <sheetName val="LEDGER_20208"/>
      <sheetName val="E-faktur_(FP)8"/>
      <sheetName val="RECAP_(TIDAK_ADA_DI_GL_VAT)8"/>
      <sheetName val="look_up8"/>
      <sheetName val="1_budget_2020_KVK4"/>
      <sheetName val="Bridge_MOP_B2021-B20225"/>
      <sheetName val="Budget_20193"/>
      <sheetName val="VATEL_Impots_20223"/>
      <sheetName val="Réalisé_ED3"/>
      <sheetName val="Synthèse_avec_ACI_05_20222"/>
      <sheetName val="Market_line_-_EXCOM3"/>
      <sheetName val="08_Zoom_Stock2"/>
      <sheetName val="Bridges_2023_2032_2"/>
      <sheetName val="Evolution_base_coûts1"/>
      <sheetName val="COMPTEUR_A31"/>
      <sheetName val="ABSENTEISME_A31"/>
      <sheetName val="EVS_A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refreshError="1"/>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refreshError="1"/>
      <sheetData sheetId="966" refreshError="1"/>
      <sheetData sheetId="967"/>
      <sheetData sheetId="968"/>
      <sheetData sheetId="969" refreshError="1"/>
      <sheetData sheetId="970" refreshError="1"/>
      <sheetData sheetId="971" refreshError="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refreshError="1"/>
      <sheetData sheetId="1112" refreshError="1"/>
      <sheetData sheetId="1113" refreshError="1"/>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Accr"/>
      <sheetName val="D.N. Accr"/>
      <sheetName val="Inv. Accr"/>
      <sheetName val="Eurovend Accr"/>
      <sheetName val="Mnthly Bills"/>
      <sheetName val="Lnge Accr"/>
      <sheetName val="Lnge Clean"/>
      <sheetName val="Lnge Stock Accr"/>
      <sheetName val="Inter Comp. Accr"/>
      <sheetName val="Additio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P&amp;L"/>
      <sheetName val="Summary - BS&amp;CF"/>
      <sheetName val="Narrative"/>
      <sheetName val="Breakdown by Division"/>
      <sheetName val="Assets"/>
      <sheetName val="liabilities"/>
      <sheetName val="Income Stmt"/>
      <sheetName val="Cash Flow"/>
      <sheetName val="Cash Flow Worksheet - 1"/>
      <sheetName val="Cash Flow Worksheet - 2"/>
      <sheetName val="Other"/>
      <sheetName val="MetricsInput"/>
      <sheetName val="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y KPIs"/>
      <sheetName val="Production Output"/>
      <sheetName val="KPIs"/>
      <sheetName val="Capex Plan"/>
      <sheetName val="graph"/>
    </sheetNames>
    <sheetDataSet>
      <sheetData sheetId="0" refreshError="1"/>
      <sheetData sheetId="1" refreshError="1"/>
      <sheetData sheetId="2" refreshError="1">
        <row r="1">
          <cell r="A1" t="str">
            <v>Placeholder Site Visit Preparation</v>
          </cell>
        </row>
        <row r="2">
          <cell r="A2" t="str">
            <v>Factory KPIs Output table</v>
          </cell>
        </row>
        <row r="5">
          <cell r="B5" t="str">
            <v xml:space="preserve">Production </v>
          </cell>
          <cell r="C5" t="str">
            <v>Units</v>
          </cell>
          <cell r="E5" t="str">
            <v xml:space="preserve">Production </v>
          </cell>
          <cell r="F5" t="str">
            <v>Units</v>
          </cell>
          <cell r="H5" t="str">
            <v>Quality</v>
          </cell>
        </row>
        <row r="7">
          <cell r="B7" t="str">
            <v>Melted tonnes</v>
          </cell>
          <cell r="C7" t="str">
            <v>300 tonnes</v>
          </cell>
          <cell r="E7" t="str">
            <v>Colour changes</v>
          </cell>
          <cell r="F7" t="str">
            <v>2</v>
          </cell>
          <cell r="H7" t="str">
            <v>Customer complaints</v>
          </cell>
          <cell r="I7" t="str">
            <v>5 m pieces / complaint</v>
          </cell>
        </row>
        <row r="8">
          <cell r="B8" t="str">
            <v>Good tonnes</v>
          </cell>
          <cell r="C8" t="str">
            <v>200 tonnes</v>
          </cell>
          <cell r="E8" t="str">
            <v>Job changes</v>
          </cell>
          <cell r="F8" t="str">
            <v>45</v>
          </cell>
          <cell r="H8" t="str">
            <v>Critical defects</v>
          </cell>
          <cell r="I8" t="str">
            <v>90  / m pieces produced</v>
          </cell>
        </row>
        <row r="9">
          <cell r="B9" t="str">
            <v>Volumes</v>
          </cell>
          <cell r="C9" t="str">
            <v>50,000 pieces</v>
          </cell>
          <cell r="E9" t="str">
            <v>Change-over losses (T1, T2)</v>
          </cell>
          <cell r="F9" t="str">
            <v>20 hours</v>
          </cell>
          <cell r="H9" t="str">
            <v>Blocked finished product</v>
          </cell>
          <cell r="I9" t="str">
            <v>90 tonnes</v>
          </cell>
        </row>
        <row r="10">
          <cell r="B10" t="str">
            <v>Pack to time (PTT)</v>
          </cell>
          <cell r="C10" t="str">
            <v>15.0%</v>
          </cell>
        </row>
        <row r="11">
          <cell r="B11" t="str">
            <v>Pack to melt (PTM)</v>
          </cell>
          <cell r="C11" t="str">
            <v>15.0%</v>
          </cell>
          <cell r="E11" t="str">
            <v>Energy</v>
          </cell>
          <cell r="F11" t="str">
            <v>Units / T</v>
          </cell>
          <cell r="H11" t="str">
            <v>People</v>
          </cell>
        </row>
        <row r="12">
          <cell r="B12" t="str">
            <v>Average weight</v>
          </cell>
          <cell r="C12" t="str">
            <v>15 g</v>
          </cell>
          <cell r="E12" t="str">
            <v>Fuel</v>
          </cell>
          <cell r="F12" t="str">
            <v>20 kT / T</v>
          </cell>
          <cell r="H12" t="str">
            <v>Absenteeism</v>
          </cell>
          <cell r="I12" t="str">
            <v>15.0%</v>
          </cell>
        </row>
        <row r="13">
          <cell r="B13" t="str">
            <v>Speed (3 main products)</v>
          </cell>
          <cell r="E13" t="str">
            <v>Gas</v>
          </cell>
          <cell r="F13" t="str">
            <v>45 KWh / T</v>
          </cell>
          <cell r="H13" t="str">
            <v>Lost time accident rate</v>
          </cell>
          <cell r="I13" t="str">
            <v>5 accidents / 100K hours</v>
          </cell>
        </row>
        <row r="14">
          <cell r="B14" t="str">
            <v>[product 1]</v>
          </cell>
          <cell r="C14" t="str">
            <v>5 cpm</v>
          </cell>
          <cell r="E14" t="str">
            <v>Electricity</v>
          </cell>
          <cell r="F14" t="str">
            <v>58 KWh / T</v>
          </cell>
          <cell r="H14" t="str">
            <v>Manning</v>
          </cell>
          <cell r="I14" t="str">
            <v>2 packed T / man / month</v>
          </cell>
        </row>
        <row r="15">
          <cell r="B15" t="str">
            <v>[product 2]</v>
          </cell>
          <cell r="C15" t="str">
            <v>6 cpm</v>
          </cell>
        </row>
        <row r="16">
          <cell r="B16" t="str">
            <v>[product 3]</v>
          </cell>
          <cell r="C16" t="str">
            <v>6 cpm</v>
          </cell>
          <cell r="E16" t="str">
            <v>Financial</v>
          </cell>
          <cell r="F16" t="str">
            <v>€ / T</v>
          </cell>
        </row>
        <row r="17">
          <cell r="B17" t="str">
            <v># of references</v>
          </cell>
          <cell r="C17" t="str">
            <v>68 pieces</v>
          </cell>
          <cell r="E17" t="str">
            <v>Energy</v>
          </cell>
          <cell r="F17" t="str">
            <v>6 € / T</v>
          </cell>
        </row>
        <row r="18">
          <cell r="B18" t="str">
            <v>Downtime</v>
          </cell>
          <cell r="C18" t="str">
            <v>15.0%</v>
          </cell>
          <cell r="E18" t="str">
            <v>Raw Materials</v>
          </cell>
          <cell r="F18" t="str">
            <v>4 € / T</v>
          </cell>
        </row>
      </sheetData>
      <sheetData sheetId="3" refreshError="1">
        <row r="1">
          <cell r="A1" t="str">
            <v>Placeholder Site Visit Preparation</v>
          </cell>
        </row>
        <row r="2">
          <cell r="A2" t="str">
            <v>Capex Plans</v>
          </cell>
        </row>
        <row r="5">
          <cell r="B5" t="str">
            <v>Plant</v>
          </cell>
          <cell r="C5" t="str">
            <v>Number of furnaces</v>
          </cell>
          <cell r="D5" t="str">
            <v>Furnace name</v>
          </cell>
          <cell r="E5" t="str">
            <v>Furnace type</v>
          </cell>
          <cell r="F5" t="str">
            <v>Life cycle (in years)</v>
          </cell>
          <cell r="G5">
            <v>2000</v>
          </cell>
          <cell r="H5">
            <v>2001</v>
          </cell>
          <cell r="I5">
            <v>2002</v>
          </cell>
          <cell r="J5">
            <v>2003</v>
          </cell>
          <cell r="K5">
            <v>2004</v>
          </cell>
          <cell r="L5">
            <v>2005</v>
          </cell>
          <cell r="M5">
            <v>2006</v>
          </cell>
          <cell r="N5">
            <v>2007</v>
          </cell>
          <cell r="O5">
            <v>2008</v>
          </cell>
          <cell r="P5">
            <v>2009</v>
          </cell>
          <cell r="Q5">
            <v>2010</v>
          </cell>
          <cell r="R5">
            <v>2011</v>
          </cell>
          <cell r="S5">
            <v>2012</v>
          </cell>
          <cell r="T5">
            <v>2013</v>
          </cell>
        </row>
        <row r="10">
          <cell r="E10" t="str">
            <v>(€ in millions)</v>
          </cell>
        </row>
        <row r="11">
          <cell r="E11" t="str">
            <v>Recurring capex</v>
          </cell>
          <cell r="K11">
            <v>2</v>
          </cell>
          <cell r="L11">
            <v>15</v>
          </cell>
          <cell r="M11">
            <v>5</v>
          </cell>
          <cell r="N11">
            <v>6</v>
          </cell>
          <cell r="O11">
            <v>6</v>
          </cell>
          <cell r="P11">
            <v>6</v>
          </cell>
          <cell r="Q11">
            <v>8</v>
          </cell>
          <cell r="R11">
            <v>5</v>
          </cell>
          <cell r="S11">
            <v>2</v>
          </cell>
        </row>
        <row r="12">
          <cell r="E12" t="str">
            <v>Non recurring capex</v>
          </cell>
          <cell r="L12">
            <v>2</v>
          </cell>
          <cell r="N12">
            <v>5</v>
          </cell>
          <cell r="S12">
            <v>3</v>
          </cell>
        </row>
        <row r="13">
          <cell r="E13" t="str">
            <v>Total Capex</v>
          </cell>
          <cell r="K13">
            <v>2</v>
          </cell>
          <cell r="L13">
            <v>17</v>
          </cell>
          <cell r="M13">
            <v>5</v>
          </cell>
          <cell r="N13">
            <v>11</v>
          </cell>
          <cell r="O13">
            <v>6</v>
          </cell>
          <cell r="P13">
            <v>6</v>
          </cell>
          <cell r="Q13">
            <v>8</v>
          </cell>
          <cell r="R13">
            <v>5</v>
          </cell>
          <cell r="S13">
            <v>5</v>
          </cell>
          <cell r="T13">
            <v>0</v>
          </cell>
        </row>
        <row r="17">
          <cell r="B17" t="str">
            <v>Key</v>
          </cell>
          <cell r="E17" t="str">
            <v>Previous partial</v>
          </cell>
        </row>
        <row r="18">
          <cell r="E18" t="str">
            <v>Previous total</v>
          </cell>
        </row>
        <row r="19">
          <cell r="E19" t="str">
            <v>Small maintenance</v>
          </cell>
        </row>
        <row r="22">
          <cell r="E22" t="str">
            <v>Next partial repair</v>
          </cell>
        </row>
        <row r="23">
          <cell r="E23" t="str">
            <v>Next total repair</v>
          </cell>
        </row>
        <row r="24">
          <cell r="E24" t="str">
            <v>Dismantling</v>
          </cell>
        </row>
        <row r="28">
          <cell r="B28" t="str">
            <v>Output</v>
          </cell>
        </row>
      </sheetData>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èse dette"/>
      <sheetName val="TVE par MOP"/>
      <sheetName val="Dette N"/>
      <sheetName val="Dette N-1"/>
      <sheetName val="Dimensions"/>
      <sheetName val="CAF"/>
      <sheetName val="Financier"/>
      <sheetName val="TFT"/>
      <sheetName val="TVE"/>
    </sheetNames>
    <sheetDataSet>
      <sheetData sheetId="0"/>
      <sheetData sheetId="1" refreshError="1"/>
      <sheetData sheetId="2"/>
      <sheetData sheetId="3"/>
      <sheetData sheetId="4"/>
      <sheetData sheetId="5" refreshError="1"/>
      <sheetData sheetId="6" refreshError="1"/>
      <sheetData sheetId="7" refreshError="1"/>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IF FT"/>
      <sheetName val="Tab 01"/>
      <sheetName val="TCD tab 01"/>
      <sheetName val="Tab 51"/>
      <sheetName val="TCD tab 51"/>
      <sheetName val="Tab 76"/>
      <sheetName val="TCD tab 76"/>
      <sheetName val="Synthèse toutes uca"/>
      <sheetName val="Synthèse avec ventil UC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nce"/>
      <sheetName val="Summary Heads by Cost Centre"/>
      <sheetName val="aLL (heads)"/>
      <sheetName val="201 (heads)"/>
      <sheetName val="202 (heads)"/>
      <sheetName val="203 (heads)"/>
      <sheetName val="205 (heads)"/>
      <sheetName val="207 (heads)"/>
      <sheetName val="208 (heads)"/>
      <sheetName val="209 (heads)"/>
      <sheetName val="210 (heads)"/>
      <sheetName val="211 (heads)"/>
      <sheetName val="213 (heads)"/>
      <sheetName val="214 (heads)"/>
      <sheetName val="221 (heads)"/>
      <sheetName val="222 (heads)"/>
      <sheetName val="223 (heads)"/>
      <sheetName val="228 (heads)"/>
      <sheetName val="230 (heads)"/>
      <sheetName val="240 (heads)"/>
      <sheetName val="Data lists"/>
      <sheetName val="Sheet10"/>
      <sheetName val="Period 0_PV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cp"/>
      <sheetName val="ecartacquis actif"/>
      <sheetName val="ecartacquis passif"/>
      <sheetName val="Participt non conso "/>
      <sheetName val="Part reev MEE"/>
      <sheetName val="VCP GROUPE"/>
      <sheetName val="VCP mino"/>
      <sheetName val="RESSOC AU CONSO"/>
      <sheetName val="CPSOC AU CONSO"/>
      <sheetName val="S rchg"/>
      <sheetName val="det prov rc"/>
      <sheetName val="detechéandettes"/>
      <sheetName val="CPTRES"/>
      <sheetName val="SIG"/>
      <sheetName val="VentSE"/>
      <sheetName val="Res fin"/>
      <sheetName val="Res excep rub"/>
      <sheetName val="S excep"/>
      <sheetName val="Detexcept"/>
      <sheetName val="ENGAGT HORS BILAN"/>
      <sheetName val="EFMESEUR"/>
      <sheetName val="Bouclette Europe-Overseas 12"/>
      <sheetName val="Market Sector"/>
      <sheetName val="Entite_20150916"/>
      <sheetName val="Interco-3rd party"/>
      <sheetName val="Business and Offer"/>
      <sheetName val="Parameters"/>
      <sheetName val="Listen"/>
      <sheetName val="Business"/>
      <sheetName val="Offer"/>
      <sheetName val="Rattachement"/>
      <sheetName val="Vertical Markets"/>
      <sheetName val="Classification"/>
      <sheetName val="Mois"/>
      <sheetName val="Date"/>
      <sheetName val="Madrid Direct Function"/>
      <sheetName val="Rates"/>
      <sheetName val="Lists"/>
      <sheetName val="Variables"/>
      <sheetName val="Liste"/>
      <sheetName val="CR IFRS"/>
      <sheetName val="ecartacquis_actif"/>
      <sheetName val="ecartacquis_passif"/>
      <sheetName val="Participt_non_conso_"/>
      <sheetName val="Part_reev_MEE"/>
      <sheetName val="VCP_GROUPE"/>
      <sheetName val="VCP_mino"/>
      <sheetName val="RESSOC_AU_CONSO"/>
      <sheetName val="CPSOC_AU_CONSO"/>
      <sheetName val="S_rchg"/>
      <sheetName val="det_prov_rc"/>
      <sheetName val="Res_fin"/>
      <sheetName val="Res_excep_rub"/>
      <sheetName val="S_excep"/>
      <sheetName val="ENGAGT_HORS_BILAN"/>
      <sheetName val="Bouclette_Europe-Overseas_12"/>
      <sheetName val="Market_Sector"/>
      <sheetName val="Interco-3rd_party"/>
      <sheetName val="Business_and_Offer"/>
      <sheetName val="Madrid_Direct_Function"/>
      <sheetName val="Vertical_Markets"/>
      <sheetName val="CR_IFRS"/>
      <sheetName val="ecartacquis_actif1"/>
      <sheetName val="ecartacquis_passif1"/>
      <sheetName val="Participt_non_conso_1"/>
      <sheetName val="Part_reev_MEE1"/>
      <sheetName val="VCP_GROUPE1"/>
      <sheetName val="VCP_mino1"/>
      <sheetName val="RESSOC_AU_CONSO1"/>
      <sheetName val="CPSOC_AU_CONSO1"/>
      <sheetName val="S_rchg1"/>
      <sheetName val="det_prov_rc1"/>
      <sheetName val="Res_fin1"/>
      <sheetName val="Res_excep_rub1"/>
      <sheetName val="S_excep1"/>
      <sheetName val="ENGAGT_HORS_BILAN1"/>
      <sheetName val="Bouclette_Europe-Overseas_121"/>
      <sheetName val="Market_Sector1"/>
      <sheetName val="Interco-3rd_party1"/>
      <sheetName val="Business_and_Offer1"/>
      <sheetName val="Madrid_Direct_Function1"/>
      <sheetName val="Vertical_Markets1"/>
      <sheetName val="CR_IFRS1"/>
      <sheetName val="ecartacquis_actif2"/>
      <sheetName val="ecartacquis_passif2"/>
      <sheetName val="Participt_non_conso_2"/>
      <sheetName val="Part_reev_MEE2"/>
      <sheetName val="VCP_GROUPE2"/>
      <sheetName val="VCP_mino2"/>
      <sheetName val="RESSOC_AU_CONSO2"/>
      <sheetName val="CPSOC_AU_CONSO2"/>
      <sheetName val="S_rchg2"/>
      <sheetName val="det_prov_rc2"/>
      <sheetName val="Res_fin2"/>
      <sheetName val="Res_excep_rub2"/>
      <sheetName val="S_excep2"/>
      <sheetName val="ENGAGT_HORS_BILAN2"/>
      <sheetName val="Bouclette_Europe-Overseas_122"/>
      <sheetName val="Market_Sector2"/>
      <sheetName val="Interco-3rd_party2"/>
      <sheetName val="Business_and_Offer2"/>
      <sheetName val="Madrid_Direct_Function2"/>
      <sheetName val="Vertical_Markets2"/>
      <sheetName val="CR_IFRS2"/>
      <sheetName val="List"/>
      <sheetName val="Data Base"/>
      <sheetName val="Hoja1"/>
      <sheetName val="Data_Base"/>
      <sheetName val="Activity"/>
      <sheetName val="ListParam"/>
      <sheetName val="Feuil1"/>
      <sheetName val="Liasse de Saisie"/>
      <sheetName val="Sheet1"/>
      <sheetName val="Liasse_de_Saisie"/>
      <sheetName val="Datas"/>
      <sheetName val="Liasse_de_Saisie1"/>
      <sheetName val="ecartacquis_actif3"/>
      <sheetName val="ecartacquis_passif3"/>
      <sheetName val="Participt_non_conso_3"/>
      <sheetName val="Part_reev_MEE3"/>
      <sheetName val="VCP_GROUPE3"/>
      <sheetName val="VCP_mino3"/>
      <sheetName val="RESSOC_AU_CONSO3"/>
      <sheetName val="CPSOC_AU_CONSO3"/>
      <sheetName val="S_rchg3"/>
      <sheetName val="det_prov_rc3"/>
      <sheetName val="Res_fin3"/>
      <sheetName val="Res_excep_rub3"/>
      <sheetName val="S_excep3"/>
      <sheetName val="ENGAGT_HORS_BILAN3"/>
      <sheetName val="Bouclette_Europe-Overseas_123"/>
      <sheetName val="Market_Sector3"/>
      <sheetName val="Interco-3rd_party3"/>
      <sheetName val="Business_and_Offer3"/>
      <sheetName val="Madrid_Direct_Function3"/>
      <sheetName val="Vertical_Markets3"/>
      <sheetName val="CR_IFRS3"/>
      <sheetName val="Data_Base1"/>
      <sheetName val="ecartacquis_actif4"/>
      <sheetName val="ecartacquis_passif4"/>
      <sheetName val="Participt_non_conso_4"/>
      <sheetName val="Part_reev_MEE4"/>
      <sheetName val="VCP_GROUPE4"/>
      <sheetName val="VCP_mino4"/>
      <sheetName val="RESSOC_AU_CONSO4"/>
      <sheetName val="CPSOC_AU_CONSO4"/>
      <sheetName val="S_rchg4"/>
      <sheetName val="det_prov_rc4"/>
      <sheetName val="Res_fin4"/>
      <sheetName val="Res_excep_rub4"/>
      <sheetName val="S_excep4"/>
      <sheetName val="ENGAGT_HORS_BILAN4"/>
      <sheetName val="Bouclette_Europe-Overseas_124"/>
      <sheetName val="Market_Sector4"/>
      <sheetName val="Interco-3rd_party4"/>
      <sheetName val="Business_and_Offer4"/>
      <sheetName val="Madrid_Direct_Function4"/>
      <sheetName val="Vertical_Markets4"/>
      <sheetName val="CR_IFRS4"/>
      <sheetName val="Data_Base2"/>
      <sheetName val="ecartacquis_actif5"/>
      <sheetName val="ecartacquis_passif5"/>
      <sheetName val="Participt_non_conso_5"/>
      <sheetName val="Part_reev_MEE5"/>
      <sheetName val="VCP_GROUPE5"/>
      <sheetName val="VCP_mino5"/>
      <sheetName val="RESSOC_AU_CONSO5"/>
      <sheetName val="CPSOC_AU_CONSO5"/>
      <sheetName val="S_rchg5"/>
      <sheetName val="det_prov_rc5"/>
      <sheetName val="Res_fin5"/>
      <sheetName val="Res_excep_rub5"/>
      <sheetName val="S_excep5"/>
      <sheetName val="ENGAGT_HORS_BILAN5"/>
      <sheetName val="Bouclette_Europe-Overseas_125"/>
      <sheetName val="Market_Sector5"/>
      <sheetName val="Interco-3rd_party5"/>
      <sheetName val="Business_and_Offer5"/>
      <sheetName val="Madrid_Direct_Function5"/>
      <sheetName val="Vertical_Markets5"/>
      <sheetName val="CR_IFRS5"/>
      <sheetName val="Data_Base3"/>
      <sheetName val="ecartacquis_actif7"/>
      <sheetName val="ecartacquis_passif7"/>
      <sheetName val="Participt_non_conso_7"/>
      <sheetName val="Part_reev_MEE7"/>
      <sheetName val="VCP_GROUPE7"/>
      <sheetName val="VCP_mino7"/>
      <sheetName val="RESSOC_AU_CONSO7"/>
      <sheetName val="CPSOC_AU_CONSO7"/>
      <sheetName val="S_rchg7"/>
      <sheetName val="det_prov_rc7"/>
      <sheetName val="Res_fin7"/>
      <sheetName val="Res_excep_rub7"/>
      <sheetName val="S_excep7"/>
      <sheetName val="ENGAGT_HORS_BILAN7"/>
      <sheetName val="Bouclette_Europe-Overseas_127"/>
      <sheetName val="Market_Sector7"/>
      <sheetName val="Interco-3rd_party7"/>
      <sheetName val="Business_and_Offer7"/>
      <sheetName val="Madrid_Direct_Function7"/>
      <sheetName val="Vertical_Markets7"/>
      <sheetName val="CR_IFRS7"/>
      <sheetName val="Data_Base5"/>
      <sheetName val="Liasse_de_Saisie3"/>
      <sheetName val="ecartacquis_actif6"/>
      <sheetName val="ecartacquis_passif6"/>
      <sheetName val="Participt_non_conso_6"/>
      <sheetName val="Part_reev_MEE6"/>
      <sheetName val="VCP_GROUPE6"/>
      <sheetName val="VCP_mino6"/>
      <sheetName val="RESSOC_AU_CONSO6"/>
      <sheetName val="CPSOC_AU_CONSO6"/>
      <sheetName val="S_rchg6"/>
      <sheetName val="det_prov_rc6"/>
      <sheetName val="Res_fin6"/>
      <sheetName val="Res_excep_rub6"/>
      <sheetName val="S_excep6"/>
      <sheetName val="ENGAGT_HORS_BILAN6"/>
      <sheetName val="Bouclette_Europe-Overseas_126"/>
      <sheetName val="Market_Sector6"/>
      <sheetName val="Interco-3rd_party6"/>
      <sheetName val="Business_and_Offer6"/>
      <sheetName val="Madrid_Direct_Function6"/>
      <sheetName val="Vertical_Markets6"/>
      <sheetName val="CR_IFRS6"/>
      <sheetName val="Data_Base4"/>
      <sheetName val="Liasse_de_Saisie2"/>
      <sheetName val="ecartacquis_actif8"/>
      <sheetName val="ecartacquis_passif8"/>
      <sheetName val="Participt_non_conso_8"/>
      <sheetName val="Part_reev_MEE8"/>
      <sheetName val="VCP_GROUPE8"/>
      <sheetName val="VCP_mino8"/>
      <sheetName val="RESSOC_AU_CONSO8"/>
      <sheetName val="CPSOC_AU_CONSO8"/>
      <sheetName val="S_rchg8"/>
      <sheetName val="det_prov_rc8"/>
      <sheetName val="Res_fin8"/>
      <sheetName val="Res_excep_rub8"/>
      <sheetName val="S_excep8"/>
      <sheetName val="ENGAGT_HORS_BILAN8"/>
      <sheetName val="Bouclette_Europe-Overseas_128"/>
      <sheetName val="Market_Sector8"/>
      <sheetName val="Interco-3rd_party8"/>
      <sheetName val="Business_and_Offer8"/>
      <sheetName val="Madrid_Direct_Function8"/>
      <sheetName val="Vertical_Markets8"/>
      <sheetName val="CR_IFRS8"/>
      <sheetName val="Data_Base6"/>
      <sheetName val="Liasse_de_Saisie4"/>
      <sheetName val="ecartacquis_actif9"/>
      <sheetName val="ecartacquis_passif9"/>
      <sheetName val="Participt_non_conso_9"/>
      <sheetName val="Part_reev_MEE9"/>
      <sheetName val="VCP_GROUPE9"/>
      <sheetName val="VCP_mino9"/>
      <sheetName val="RESSOC_AU_CONSO9"/>
      <sheetName val="CPSOC_AU_CONSO9"/>
      <sheetName val="S_rchg9"/>
      <sheetName val="det_prov_rc9"/>
      <sheetName val="Res_fin9"/>
      <sheetName val="Res_excep_rub9"/>
      <sheetName val="S_excep9"/>
      <sheetName val="ENGAGT_HORS_BILAN9"/>
      <sheetName val="Bouclette_Europe-Overseas_129"/>
      <sheetName val="Market_Sector9"/>
      <sheetName val="Interco-3rd_party9"/>
      <sheetName val="Business_and_Offer9"/>
      <sheetName val="Madrid_Direct_Function9"/>
      <sheetName val="Vertical_Markets9"/>
      <sheetName val="CR_IFRS9"/>
      <sheetName val="Data_Base7"/>
      <sheetName val="Liasse_de_Saisie5"/>
      <sheetName val="Sheet4"/>
      <sheetName val="ecartacquis_actif10"/>
      <sheetName val="ecartacquis_passif10"/>
      <sheetName val="Participt_non_conso_10"/>
      <sheetName val="Part_reev_MEE10"/>
      <sheetName val="VCP_GROUPE10"/>
      <sheetName val="VCP_mino10"/>
      <sheetName val="RESSOC_AU_CONSO10"/>
      <sheetName val="CPSOC_AU_CONSO10"/>
      <sheetName val="S_rchg10"/>
      <sheetName val="det_prov_rc10"/>
      <sheetName val="Res_fin10"/>
      <sheetName val="Res_excep_rub10"/>
      <sheetName val="S_excep10"/>
      <sheetName val="ENGAGT_HORS_BILAN10"/>
      <sheetName val="Bouclette_Europe-Overseas_1210"/>
      <sheetName val="Market_Sector10"/>
      <sheetName val="Interco-3rd_party10"/>
      <sheetName val="Business_and_Offer10"/>
      <sheetName val="Madrid_Direct_Function10"/>
      <sheetName val="Vertical_Markets10"/>
      <sheetName val="CR_IFRS10"/>
      <sheetName val="Data_Base8"/>
      <sheetName val="Liasse_de_Saisie6"/>
      <sheetName val="Listing"/>
      <sheetName val="ecartacquis_actif11"/>
      <sheetName val="ecartacquis_passif11"/>
      <sheetName val="Participt_non_conso_11"/>
      <sheetName val="Part_reev_MEE11"/>
      <sheetName val="VCP_GROUPE11"/>
      <sheetName val="VCP_mino11"/>
      <sheetName val="RESSOC_AU_CONSO11"/>
      <sheetName val="CPSOC_AU_CONSO11"/>
      <sheetName val="S_rchg11"/>
      <sheetName val="det_prov_rc11"/>
      <sheetName val="Res_fin11"/>
      <sheetName val="Res_excep_rub11"/>
      <sheetName val="S_excep11"/>
      <sheetName val="ENGAGT_HORS_BILAN11"/>
      <sheetName val="Bouclette_Europe-Overseas_1211"/>
      <sheetName val="Market_Sector11"/>
      <sheetName val="Interco-3rd_party11"/>
      <sheetName val="Business_and_Offer11"/>
      <sheetName val="Madrid_Direct_Function11"/>
      <sheetName val="Vertical_Markets11"/>
      <sheetName val="CR_IFRS11"/>
      <sheetName val="Data_Base9"/>
      <sheetName val="Liasse_de_Saisie7"/>
      <sheetName val="ecartacquis_actif12"/>
      <sheetName val="ecartacquis_passif12"/>
      <sheetName val="Participt_non_conso_12"/>
      <sheetName val="Part_reev_MEE12"/>
      <sheetName val="VCP_GROUPE12"/>
      <sheetName val="VCP_mino12"/>
      <sheetName val="RESSOC_AU_CONSO12"/>
      <sheetName val="CPSOC_AU_CONSO12"/>
      <sheetName val="S_rchg12"/>
      <sheetName val="det_prov_rc12"/>
      <sheetName val="Res_fin12"/>
      <sheetName val="Res_excep_rub12"/>
      <sheetName val="S_excep12"/>
      <sheetName val="ENGAGT_HORS_BILAN12"/>
      <sheetName val="Bouclette_Europe-Overseas_1212"/>
      <sheetName val="Market_Sector12"/>
      <sheetName val="Interco-3rd_party12"/>
      <sheetName val="Business_and_Offer12"/>
      <sheetName val="Madrid_Direct_Function12"/>
      <sheetName val="Vertical_Markets12"/>
      <sheetName val="CR_IFRS12"/>
      <sheetName val="Data_Base10"/>
      <sheetName val="Liasse_de_Saisie8"/>
      <sheetName val="ecartacquis_actif13"/>
      <sheetName val="ecartacquis_passif13"/>
      <sheetName val="Participt_non_conso_13"/>
      <sheetName val="Part_reev_MEE13"/>
      <sheetName val="VCP_GROUPE13"/>
      <sheetName val="VCP_mino13"/>
      <sheetName val="RESSOC_AU_CONSO13"/>
      <sheetName val="CPSOC_AU_CONSO13"/>
      <sheetName val="S_rchg13"/>
      <sheetName val="det_prov_rc13"/>
      <sheetName val="Res_fin13"/>
      <sheetName val="Res_excep_rub13"/>
      <sheetName val="S_excep13"/>
      <sheetName val="ENGAGT_HORS_BILAN13"/>
      <sheetName val="Bouclette_Europe-Overseas_1213"/>
      <sheetName val="Market_Sector13"/>
      <sheetName val="Interco-3rd_party13"/>
      <sheetName val="Business_and_Offer13"/>
      <sheetName val="Madrid_Direct_Function13"/>
      <sheetName val="Vertical_Markets13"/>
      <sheetName val="CR_IFRS13"/>
      <sheetName val="Data_Base11"/>
      <sheetName val="Liasse_de_Saisie9"/>
      <sheetName val="Base histo réel 2013"/>
      <sheetName val="données"/>
      <sheetName val="ecartacquis_actif14"/>
      <sheetName val="ecartacquis_passif14"/>
      <sheetName val="Participt_non_conso_14"/>
      <sheetName val="Part_reev_MEE14"/>
      <sheetName val="VCP_GROUPE14"/>
      <sheetName val="VCP_mino14"/>
      <sheetName val="RESSOC_AU_CONSO14"/>
      <sheetName val="CPSOC_AU_CONSO14"/>
      <sheetName val="S_rchg14"/>
      <sheetName val="det_prov_rc14"/>
      <sheetName val="Res_fin14"/>
      <sheetName val="Res_excep_rub14"/>
      <sheetName val="S_excep14"/>
      <sheetName val="ENGAGT_HORS_BILAN14"/>
      <sheetName val="Bouclette_Europe-Overseas_1214"/>
      <sheetName val="Market_Sector14"/>
      <sheetName val="Interco-3rd_party14"/>
      <sheetName val="Business_and_Offer14"/>
      <sheetName val="Madrid_Direct_Function14"/>
      <sheetName val="Vertical_Markets14"/>
      <sheetName val="CR_IFRS14"/>
      <sheetName val="Data_Base12"/>
      <sheetName val="Liasse_de_Saisie10"/>
      <sheetName val="ecartacquis_actif15"/>
      <sheetName val="ecartacquis_passif15"/>
      <sheetName val="Participt_non_conso_15"/>
      <sheetName val="Part_reev_MEE15"/>
      <sheetName val="VCP_GROUPE15"/>
      <sheetName val="VCP_mino15"/>
      <sheetName val="RESSOC_AU_CONSO15"/>
      <sheetName val="CPSOC_AU_CONSO15"/>
      <sheetName val="S_rchg15"/>
      <sheetName val="det_prov_rc15"/>
      <sheetName val="Res_fin15"/>
      <sheetName val="Res_excep_rub15"/>
      <sheetName val="S_excep15"/>
      <sheetName val="ENGAGT_HORS_BILAN15"/>
      <sheetName val="Bouclette_Europe-Overseas_1215"/>
      <sheetName val="Market_Sector15"/>
      <sheetName val="Interco-3rd_party15"/>
      <sheetName val="Business_and_Offer15"/>
      <sheetName val="Madrid_Direct_Function15"/>
      <sheetName val="Vertical_Markets15"/>
      <sheetName val="CR_IFRS15"/>
      <sheetName val="Data_Base13"/>
      <sheetName val="Liasse_de_Saisie11"/>
      <sheetName val="ecartacquis_actif16"/>
      <sheetName val="ecartacquis_passif16"/>
      <sheetName val="Participt_non_conso_16"/>
      <sheetName val="Part_reev_MEE16"/>
      <sheetName val="VCP_GROUPE16"/>
      <sheetName val="VCP_mino16"/>
      <sheetName val="RESSOC_AU_CONSO16"/>
      <sheetName val="CPSOC_AU_CONSO16"/>
      <sheetName val="S_rchg16"/>
      <sheetName val="det_prov_rc16"/>
      <sheetName val="Res_fin16"/>
      <sheetName val="Res_excep_rub16"/>
      <sheetName val="S_excep16"/>
      <sheetName val="ENGAGT_HORS_BILAN16"/>
      <sheetName val="Bouclette_Europe-Overseas_1216"/>
      <sheetName val="Market_Sector16"/>
      <sheetName val="Interco-3rd_party16"/>
      <sheetName val="Business_and_Offer16"/>
      <sheetName val="Madrid_Direct_Function16"/>
      <sheetName val="Vertical_Markets16"/>
      <sheetName val="CR_IFRS16"/>
      <sheetName val="Data_Base14"/>
      <sheetName val="Liasse_de_Saisie12"/>
      <sheetName val="ecartacquis_actif17"/>
      <sheetName val="ecartacquis_passif17"/>
      <sheetName val="Participt_non_conso_17"/>
      <sheetName val="Part_reev_MEE17"/>
      <sheetName val="VCP_GROUPE17"/>
      <sheetName val="VCP_mino17"/>
      <sheetName val="RESSOC_AU_CONSO17"/>
      <sheetName val="CPSOC_AU_CONSO17"/>
      <sheetName val="S_rchg17"/>
      <sheetName val="det_prov_rc17"/>
      <sheetName val="Res_fin17"/>
      <sheetName val="Res_excep_rub17"/>
      <sheetName val="S_excep17"/>
      <sheetName val="ENGAGT_HORS_BILAN17"/>
      <sheetName val="Bouclette_Europe-Overseas_1217"/>
      <sheetName val="Market_Sector17"/>
      <sheetName val="Interco-3rd_party17"/>
      <sheetName val="Business_and_Offer17"/>
      <sheetName val="Madrid_Direct_Function17"/>
      <sheetName val="Vertical_Markets17"/>
      <sheetName val="CR_IFRS17"/>
      <sheetName val="Data_Base15"/>
      <sheetName val="Liasse_de_Saisie13"/>
      <sheetName val="ecartacquis_actif18"/>
      <sheetName val="ecartacquis_passif18"/>
      <sheetName val="Participt_non_conso_18"/>
      <sheetName val="Part_reev_MEE18"/>
      <sheetName val="VCP_GROUPE18"/>
      <sheetName val="VCP_mino18"/>
      <sheetName val="RESSOC_AU_CONSO18"/>
      <sheetName val="CPSOC_AU_CONSO18"/>
      <sheetName val="S_rchg18"/>
      <sheetName val="det_prov_rc18"/>
      <sheetName val="Res_fin18"/>
      <sheetName val="Res_excep_rub18"/>
      <sheetName val="S_excep18"/>
      <sheetName val="ENGAGT_HORS_BILAN18"/>
      <sheetName val="Bouclette_Europe-Overseas_1218"/>
      <sheetName val="Market_Sector18"/>
      <sheetName val="Interco-3rd_party18"/>
      <sheetName val="Business_and_Offer18"/>
      <sheetName val="Vertical_Markets18"/>
      <sheetName val="Madrid_Direct_Function18"/>
      <sheetName val="CR_IFRS18"/>
      <sheetName val="Data_Base16"/>
      <sheetName val="Liasse_de_Saisie14"/>
      <sheetName val="Base_histo_réel_2013"/>
      <sheetName val="PLAGES"/>
      <sheetName val="MASTER"/>
      <sheetName val="ref"/>
      <sheetName val="Synthèse des états"/>
      <sheetName val="Connexion"/>
      <sheetName val="Connexion (2)"/>
      <sheetName val="Dynamique de saisie"/>
      <sheetName val="Détail des masques &gt;&gt;"/>
      <sheetName val="Légende"/>
      <sheetName val="Coûts du Central &gt;"/>
      <sheetName val="Charte graphique"/>
      <sheetName val="CA_Externe &amp; Filiales"/>
      <sheetName val="CA_Inter-EPIC, Intra-Mob"/>
      <sheetName val="CA_Intra-Voyages"/>
      <sheetName val="Listes_CA"/>
      <sheetName val="ACE_Externe &amp; filiales"/>
      <sheetName val="Masque paramétrage custom"/>
      <sheetName val="Mensu liste"/>
      <sheetName val="Listes_ACE"/>
      <sheetName val="ACE_Inter-EPIC, Intra-Mob"/>
      <sheetName val="ACE_Intra-Voyages"/>
      <sheetName val="Autres P&amp;C_HG"/>
      <sheetName val="Autres P&amp;C_Part yc filiales"/>
      <sheetName val="Autres P&amp;C_Intra-Voyages"/>
      <sheetName val="Coûts du SI &gt;"/>
      <sheetName val="SI_As is"/>
      <sheetName val="SI_S9999"/>
      <sheetName val="SI_Listes"/>
      <sheetName val="Listes SI"/>
      <sheetName val="Projets_Option 2"/>
      <sheetName val="ACE Hors Groupe (yc projet)"/>
      <sheetName val="Autres I&amp;T"/>
      <sheetName val="Autres I&amp;T_HG"/>
      <sheetName val="Autres I&amp;T_Part yc filiales"/>
      <sheetName val="Autres I&amp;T_Intra-Voyages"/>
      <sheetName val="Liste Partenaire"/>
      <sheetName val="Liste Plan de compte"/>
      <sheetName val="PDCE"/>
      <sheetName val="Liste_Projets SI"/>
      <sheetName val="Liste Axe Ana"/>
      <sheetName val="Personnel"/>
      <sheetName val="Effectif 2016"/>
      <sheetName val="Mapping RG"/>
      <sheetName val="Effectif 2017"/>
      <sheetName val="Synthèse_des_états"/>
      <sheetName val="Connexion_(2)"/>
      <sheetName val="Dynamique_de_saisie"/>
      <sheetName val="Détail_des_masques_&gt;&gt;"/>
      <sheetName val="Coûts_du_Central_&gt;"/>
      <sheetName val="Charte_graphique"/>
      <sheetName val="CA_Externe_&amp;_Filiales"/>
      <sheetName val="CA_Inter-EPIC,_Intra-Mob"/>
      <sheetName val="ACE_Externe_&amp;_filiales"/>
      <sheetName val="Masque_paramétrage_custom"/>
      <sheetName val="Mensu_liste"/>
      <sheetName val="ACE_Inter-EPIC,_Intra-Mob"/>
      <sheetName val="Autres_P&amp;C_HG"/>
      <sheetName val="Autres_P&amp;C_Part_yc_filiales"/>
      <sheetName val="Autres_P&amp;C_Intra-Voyages"/>
      <sheetName val="Coûts_du_SI_&gt;"/>
      <sheetName val="SI_As_is"/>
      <sheetName val="Listes_SI"/>
      <sheetName val="Projets_Option_2"/>
      <sheetName val="ACE_Hors_Groupe_(yc_projet)"/>
      <sheetName val="Autres_I&amp;T"/>
      <sheetName val="Autres_I&amp;T_HG"/>
      <sheetName val="Autres_I&amp;T_Part_yc_filiales"/>
      <sheetName val="Autres_I&amp;T_Intra-Voyages"/>
      <sheetName val="Liste_Partenaire"/>
      <sheetName val="Liste_Plan_de_compte"/>
      <sheetName val="Liste_Projets_SI"/>
      <sheetName val="Liste_Axe_Ana"/>
      <sheetName val="Effectif_2016"/>
      <sheetName val="Mapping_RG"/>
      <sheetName val="Effectif_2017"/>
      <sheetName val="Synthèse_des_états1"/>
      <sheetName val="Connexion_(2)1"/>
      <sheetName val="Dynamique_de_saisie1"/>
      <sheetName val="Détail_des_masques_&gt;&gt;1"/>
      <sheetName val="Coûts_du_Central_&gt;1"/>
      <sheetName val="Charte_graphique1"/>
      <sheetName val="CA_Externe_&amp;_Filiales1"/>
      <sheetName val="CA_Inter-EPIC,_Intra-Mob1"/>
      <sheetName val="ACE_Externe_&amp;_filiales1"/>
      <sheetName val="Masque_paramétrage_custom1"/>
      <sheetName val="Mensu_liste1"/>
      <sheetName val="ACE_Inter-EPIC,_Intra-Mob1"/>
      <sheetName val="Autres_P&amp;C_HG1"/>
      <sheetName val="Autres_P&amp;C_Part_yc_filiales1"/>
      <sheetName val="Autres_P&amp;C_Intra-Voyages1"/>
      <sheetName val="Coûts_du_SI_&gt;1"/>
      <sheetName val="SI_As_is1"/>
      <sheetName val="Listes_SI1"/>
      <sheetName val="Projets_Option_21"/>
      <sheetName val="ACE_Hors_Groupe_(yc_projet)1"/>
      <sheetName val="Autres_I&amp;T1"/>
      <sheetName val="Autres_I&amp;T_HG1"/>
      <sheetName val="Autres_I&amp;T_Part_yc_filiales1"/>
      <sheetName val="Autres_I&amp;T_Intra-Voyages1"/>
      <sheetName val="Liste_Partenaire1"/>
      <sheetName val="Liste_Plan_de_compte1"/>
      <sheetName val="Liste_Projets_SI1"/>
      <sheetName val="Liste_Axe_Ana1"/>
      <sheetName val="Effectif_20161"/>
      <sheetName val="Mapping_RG1"/>
      <sheetName val="Effectif_20171"/>
      <sheetName val="Legal Text"/>
      <sheetName val="EBIT K conso vs B20 Mois"/>
      <sheetName val="EBIT K conso vs 2019 Cumul"/>
      <sheetName val="ecartacquis_actif19"/>
      <sheetName val="ecartacquis_passif19"/>
      <sheetName val="Participt_non_conso_19"/>
      <sheetName val="Part_reev_MEE19"/>
      <sheetName val="VCP_GROUPE19"/>
      <sheetName val="VCP_mino19"/>
      <sheetName val="RESSOC_AU_CONSO19"/>
      <sheetName val="CPSOC_AU_CONSO19"/>
      <sheetName val="S_rchg19"/>
      <sheetName val="det_prov_rc19"/>
      <sheetName val="Res_fin19"/>
      <sheetName val="Res_excep_rub19"/>
      <sheetName val="S_excep19"/>
      <sheetName val="ENGAGT_HORS_BILAN19"/>
      <sheetName val="Bouclette_Europe-Overseas_1219"/>
      <sheetName val="Market_Sector19"/>
      <sheetName val="Interco-3rd_party19"/>
      <sheetName val="Business_and_Offer19"/>
      <sheetName val="Vertical_Markets19"/>
      <sheetName val="Madrid_Direct_Function19"/>
      <sheetName val="CR_IFRS19"/>
      <sheetName val="Data_Base17"/>
      <sheetName val="Liasse_de_Saisie15"/>
      <sheetName val="Base_histo_réel_20131"/>
      <sheetName val="EBIT_K_conso_vs_B20_Mois"/>
      <sheetName val="Legal_Text"/>
      <sheetName val="ecartacquis_actif20"/>
      <sheetName val="ecartacquis_passif20"/>
      <sheetName val="Participt_non_conso_20"/>
      <sheetName val="Part_reev_MEE20"/>
      <sheetName val="VCP_GROUPE20"/>
      <sheetName val="VCP_mino20"/>
      <sheetName val="RESSOC_AU_CONSO20"/>
      <sheetName val="CPSOC_AU_CONSO20"/>
      <sheetName val="S_rchg20"/>
      <sheetName val="det_prov_rc20"/>
      <sheetName val="Res_fin20"/>
      <sheetName val="Res_excep_rub20"/>
      <sheetName val="S_excep20"/>
      <sheetName val="ENGAGT_HORS_BILAN20"/>
      <sheetName val="Bouclette_Europe-Overseas_1220"/>
      <sheetName val="Market_Sector20"/>
      <sheetName val="Interco-3rd_party20"/>
      <sheetName val="Business_and_Offer20"/>
      <sheetName val="Vertical_Markets20"/>
      <sheetName val="Madrid_Direct_Function20"/>
      <sheetName val="CR_IFRS20"/>
      <sheetName val="Data_Base18"/>
      <sheetName val="Liasse_de_Saisie16"/>
      <sheetName val="Base_histo_réel_20132"/>
      <sheetName val="EBIT_K_conso_vs_B20_Mois1"/>
      <sheetName val="Legal_Text1"/>
      <sheetName val="Synthèse_des_états2"/>
      <sheetName val="Connexion_(2)2"/>
      <sheetName val="Dynamique_de_saisie2"/>
      <sheetName val="Détail_des_masques_&gt;&gt;2"/>
      <sheetName val="Coûts_du_Central_&gt;2"/>
      <sheetName val="Charte_graphique2"/>
      <sheetName val="CA_Externe_&amp;_Filiales2"/>
      <sheetName val="CA_Inter-EPIC,_Intra-Mob2"/>
      <sheetName val="ACE_Externe_&amp;_filiales2"/>
      <sheetName val="Masque_paramétrage_custom2"/>
      <sheetName val="Mensu_liste2"/>
      <sheetName val="ACE_Inter-EPIC,_Intra-Mob2"/>
      <sheetName val="Autres_P&amp;C_HG2"/>
      <sheetName val="Autres_P&amp;C_Part_yc_filiales2"/>
      <sheetName val="Autres_P&amp;C_Intra-Voyages2"/>
      <sheetName val="Coûts_du_SI_&gt;2"/>
      <sheetName val="SI_As_is2"/>
      <sheetName val="Listes_SI2"/>
      <sheetName val="Projets_Option_22"/>
      <sheetName val="ACE_Hors_Groupe_(yc_projet)2"/>
      <sheetName val="Autres_I&amp;T2"/>
      <sheetName val="Autres_I&amp;T_HG2"/>
      <sheetName val="Autres_I&amp;T_Part_yc_filiales2"/>
      <sheetName val="Autres_I&amp;T_Intra-Voyages2"/>
      <sheetName val="Liste_Partenaire2"/>
      <sheetName val="Liste_Plan_de_compte2"/>
      <sheetName val="Liste_Projets_SI2"/>
      <sheetName val="Liste_Axe_Ana2"/>
      <sheetName val="Effectif_20162"/>
      <sheetName val="Mapping_RG2"/>
      <sheetName val="Effectif_20172"/>
      <sheetName val="EBIT_K_conso_vs_2019_Cumul"/>
      <sheetName val="Bridge MOP B2021-B2022"/>
      <sheetName val="Bridge_MOP_B2021-B2022"/>
      <sheetName val="ecartacquis_actif21"/>
      <sheetName val="ecartacquis_passif21"/>
      <sheetName val="Participt_non_conso_21"/>
      <sheetName val="Part_reev_MEE21"/>
      <sheetName val="VCP_GROUPE21"/>
      <sheetName val="VCP_mino21"/>
      <sheetName val="RESSOC_AU_CONSO21"/>
      <sheetName val="CPSOC_AU_CONSO21"/>
      <sheetName val="S_rchg21"/>
      <sheetName val="det_prov_rc21"/>
      <sheetName val="Res_fin21"/>
      <sheetName val="Res_excep_rub21"/>
      <sheetName val="S_excep21"/>
      <sheetName val="ENGAGT_HORS_BILAN21"/>
      <sheetName val="Bouclette_Europe-Overseas_1221"/>
      <sheetName val="Market_Sector21"/>
      <sheetName val="Interco-3rd_party21"/>
      <sheetName val="Business_and_Offer21"/>
      <sheetName val="Vertical_Markets21"/>
      <sheetName val="Madrid_Direct_Function21"/>
      <sheetName val="CR_IFRS21"/>
      <sheetName val="Data_Base19"/>
      <sheetName val="Liasse_de_Saisie17"/>
      <sheetName val="Base_histo_réel_20133"/>
      <sheetName val="EBIT_K_conso_vs_B20_Mois2"/>
      <sheetName val="Legal_Text2"/>
      <sheetName val="Synthèse_des_états3"/>
      <sheetName val="Connexion_(2)3"/>
      <sheetName val="Dynamique_de_saisie3"/>
      <sheetName val="Détail_des_masques_&gt;&gt;3"/>
      <sheetName val="Coûts_du_Central_&gt;3"/>
      <sheetName val="Charte_graphique3"/>
      <sheetName val="CA_Externe_&amp;_Filiales3"/>
      <sheetName val="CA_Inter-EPIC,_Intra-Mob3"/>
      <sheetName val="ACE_Externe_&amp;_filiales3"/>
      <sheetName val="Masque_paramétrage_custom3"/>
      <sheetName val="Mensu_liste3"/>
      <sheetName val="ACE_Inter-EPIC,_Intra-Mob3"/>
      <sheetName val="Autres_P&amp;C_HG3"/>
      <sheetName val="Autres_P&amp;C_Part_yc_filiales3"/>
      <sheetName val="Autres_P&amp;C_Intra-Voyages3"/>
      <sheetName val="Coûts_du_SI_&gt;3"/>
      <sheetName val="SI_As_is3"/>
      <sheetName val="Listes_SI3"/>
      <sheetName val="Projets_Option_23"/>
      <sheetName val="ACE_Hors_Groupe_(yc_projet)3"/>
      <sheetName val="Autres_I&amp;T3"/>
      <sheetName val="Autres_I&amp;T_HG3"/>
      <sheetName val="Autres_I&amp;T_Part_yc_filiales3"/>
      <sheetName val="Autres_I&amp;T_Intra-Voyages3"/>
      <sheetName val="Liste_Partenaire3"/>
      <sheetName val="Liste_Plan_de_compte3"/>
      <sheetName val="Liste_Projets_SI3"/>
      <sheetName val="Liste_Axe_Ana3"/>
      <sheetName val="Effectif_20163"/>
      <sheetName val="Mapping_RG3"/>
      <sheetName val="Effectif_20173"/>
      <sheetName val="EBIT_K_conso_vs_2019_Cumul1"/>
      <sheetName val="Nb of account evolution"/>
      <sheetName val="Bridge_MOP_B2021-B20221"/>
      <sheetName val="ecartacquis_actif22"/>
      <sheetName val="ecartacquis_passif22"/>
      <sheetName val="Participt_non_conso_22"/>
      <sheetName val="Part_reev_MEE22"/>
      <sheetName val="VCP_GROUPE22"/>
      <sheetName val="VCP_mino22"/>
      <sheetName val="RESSOC_AU_CONSO22"/>
      <sheetName val="CPSOC_AU_CONSO22"/>
      <sheetName val="S_rchg22"/>
      <sheetName val="det_prov_rc22"/>
      <sheetName val="Res_fin22"/>
      <sheetName val="Res_excep_rub22"/>
      <sheetName val="S_excep22"/>
      <sheetName val="ENGAGT_HORS_BILAN22"/>
      <sheetName val="Bouclette_Europe-Overseas_1222"/>
      <sheetName val="Market_Sector22"/>
      <sheetName val="Interco-3rd_party22"/>
      <sheetName val="Business_and_Offer22"/>
      <sheetName val="Vertical_Markets22"/>
      <sheetName val="Madrid_Direct_Function22"/>
      <sheetName val="CR_IFRS22"/>
      <sheetName val="Data_Base20"/>
      <sheetName val="Liasse_de_Saisie18"/>
      <sheetName val="Base_histo_réel_20134"/>
      <sheetName val="EBIT_K_conso_vs_B20_Mois3"/>
      <sheetName val="Legal_Text3"/>
      <sheetName val="Bridge_MOP_B2021-B20222"/>
      <sheetName val="Synthèse_des_états4"/>
      <sheetName val="Connexion_(2)4"/>
      <sheetName val="Dynamique_de_saisie4"/>
      <sheetName val="Détail_des_masques_&gt;&gt;4"/>
      <sheetName val="Coûts_du_Central_&gt;4"/>
      <sheetName val="Charte_graphique4"/>
      <sheetName val="CA_Externe_&amp;_Filiales4"/>
      <sheetName val="CA_Inter-EPIC,_Intra-Mob4"/>
      <sheetName val="ACE_Externe_&amp;_filiales4"/>
      <sheetName val="Masque_paramétrage_custom4"/>
      <sheetName val="Mensu_liste4"/>
      <sheetName val="ACE_Inter-EPIC,_Intra-Mob4"/>
      <sheetName val="Autres_P&amp;C_HG4"/>
      <sheetName val="Autres_P&amp;C_Part_yc_filiales4"/>
      <sheetName val="Autres_P&amp;C_Intra-Voyages4"/>
      <sheetName val="Coûts_du_SI_&gt;4"/>
      <sheetName val="SI_As_is4"/>
      <sheetName val="Listes_SI4"/>
      <sheetName val="Projets_Option_24"/>
      <sheetName val="ACE_Hors_Groupe_(yc_projet)4"/>
      <sheetName val="Autres_I&amp;T4"/>
      <sheetName val="Autres_I&amp;T_HG4"/>
      <sheetName val="Autres_I&amp;T_Part_yc_filiales4"/>
      <sheetName val="Autres_I&amp;T_Intra-Voyages4"/>
      <sheetName val="Liste_Partenaire4"/>
      <sheetName val="Liste_Plan_de_compte4"/>
      <sheetName val="Liste_Projets_SI4"/>
      <sheetName val="Liste_Axe_Ana4"/>
      <sheetName val="Effectif_20164"/>
      <sheetName val="Mapping_RG4"/>
      <sheetName val="Effectif_20174"/>
      <sheetName val="EBIT_K_conso_vs_2019_Cumul2"/>
      <sheetName val="Nb_of_account_evolution"/>
      <sheetName val="indic.mois"/>
      <sheetName val="ecartacquis_actif23"/>
      <sheetName val="ecartacquis_passif23"/>
      <sheetName val="Participt_non_conso_23"/>
      <sheetName val="Part_reev_MEE23"/>
      <sheetName val="VCP_GROUPE23"/>
      <sheetName val="VCP_mino23"/>
      <sheetName val="RESSOC_AU_CONSO23"/>
      <sheetName val="CPSOC_AU_CONSO23"/>
      <sheetName val="S_rchg23"/>
      <sheetName val="det_prov_rc23"/>
      <sheetName val="Res_fin23"/>
      <sheetName val="Res_excep_rub23"/>
      <sheetName val="S_excep23"/>
      <sheetName val="ENGAGT_HORS_BILAN23"/>
      <sheetName val="Bouclette_Europe-Overseas_1223"/>
      <sheetName val="Market_Sector23"/>
      <sheetName val="Interco-3rd_party23"/>
      <sheetName val="Business_and_Offer23"/>
      <sheetName val="Vertical_Markets23"/>
      <sheetName val="Madrid_Direct_Function23"/>
      <sheetName val="CR_IFRS23"/>
      <sheetName val="Data_Base21"/>
      <sheetName val="Liasse_de_Saisie19"/>
      <sheetName val="Base_histo_réel_20135"/>
      <sheetName val="EBIT_K_conso_vs_B20_Mois4"/>
      <sheetName val="Legal_Text4"/>
      <sheetName val="Synthèse_des_états5"/>
      <sheetName val="Connexion_(2)5"/>
      <sheetName val="Dynamique_de_saisie5"/>
      <sheetName val="Détail_des_masques_&gt;&gt;5"/>
      <sheetName val="Coûts_du_Central_&gt;5"/>
      <sheetName val="Charte_graphique5"/>
      <sheetName val="CA_Externe_&amp;_Filiales5"/>
      <sheetName val="CA_Inter-EPIC,_Intra-Mob5"/>
      <sheetName val="ACE_Externe_&amp;_filiales5"/>
      <sheetName val="Masque_paramétrage_custom5"/>
      <sheetName val="Mensu_liste5"/>
      <sheetName val="ACE_Inter-EPIC,_Intra-Mob5"/>
      <sheetName val="Autres_P&amp;C_HG5"/>
      <sheetName val="Autres_P&amp;C_Part_yc_filiales5"/>
      <sheetName val="Autres_P&amp;C_Intra-Voyages5"/>
      <sheetName val="Coûts_du_SI_&gt;5"/>
      <sheetName val="SI_As_is5"/>
      <sheetName val="Listes_SI5"/>
      <sheetName val="Projets_Option_25"/>
      <sheetName val="ACE_Hors_Groupe_(yc_projet)5"/>
      <sheetName val="Autres_I&amp;T5"/>
      <sheetName val="Autres_I&amp;T_HG5"/>
      <sheetName val="Autres_I&amp;T_Part_yc_filiales5"/>
      <sheetName val="Autres_I&amp;T_Intra-Voyages5"/>
      <sheetName val="Liste_Partenaire5"/>
      <sheetName val="Liste_Plan_de_compte5"/>
      <sheetName val="Liste_Projets_SI5"/>
      <sheetName val="Liste_Axe_Ana5"/>
      <sheetName val="Effectif_20165"/>
      <sheetName val="Mapping_RG5"/>
      <sheetName val="Effectif_20175"/>
      <sheetName val="EBIT_K_conso_vs_2019_Cumul3"/>
      <sheetName val="Bridge_MOP_B2021-B20223"/>
      <sheetName val="Nb_of_account_evolution1"/>
      <sheetName val="indic_mois"/>
      <sheetName val="Entités SA VOYAGEURS"/>
      <sheetName val="Transilien"/>
      <sheetName val="TER"/>
      <sheetName val="Intercités"/>
      <sheetName val="TGV"/>
      <sheetName val="Graph_DSO"/>
      <sheetName val="ecartacquis_actif24"/>
      <sheetName val="ecartacquis_passif24"/>
      <sheetName val="Participt_non_conso_24"/>
      <sheetName val="Part_reev_MEE24"/>
      <sheetName val="VCP_GROUPE24"/>
      <sheetName val="VCP_mino24"/>
      <sheetName val="RESSOC_AU_CONSO24"/>
      <sheetName val="CPSOC_AU_CONSO24"/>
      <sheetName val="S_rchg24"/>
      <sheetName val="det_prov_rc24"/>
      <sheetName val="Res_fin24"/>
      <sheetName val="Res_excep_rub24"/>
      <sheetName val="S_excep24"/>
      <sheetName val="ENGAGT_HORS_BILAN24"/>
      <sheetName val="Bouclette_Europe-Overseas_1224"/>
      <sheetName val="Market_Sector24"/>
      <sheetName val="Interco-3rd_party24"/>
      <sheetName val="Business_and_Offer24"/>
      <sheetName val="Vertical_Markets24"/>
      <sheetName val="Madrid_Direct_Function24"/>
      <sheetName val="CR_IFRS24"/>
      <sheetName val="Data_Base22"/>
      <sheetName val="Liasse_de_Saisie20"/>
      <sheetName val="Base_histo_réel_20136"/>
      <sheetName val="EBIT_K_conso_vs_B20_Mois5"/>
      <sheetName val="Legal_Text5"/>
      <sheetName val="Synthèse_des_états6"/>
      <sheetName val="Connexion_(2)6"/>
      <sheetName val="Dynamique_de_saisie6"/>
      <sheetName val="Détail_des_masques_&gt;&gt;6"/>
      <sheetName val="Coûts_du_Central_&gt;6"/>
      <sheetName val="Charte_graphique6"/>
      <sheetName val="CA_Externe_&amp;_Filiales6"/>
      <sheetName val="CA_Inter-EPIC,_Intra-Mob6"/>
      <sheetName val="ACE_Externe_&amp;_filiales6"/>
      <sheetName val="Masque_paramétrage_custom6"/>
      <sheetName val="Mensu_liste6"/>
      <sheetName val="ACE_Inter-EPIC,_Intra-Mob6"/>
      <sheetName val="Autres_P&amp;C_HG6"/>
      <sheetName val="Autres_P&amp;C_Part_yc_filiales6"/>
      <sheetName val="Autres_P&amp;C_Intra-Voyages6"/>
      <sheetName val="Coûts_du_SI_&gt;6"/>
      <sheetName val="SI_As_is6"/>
      <sheetName val="Listes_SI6"/>
      <sheetName val="Projets_Option_26"/>
      <sheetName val="ACE_Hors_Groupe_(yc_projet)6"/>
      <sheetName val="Autres_I&amp;T6"/>
      <sheetName val="Autres_I&amp;T_HG6"/>
      <sheetName val="Autres_I&amp;T_Part_yc_filiales6"/>
      <sheetName val="Autres_I&amp;T_Intra-Voyages6"/>
      <sheetName val="Liste_Partenaire6"/>
      <sheetName val="Liste_Plan_de_compte6"/>
      <sheetName val="Liste_Projets_SI6"/>
      <sheetName val="Liste_Axe_Ana6"/>
      <sheetName val="Effectif_20166"/>
      <sheetName val="Mapping_RG6"/>
      <sheetName val="Effectif_20176"/>
      <sheetName val="EBIT_K_conso_vs_2019_Cumul4"/>
      <sheetName val="Bridge_MOP_B2021-B20224"/>
      <sheetName val="Nb_of_account_evolution2"/>
      <sheetName val="indic_mois1"/>
      <sheetName val="Entités_SA_VOYAGEURS"/>
      <sheetName val="ecartacquis_actif25"/>
      <sheetName val="ecartacquis_passif25"/>
      <sheetName val="Participt_non_conso_25"/>
      <sheetName val="Part_reev_MEE25"/>
      <sheetName val="VCP_GROUPE25"/>
      <sheetName val="VCP_mino25"/>
      <sheetName val="RESSOC_AU_CONSO25"/>
      <sheetName val="CPSOC_AU_CONSO25"/>
      <sheetName val="S_rchg25"/>
      <sheetName val="det_prov_rc25"/>
      <sheetName val="Res_fin25"/>
      <sheetName val="Res_excep_rub25"/>
      <sheetName val="S_excep25"/>
      <sheetName val="ENGAGT_HORS_BILAN25"/>
      <sheetName val="Bouclette_Europe-Overseas_1225"/>
      <sheetName val="Market_Sector25"/>
      <sheetName val="Interco-3rd_party25"/>
      <sheetName val="Business_and_Offer25"/>
      <sheetName val="Vertical_Markets25"/>
      <sheetName val="Madrid_Direct_Function25"/>
      <sheetName val="CR_IFRS25"/>
      <sheetName val="Data_Base23"/>
      <sheetName val="Liasse_de_Saisie21"/>
      <sheetName val="Base_histo_réel_20137"/>
      <sheetName val="EBIT_K_conso_vs_B20_Mois6"/>
      <sheetName val="Legal_Text6"/>
      <sheetName val="Synthèse_des_états7"/>
      <sheetName val="Connexion_(2)7"/>
      <sheetName val="Dynamique_de_saisie7"/>
      <sheetName val="Détail_des_masques_&gt;&gt;7"/>
      <sheetName val="Coûts_du_Central_&gt;7"/>
      <sheetName val="Charte_graphique7"/>
      <sheetName val="CA_Externe_&amp;_Filiales7"/>
      <sheetName val="CA_Inter-EPIC,_Intra-Mob7"/>
      <sheetName val="ACE_Externe_&amp;_filiales7"/>
      <sheetName val="Masque_paramétrage_custom7"/>
      <sheetName val="Mensu_liste7"/>
      <sheetName val="ACE_Inter-EPIC,_Intra-Mob7"/>
      <sheetName val="Autres_P&amp;C_HG7"/>
      <sheetName val="Autres_P&amp;C_Part_yc_filiales7"/>
      <sheetName val="Autres_P&amp;C_Intra-Voyages7"/>
      <sheetName val="Coûts_du_SI_&gt;7"/>
      <sheetName val="SI_As_is7"/>
      <sheetName val="Listes_SI7"/>
      <sheetName val="Projets_Option_27"/>
      <sheetName val="ACE_Hors_Groupe_(yc_projet)7"/>
      <sheetName val="Autres_I&amp;T7"/>
      <sheetName val="Autres_I&amp;T_HG7"/>
      <sheetName val="Autres_I&amp;T_Part_yc_filiales7"/>
      <sheetName val="Autres_I&amp;T_Intra-Voyages7"/>
      <sheetName val="Liste_Partenaire7"/>
      <sheetName val="Liste_Plan_de_compte7"/>
      <sheetName val="Liste_Projets_SI7"/>
      <sheetName val="Liste_Axe_Ana7"/>
      <sheetName val="Effectif_20167"/>
      <sheetName val="Mapping_RG7"/>
      <sheetName val="Effectif_20177"/>
      <sheetName val="EBIT_K_conso_vs_2019_Cumul5"/>
      <sheetName val="Bridge_MOP_B2021-B20225"/>
      <sheetName val="Nb_of_account_evolution3"/>
      <sheetName val="indic_mois2"/>
      <sheetName val="Entités_SA_VOYAGEURS1"/>
      <sheetName val="ecartacquis_actif26"/>
      <sheetName val="ecartacquis_passif26"/>
      <sheetName val="Participt_non_conso_26"/>
      <sheetName val="Part_reev_MEE26"/>
      <sheetName val="VCP_GROUPE26"/>
      <sheetName val="VCP_mino26"/>
      <sheetName val="RESSOC_AU_CONSO26"/>
      <sheetName val="CPSOC_AU_CONSO26"/>
      <sheetName val="S_rchg26"/>
      <sheetName val="det_prov_rc26"/>
      <sheetName val="Res_fin26"/>
      <sheetName val="Res_excep_rub26"/>
      <sheetName val="S_excep26"/>
      <sheetName val="ENGAGT_HORS_BILAN26"/>
      <sheetName val="Bouclette_Europe-Overseas_1226"/>
      <sheetName val="Market_Sector26"/>
      <sheetName val="Interco-3rd_party26"/>
      <sheetName val="Business_and_Offer26"/>
      <sheetName val="Vertical_Markets26"/>
      <sheetName val="Madrid_Direct_Function26"/>
      <sheetName val="CR_IFRS26"/>
      <sheetName val="Data_Base24"/>
      <sheetName val="Liasse_de_Saisie22"/>
      <sheetName val="Base_histo_réel_20138"/>
      <sheetName val="EBIT_K_conso_vs_B20_Mois7"/>
      <sheetName val="Legal_Text7"/>
      <sheetName val="Synthèse_des_états8"/>
      <sheetName val="Connexion_(2)8"/>
      <sheetName val="Dynamique_de_saisie8"/>
      <sheetName val="Détail_des_masques_&gt;&gt;8"/>
      <sheetName val="Coûts_du_Central_&gt;8"/>
      <sheetName val="Charte_graphique8"/>
      <sheetName val="CA_Externe_&amp;_Filiales8"/>
      <sheetName val="CA_Inter-EPIC,_Intra-Mob8"/>
      <sheetName val="ACE_Externe_&amp;_filiales8"/>
      <sheetName val="Masque_paramétrage_custom8"/>
      <sheetName val="Mensu_liste8"/>
      <sheetName val="ACE_Inter-EPIC,_Intra-Mob8"/>
      <sheetName val="Autres_P&amp;C_HG8"/>
      <sheetName val="Autres_P&amp;C_Part_yc_filiales8"/>
      <sheetName val="Autres_P&amp;C_Intra-Voyages8"/>
      <sheetName val="Coûts_du_SI_&gt;8"/>
      <sheetName val="SI_As_is8"/>
      <sheetName val="Listes_SI8"/>
      <sheetName val="Projets_Option_28"/>
      <sheetName val="ACE_Hors_Groupe_(yc_projet)8"/>
      <sheetName val="Autres_I&amp;T8"/>
      <sheetName val="Autres_I&amp;T_HG8"/>
      <sheetName val="Autres_I&amp;T_Part_yc_filiales8"/>
      <sheetName val="Autres_I&amp;T_Intra-Voyages8"/>
      <sheetName val="Liste_Partenaire8"/>
      <sheetName val="Liste_Plan_de_compte8"/>
      <sheetName val="Liste_Projets_SI8"/>
      <sheetName val="Liste_Axe_Ana8"/>
      <sheetName val="Effectif_20168"/>
      <sheetName val="Mapping_RG8"/>
      <sheetName val="Effectif_20178"/>
      <sheetName val="EBIT_K_conso_vs_2019_Cumul6"/>
      <sheetName val="Bridge_MOP_B2021-B20226"/>
      <sheetName val="Nb_of_account_evolution4"/>
      <sheetName val="indic_mois3"/>
      <sheetName val="Entités_SA_VOYAGEUR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sheetData sheetId="106"/>
      <sheetData sheetId="107"/>
      <sheetData sheetId="108" refreshError="1"/>
      <sheetData sheetId="109" refreshError="1"/>
      <sheetData sheetId="110" refreshError="1"/>
      <sheetData sheetId="111" refreshError="1"/>
      <sheetData sheetId="112" refreshError="1"/>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efreshError="1"/>
      <sheetData sheetId="527" refreshError="1"/>
      <sheetData sheetId="528" refreshError="1"/>
      <sheetData sheetId="529" refreshError="1"/>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refreshError="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1 vs H2"/>
      <sheetName val="Forecast"/>
      <sheetName val="Forecast Detail"/>
      <sheetName val="Budget 2017"/>
      <sheetName val="Actuals 2017"/>
      <sheetName val="Budget Detail"/>
      <sheetName val="140"/>
      <sheetName val="702"/>
      <sheetName val="Summary"/>
      <sheetName val="700"/>
      <sheetName val="701"/>
      <sheetName val="703"/>
      <sheetName val="Bridges"/>
      <sheetName val="704"/>
      <sheetName val="705"/>
      <sheetName val="900"/>
      <sheetName val="901"/>
      <sheetName val="902"/>
      <sheetName val="903"/>
      <sheetName val="Descriptions"/>
      <sheetName val="Sheet2"/>
      <sheetName val="Actuals 2016"/>
      <sheetName val="iSetup"/>
      <sheetName val="Actuals 2015"/>
      <sheetName val="Consolidation"/>
      <sheetName val="Risks and Ops"/>
      <sheetName val="Bonus Forecast"/>
      <sheetName val="Trends (data)"/>
      <sheetName val="Trends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1 vs H2"/>
      <sheetName val="Forecast"/>
      <sheetName val="Forecast Detail"/>
      <sheetName val="Budget 2017"/>
      <sheetName val="Actuals 2017"/>
      <sheetName val="Budget Detail"/>
      <sheetName val="140"/>
      <sheetName val="702"/>
      <sheetName val="Summary"/>
      <sheetName val="700"/>
      <sheetName val="701"/>
      <sheetName val="703"/>
      <sheetName val="Bridges"/>
      <sheetName val="704"/>
      <sheetName val="705"/>
      <sheetName val="900"/>
      <sheetName val="901"/>
      <sheetName val="902"/>
      <sheetName val="903"/>
      <sheetName val="Descriptions"/>
      <sheetName val="Sheet2"/>
      <sheetName val="Actuals 2016"/>
      <sheetName val="iSetup"/>
      <sheetName val="Actuals 2015"/>
      <sheetName val="Consolidation"/>
      <sheetName val="Risks and Ops"/>
      <sheetName val="Bonus Forecast"/>
      <sheetName val="Trends (data)"/>
      <sheetName val="Trends (charts)"/>
    </sheetNames>
    <sheetDataSet>
      <sheetData sheetId="0" refreshError="1">
        <row r="2">
          <cell r="A2">
            <v>42736</v>
          </cell>
          <cell r="C2" t="str">
            <v>0+12</v>
          </cell>
          <cell r="D2" t="str">
            <v>Bud</v>
          </cell>
        </row>
        <row r="3">
          <cell r="A3">
            <v>42767</v>
          </cell>
          <cell r="C3" t="str">
            <v>1+11</v>
          </cell>
          <cell r="D3" t="str">
            <v>Var</v>
          </cell>
        </row>
        <row r="4">
          <cell r="A4">
            <v>42795</v>
          </cell>
          <cell r="C4" t="str">
            <v>2+10</v>
          </cell>
          <cell r="D4" t="str">
            <v>Overlay</v>
          </cell>
        </row>
        <row r="5">
          <cell r="A5">
            <v>42826</v>
          </cell>
          <cell r="C5" t="str">
            <v>3+9</v>
          </cell>
        </row>
        <row r="6">
          <cell r="A6">
            <v>42856</v>
          </cell>
          <cell r="C6" t="str">
            <v>4+8</v>
          </cell>
        </row>
        <row r="7">
          <cell r="A7">
            <v>42887</v>
          </cell>
          <cell r="C7" t="str">
            <v>5+7</v>
          </cell>
        </row>
        <row r="8">
          <cell r="A8">
            <v>42917</v>
          </cell>
          <cell r="C8" t="str">
            <v>6+6</v>
          </cell>
        </row>
        <row r="9">
          <cell r="A9">
            <v>42948</v>
          </cell>
          <cell r="C9" t="str">
            <v>7+5</v>
          </cell>
        </row>
        <row r="10">
          <cell r="A10">
            <v>42979</v>
          </cell>
          <cell r="C10" t="str">
            <v>8+4</v>
          </cell>
        </row>
        <row r="11">
          <cell r="A11">
            <v>43009</v>
          </cell>
          <cell r="C11" t="str">
            <v>9+3</v>
          </cell>
        </row>
        <row r="12">
          <cell r="A12">
            <v>43040</v>
          </cell>
          <cell r="C12" t="str">
            <v>10+2</v>
          </cell>
        </row>
        <row r="13">
          <cell r="A13">
            <v>43070</v>
          </cell>
          <cell r="C13" t="str">
            <v>11+1</v>
          </cell>
        </row>
        <row r="14">
          <cell r="C14" t="str">
            <v>12+0</v>
          </cell>
        </row>
      </sheetData>
      <sheetData sheetId="1" refreshError="1"/>
      <sheetData sheetId="2" refreshError="1"/>
      <sheetData sheetId="3" refreshError="1">
        <row r="3">
          <cell r="AQ3" t="str">
            <v>Combo</v>
          </cell>
          <cell r="AR3" t="str">
            <v>Accounts grouping</v>
          </cell>
        </row>
        <row r="4">
          <cell r="AQ4" t="str">
            <v>14013000100GBP</v>
          </cell>
          <cell r="AR4" t="str">
            <v>Non-passenger revenue</v>
          </cell>
          <cell r="AS4" t="str">
            <v>in forecast detail</v>
          </cell>
        </row>
        <row r="5">
          <cell r="AQ5" t="str">
            <v>14013000110280GBP</v>
          </cell>
          <cell r="AR5" t="str">
            <v>Non-passenger revenue</v>
          </cell>
          <cell r="AS5" t="str">
            <v>in forecast detail</v>
          </cell>
        </row>
        <row r="6">
          <cell r="AQ6" t="str">
            <v>14013000110280EUR</v>
          </cell>
          <cell r="AR6" t="str">
            <v>Non-passenger revenue</v>
          </cell>
          <cell r="AS6" t="str">
            <v>in forecast detail</v>
          </cell>
        </row>
        <row r="7">
          <cell r="AQ7" t="str">
            <v>14013000110420GBP</v>
          </cell>
          <cell r="AR7" t="str">
            <v>Procurement savings</v>
          </cell>
          <cell r="AS7" t="str">
            <v>in forecast detail</v>
          </cell>
        </row>
        <row r="8">
          <cell r="AQ8" t="str">
            <v>14013000111700GBP</v>
          </cell>
          <cell r="AR8" t="str">
            <v>Non-passenger revenue</v>
          </cell>
          <cell r="AS8" t="str">
            <v>in forecast detail</v>
          </cell>
        </row>
        <row r="9">
          <cell r="AQ9" t="str">
            <v>14013000111710GBP</v>
          </cell>
          <cell r="AR9" t="str">
            <v>Non-passenger revenue</v>
          </cell>
          <cell r="AS9" t="str">
            <v>in forecast detail</v>
          </cell>
        </row>
        <row r="10">
          <cell r="AQ10" t="str">
            <v>14013000111720GBP</v>
          </cell>
          <cell r="AR10" t="str">
            <v>Non-passenger revenue</v>
          </cell>
          <cell r="AS10" t="str">
            <v>in forecast detail</v>
          </cell>
        </row>
        <row r="11">
          <cell r="AQ11" t="str">
            <v>14013000111910GBP</v>
          </cell>
          <cell r="AR11" t="str">
            <v>Non-passenger revenue</v>
          </cell>
          <cell r="AS11" t="str">
            <v>in forecast detail</v>
          </cell>
        </row>
        <row r="12">
          <cell r="AQ12" t="str">
            <v>14013000111920GBP</v>
          </cell>
          <cell r="AR12" t="str">
            <v>Non-passenger revenue</v>
          </cell>
          <cell r="AS12" t="str">
            <v>in forecast detail</v>
          </cell>
        </row>
        <row r="13">
          <cell r="AQ13" t="str">
            <v>14013000111930GBP</v>
          </cell>
          <cell r="AR13" t="str">
            <v>Non-passenger revenue</v>
          </cell>
          <cell r="AS13" t="str">
            <v>in forecast detail</v>
          </cell>
        </row>
        <row r="14">
          <cell r="AQ14" t="str">
            <v>14013000111950GBP</v>
          </cell>
          <cell r="AR14" t="str">
            <v>Non-passenger revenue</v>
          </cell>
          <cell r="AS14" t="str">
            <v>in forecast detail</v>
          </cell>
        </row>
        <row r="15">
          <cell r="AQ15" t="str">
            <v>14013000111960GBP</v>
          </cell>
          <cell r="AR15" t="str">
            <v>Non-passenger revenue</v>
          </cell>
          <cell r="AS15" t="str">
            <v>in forecast detail</v>
          </cell>
        </row>
        <row r="16">
          <cell r="AQ16" t="str">
            <v>14013020010090GBP</v>
          </cell>
          <cell r="AR16" t="str">
            <v>Non-passenger revenue</v>
          </cell>
          <cell r="AS16" t="str">
            <v>in forecast detail</v>
          </cell>
        </row>
        <row r="17">
          <cell r="AQ17" t="str">
            <v>14013020010420GBP</v>
          </cell>
          <cell r="AR17" t="str">
            <v>Procurement savings</v>
          </cell>
          <cell r="AS17" t="str">
            <v>in forecast detail</v>
          </cell>
        </row>
        <row r="18">
          <cell r="AQ18" t="str">
            <v>70030100100GBP</v>
          </cell>
          <cell r="AR18" t="str">
            <v>Salaries, allowances &amp; bonuses</v>
          </cell>
          <cell r="AS18" t="str">
            <v>in forecast detail</v>
          </cell>
        </row>
        <row r="19">
          <cell r="AQ19" t="str">
            <v>70030100200EUR</v>
          </cell>
          <cell r="AR19" t="str">
            <v>Salaries, allowances &amp; bonuses</v>
          </cell>
          <cell r="AS19" t="str">
            <v>in forecast detail</v>
          </cell>
        </row>
        <row r="20">
          <cell r="AQ20" t="str">
            <v>70030101100GBP</v>
          </cell>
          <cell r="AR20" t="str">
            <v>Salaries, allowances &amp; bonuses</v>
          </cell>
          <cell r="AS20" t="str">
            <v>in forecast detail</v>
          </cell>
        </row>
        <row r="21">
          <cell r="AQ21" t="str">
            <v>70030102100GBP</v>
          </cell>
          <cell r="AR21" t="str">
            <v>Salaries, allowances &amp; bonuses</v>
          </cell>
          <cell r="AS21" t="str">
            <v>in forecast detail</v>
          </cell>
        </row>
        <row r="22">
          <cell r="AQ22" t="str">
            <v>70030103100GBP</v>
          </cell>
          <cell r="AR22" t="str">
            <v>Salaries, allowances &amp; bonuses</v>
          </cell>
          <cell r="AS22" t="str">
            <v>in forecast detail</v>
          </cell>
        </row>
        <row r="23">
          <cell r="AQ23" t="str">
            <v>70030110100GBP</v>
          </cell>
          <cell r="AR23" t="str">
            <v>Salaries, allowances &amp; bonuses</v>
          </cell>
          <cell r="AS23" t="str">
            <v>in forecast detail</v>
          </cell>
        </row>
        <row r="24">
          <cell r="AQ24" t="str">
            <v>70030120000GBP</v>
          </cell>
          <cell r="AR24" t="str">
            <v>Salaries, allowances &amp; bonuses</v>
          </cell>
          <cell r="AS24" t="str">
            <v>in forecast detail</v>
          </cell>
        </row>
        <row r="25">
          <cell r="AQ25" t="str">
            <v>70030200100GBP</v>
          </cell>
          <cell r="AR25" t="str">
            <v>Social charges</v>
          </cell>
          <cell r="AS25" t="str">
            <v>in forecast detail</v>
          </cell>
        </row>
        <row r="26">
          <cell r="AQ26" t="str">
            <v>70030200200EUR</v>
          </cell>
          <cell r="AR26" t="str">
            <v>Social charges</v>
          </cell>
          <cell r="AS26" t="str">
            <v>in forecast detail</v>
          </cell>
        </row>
        <row r="27">
          <cell r="AQ27" t="str">
            <v>70030300100GBP</v>
          </cell>
          <cell r="AR27" t="str">
            <v>Pension contributions</v>
          </cell>
          <cell r="AS27" t="str">
            <v>in forecast detail</v>
          </cell>
        </row>
        <row r="28">
          <cell r="AQ28" t="str">
            <v>70030500100GBP</v>
          </cell>
          <cell r="AR28" t="str">
            <v>Agency staff &amp; contractors</v>
          </cell>
          <cell r="AS28" t="str">
            <v>in forecast detail</v>
          </cell>
        </row>
        <row r="29">
          <cell r="AQ29" t="str">
            <v>70030630100EUR</v>
          </cell>
          <cell r="AR29" t="str">
            <v>Staff benefits</v>
          </cell>
          <cell r="AS29" t="str">
            <v>in forecast detail</v>
          </cell>
        </row>
        <row r="30">
          <cell r="AQ30" t="str">
            <v>70030630100GBP</v>
          </cell>
          <cell r="AR30" t="str">
            <v>Staff benefits</v>
          </cell>
          <cell r="AS30" t="str">
            <v>in forecast detail</v>
          </cell>
        </row>
        <row r="31">
          <cell r="AQ31" t="str">
            <v>70030700100GBP</v>
          </cell>
          <cell r="AR31" t="str">
            <v>Other staff costs</v>
          </cell>
          <cell r="AS31" t="str">
            <v>in forecast detail</v>
          </cell>
        </row>
        <row r="32">
          <cell r="AQ32" t="str">
            <v>70030700700GBP</v>
          </cell>
          <cell r="AR32" t="str">
            <v>Other staff costs</v>
          </cell>
          <cell r="AS32" t="str">
            <v>in forecast detail</v>
          </cell>
        </row>
        <row r="33">
          <cell r="AQ33" t="str">
            <v>70030710000GBP</v>
          </cell>
          <cell r="AR33" t="str">
            <v>Other staff costs</v>
          </cell>
          <cell r="AS33" t="str">
            <v>in forecast detail</v>
          </cell>
        </row>
        <row r="34">
          <cell r="AQ34" t="str">
            <v>70030720000GBP</v>
          </cell>
          <cell r="AR34" t="str">
            <v>Other staff costs</v>
          </cell>
          <cell r="AS34" t="str">
            <v>in forecast detail</v>
          </cell>
        </row>
        <row r="35">
          <cell r="AQ35" t="str">
            <v>70034230000EUR</v>
          </cell>
          <cell r="AR35" t="str">
            <v>Systems costs</v>
          </cell>
          <cell r="AS35" t="str">
            <v>in forecast detail</v>
          </cell>
        </row>
        <row r="36">
          <cell r="AQ36" t="str">
            <v>70034230000GBP</v>
          </cell>
          <cell r="AR36" t="str">
            <v>Systems costs</v>
          </cell>
          <cell r="AS36" t="str">
            <v>in forecast detail</v>
          </cell>
        </row>
        <row r="37">
          <cell r="AQ37" t="str">
            <v>70034230011610EUR</v>
          </cell>
          <cell r="AR37" t="str">
            <v>Systems costs</v>
          </cell>
          <cell r="AS37" t="str">
            <v>in forecast detail</v>
          </cell>
        </row>
        <row r="38">
          <cell r="AQ38" t="str">
            <v>70036000100EUR</v>
          </cell>
          <cell r="AR38" t="str">
            <v>Insurance</v>
          </cell>
          <cell r="AS38" t="str">
            <v>in forecast detail</v>
          </cell>
        </row>
        <row r="39">
          <cell r="AQ39" t="str">
            <v>70036000100GBP</v>
          </cell>
          <cell r="AR39" t="str">
            <v>Insurance</v>
          </cell>
          <cell r="AS39" t="str">
            <v>in forecast detail</v>
          </cell>
        </row>
        <row r="40">
          <cell r="AQ40" t="str">
            <v>70036100100GBP</v>
          </cell>
          <cell r="AR40" t="str">
            <v>Professional fees</v>
          </cell>
          <cell r="AS40" t="str">
            <v>in forecast detail</v>
          </cell>
        </row>
        <row r="41">
          <cell r="AQ41" t="str">
            <v>70036100200GBP</v>
          </cell>
          <cell r="AR41" t="str">
            <v>Professional fees</v>
          </cell>
          <cell r="AS41" t="str">
            <v>in forecast detail</v>
          </cell>
        </row>
        <row r="42">
          <cell r="AQ42" t="str">
            <v>7003611000EISPRLEUR</v>
          </cell>
          <cell r="AR42" t="str">
            <v>Professional fees</v>
          </cell>
          <cell r="AS42" t="str">
            <v>in forecast detail</v>
          </cell>
        </row>
        <row r="43">
          <cell r="AQ43" t="str">
            <v>70036110000EUR</v>
          </cell>
          <cell r="AR43" t="str">
            <v>Professional fees</v>
          </cell>
          <cell r="AS43" t="str">
            <v>in forecast detail</v>
          </cell>
        </row>
        <row r="44">
          <cell r="AQ44" t="str">
            <v>70036110000GBP</v>
          </cell>
          <cell r="AR44" t="str">
            <v>Professional fees</v>
          </cell>
          <cell r="AS44" t="str">
            <v>in forecast detail</v>
          </cell>
        </row>
        <row r="45">
          <cell r="AQ45" t="str">
            <v>70036110100GBP</v>
          </cell>
          <cell r="AR45" t="str">
            <v>Professional fees</v>
          </cell>
          <cell r="AS45" t="str">
            <v>in forecast detail</v>
          </cell>
        </row>
        <row r="46">
          <cell r="AQ46" t="str">
            <v>7003611010EISPRLEUR</v>
          </cell>
          <cell r="AR46" t="str">
            <v>Professional fees</v>
          </cell>
          <cell r="AS46" t="str">
            <v>in forecast detail</v>
          </cell>
        </row>
        <row r="47">
          <cell r="AQ47" t="str">
            <v>7003611010KPMGGBP</v>
          </cell>
          <cell r="AR47" t="str">
            <v>Professional fees</v>
          </cell>
          <cell r="AS47" t="str">
            <v>in forecast detail</v>
          </cell>
        </row>
        <row r="48">
          <cell r="AQ48" t="str">
            <v>7003611010MAZARSGBP</v>
          </cell>
          <cell r="AR48" t="str">
            <v>Professional fees</v>
          </cell>
          <cell r="AS48" t="str">
            <v>in forecast detail</v>
          </cell>
        </row>
        <row r="49">
          <cell r="AQ49" t="str">
            <v>7003611010E&amp;YGBP</v>
          </cell>
          <cell r="AR49" t="str">
            <v>Professional fees</v>
          </cell>
          <cell r="AS49" t="str">
            <v>in forecast detail</v>
          </cell>
        </row>
        <row r="50">
          <cell r="AQ50" t="str">
            <v>70036110200GBP</v>
          </cell>
          <cell r="AR50" t="str">
            <v>Professional fees</v>
          </cell>
          <cell r="AS50" t="str">
            <v>in forecast detail</v>
          </cell>
        </row>
        <row r="51">
          <cell r="AQ51" t="str">
            <v>70036110300GBP</v>
          </cell>
          <cell r="AR51" t="str">
            <v>Professional fees</v>
          </cell>
          <cell r="AS51" t="str">
            <v>in forecast detail</v>
          </cell>
        </row>
        <row r="52">
          <cell r="AQ52" t="str">
            <v>70036110500EUR</v>
          </cell>
          <cell r="AR52" t="str">
            <v>Professional fees</v>
          </cell>
          <cell r="AS52" t="str">
            <v>in forecast detail</v>
          </cell>
        </row>
        <row r="53">
          <cell r="AQ53" t="str">
            <v>70036110500GBP</v>
          </cell>
          <cell r="AR53" t="str">
            <v>Professional fees</v>
          </cell>
          <cell r="AS53" t="str">
            <v>in forecast detail</v>
          </cell>
        </row>
        <row r="54">
          <cell r="AQ54" t="str">
            <v>70036120000EUR</v>
          </cell>
          <cell r="AR54" t="str">
            <v>Professional fees</v>
          </cell>
          <cell r="AS54" t="str">
            <v>in forecast detail</v>
          </cell>
        </row>
        <row r="55">
          <cell r="AQ55" t="str">
            <v>70036120000GBP</v>
          </cell>
          <cell r="AR55" t="str">
            <v>Professional fees</v>
          </cell>
          <cell r="AS55" t="str">
            <v>in forecast detail</v>
          </cell>
        </row>
        <row r="56">
          <cell r="AQ56" t="str">
            <v>70036120010160GBP</v>
          </cell>
          <cell r="AR56" t="str">
            <v>Professional fees</v>
          </cell>
          <cell r="AS56" t="str">
            <v>in forecast detail</v>
          </cell>
        </row>
        <row r="57">
          <cell r="AQ57" t="str">
            <v>70036200100EUR</v>
          </cell>
          <cell r="AR57" t="str">
            <v>Travel and entertainment</v>
          </cell>
          <cell r="AS57" t="str">
            <v>in forecast detail</v>
          </cell>
        </row>
        <row r="58">
          <cell r="AQ58" t="str">
            <v>70036200100GBP</v>
          </cell>
          <cell r="AR58" t="str">
            <v>Travel and entertainment</v>
          </cell>
          <cell r="AS58" t="str">
            <v>in forecast detail</v>
          </cell>
        </row>
        <row r="59">
          <cell r="AQ59" t="str">
            <v>70036200200EUR</v>
          </cell>
          <cell r="AR59" t="str">
            <v>Travel and entertainment</v>
          </cell>
          <cell r="AS59" t="str">
            <v>in forecast detail</v>
          </cell>
        </row>
        <row r="60">
          <cell r="AQ60" t="str">
            <v>70036200200GBP</v>
          </cell>
          <cell r="AR60" t="str">
            <v>Travel and entertainment</v>
          </cell>
          <cell r="AS60" t="str">
            <v>in forecast detail</v>
          </cell>
        </row>
        <row r="61">
          <cell r="AQ61" t="str">
            <v>70036200300EUR</v>
          </cell>
          <cell r="AR61" t="str">
            <v>Travel and entertainment</v>
          </cell>
          <cell r="AS61" t="str">
            <v>in forecast detail</v>
          </cell>
        </row>
        <row r="62">
          <cell r="AQ62" t="str">
            <v>70036200300GBP</v>
          </cell>
          <cell r="AR62" t="str">
            <v>Travel and entertainment</v>
          </cell>
          <cell r="AS62" t="str">
            <v>in forecast detail</v>
          </cell>
        </row>
        <row r="63">
          <cell r="AQ63" t="str">
            <v>70036210000EUR</v>
          </cell>
          <cell r="AR63" t="str">
            <v>Travel and entertainment</v>
          </cell>
          <cell r="AS63" t="str">
            <v>in forecast detail</v>
          </cell>
        </row>
        <row r="64">
          <cell r="AQ64" t="str">
            <v>70036210000GBP</v>
          </cell>
          <cell r="AR64" t="str">
            <v>Travel and entertainment</v>
          </cell>
          <cell r="AS64" t="str">
            <v>in forecast detail</v>
          </cell>
        </row>
        <row r="65">
          <cell r="AQ65" t="str">
            <v>70036300200GBP</v>
          </cell>
          <cell r="AR65" t="str">
            <v>Printing, publications &amp; stationery</v>
          </cell>
          <cell r="AS65" t="str">
            <v>in forecast detail</v>
          </cell>
        </row>
        <row r="66">
          <cell r="AQ66" t="str">
            <v>70036300300EUR</v>
          </cell>
          <cell r="AR66" t="str">
            <v>Printing, publications &amp; stationery</v>
          </cell>
          <cell r="AS66" t="str">
            <v>in forecast detail</v>
          </cell>
        </row>
        <row r="67">
          <cell r="AQ67" t="str">
            <v>70036300300GBP</v>
          </cell>
          <cell r="AR67" t="str">
            <v>Printing, publications &amp; stationery</v>
          </cell>
          <cell r="AS67" t="str">
            <v>in forecast detail</v>
          </cell>
        </row>
        <row r="68">
          <cell r="AQ68" t="str">
            <v>70036300400GBP</v>
          </cell>
          <cell r="AR68" t="str">
            <v>Printing, publications &amp; stationery</v>
          </cell>
          <cell r="AS68" t="str">
            <v>in forecast detail</v>
          </cell>
        </row>
        <row r="69">
          <cell r="AQ69" t="str">
            <v>70036300700EUR</v>
          </cell>
          <cell r="AR69" t="str">
            <v>Printing, publications &amp; stationery</v>
          </cell>
          <cell r="AS69" t="str">
            <v>in forecast detail</v>
          </cell>
        </row>
        <row r="70">
          <cell r="AQ70" t="str">
            <v>70036300700GBP</v>
          </cell>
          <cell r="AR70" t="str">
            <v>Printing, publications &amp; stationery</v>
          </cell>
          <cell r="AS70" t="str">
            <v>in forecast detail</v>
          </cell>
        </row>
        <row r="71">
          <cell r="AQ71" t="str">
            <v>70036400100EUR</v>
          </cell>
          <cell r="AR71" t="str">
            <v>General costs</v>
          </cell>
          <cell r="AS71" t="str">
            <v>in forecast detail</v>
          </cell>
        </row>
        <row r="72">
          <cell r="AQ72" t="str">
            <v>70036400100GBp</v>
          </cell>
          <cell r="AR72" t="str">
            <v>General costs</v>
          </cell>
          <cell r="AS72" t="str">
            <v>in forecast detail</v>
          </cell>
        </row>
        <row r="73">
          <cell r="AQ73" t="str">
            <v>70130100100GBP</v>
          </cell>
          <cell r="AR73" t="str">
            <v>Salaries, allowances &amp; bonuses</v>
          </cell>
          <cell r="AS73" t="str">
            <v>in forecast detail</v>
          </cell>
        </row>
        <row r="74">
          <cell r="AQ74" t="str">
            <v>70130100200EUR</v>
          </cell>
          <cell r="AR74" t="str">
            <v>Salaries, allowances &amp; bonuses</v>
          </cell>
          <cell r="AS74" t="str">
            <v>in forecast detail</v>
          </cell>
        </row>
        <row r="75">
          <cell r="AQ75" t="str">
            <v>70130101100GBP</v>
          </cell>
          <cell r="AR75" t="str">
            <v>Salaries, allowances &amp; bonuses</v>
          </cell>
          <cell r="AS75" t="str">
            <v>in forecast detail</v>
          </cell>
        </row>
        <row r="76">
          <cell r="AQ76" t="str">
            <v>70130102100GBP</v>
          </cell>
          <cell r="AR76" t="str">
            <v>Salaries, allowances &amp; bonuses</v>
          </cell>
          <cell r="AS76" t="str">
            <v>in forecast detail</v>
          </cell>
        </row>
        <row r="77">
          <cell r="AQ77" t="str">
            <v>70130200100GBP</v>
          </cell>
          <cell r="AR77" t="str">
            <v>Social charges</v>
          </cell>
          <cell r="AS77" t="str">
            <v>in forecast detail</v>
          </cell>
        </row>
        <row r="78">
          <cell r="AQ78" t="str">
            <v>70130200200EUR</v>
          </cell>
          <cell r="AR78" t="str">
            <v>Social charges</v>
          </cell>
          <cell r="AS78" t="str">
            <v>in forecast detail</v>
          </cell>
        </row>
        <row r="79">
          <cell r="AQ79" t="str">
            <v>70130300100GBP</v>
          </cell>
          <cell r="AR79" t="str">
            <v>Pension contributions</v>
          </cell>
          <cell r="AS79" t="str">
            <v>in forecast detail</v>
          </cell>
        </row>
        <row r="80">
          <cell r="AQ80" t="str">
            <v>7013040010E52EUR</v>
          </cell>
          <cell r="AR80" t="str">
            <v>Secondee costs</v>
          </cell>
          <cell r="AS80" t="str">
            <v>in forecast detail</v>
          </cell>
        </row>
        <row r="81">
          <cell r="AQ81" t="str">
            <v>70130500100GBP</v>
          </cell>
          <cell r="AR81" t="str">
            <v>Agency staff &amp; contractors</v>
          </cell>
          <cell r="AS81" t="str">
            <v>in forecast detail</v>
          </cell>
        </row>
        <row r="82">
          <cell r="AQ82" t="str">
            <v>70130710000GBP</v>
          </cell>
          <cell r="AR82" t="str">
            <v>Other staff costs</v>
          </cell>
          <cell r="AS82" t="str">
            <v>in forecast detail</v>
          </cell>
        </row>
        <row r="83">
          <cell r="AQ83" t="str">
            <v>70130720000GBP</v>
          </cell>
          <cell r="AR83" t="str">
            <v>Other staff costs</v>
          </cell>
          <cell r="AS83" t="str">
            <v>in forecast detail</v>
          </cell>
        </row>
        <row r="84">
          <cell r="AQ84" t="str">
            <v>70131800000EUR</v>
          </cell>
          <cell r="AR84">
            <v>0</v>
          </cell>
          <cell r="AS84" t="str">
            <v>in forecast detail</v>
          </cell>
        </row>
        <row r="85">
          <cell r="AQ85" t="str">
            <v>70131800000GBP</v>
          </cell>
          <cell r="AR85">
            <v>0</v>
          </cell>
          <cell r="AS85" t="str">
            <v>in forecast detail</v>
          </cell>
        </row>
        <row r="86">
          <cell r="AQ86" t="str">
            <v>7013550011024e12EUR</v>
          </cell>
          <cell r="AR86" t="str">
            <v>Rent, rates &amp; service charge</v>
          </cell>
          <cell r="AS86" t="str">
            <v>in forecast detail</v>
          </cell>
        </row>
        <row r="87">
          <cell r="AQ87" t="str">
            <v>70135500110240EUR</v>
          </cell>
          <cell r="AR87" t="str">
            <v>Rent, rates &amp; service charge</v>
          </cell>
          <cell r="AS87" t="str">
            <v>in forecast detail</v>
          </cell>
        </row>
        <row r="88">
          <cell r="AQ88" t="str">
            <v>70135500110250EUR</v>
          </cell>
          <cell r="AR88" t="str">
            <v>Rent, rates &amp; service charge</v>
          </cell>
          <cell r="AS88" t="str">
            <v>in forecast detail</v>
          </cell>
        </row>
        <row r="89">
          <cell r="AQ89" t="str">
            <v>70135500110260EUR</v>
          </cell>
          <cell r="AR89" t="str">
            <v>Rent, rates &amp; service charge</v>
          </cell>
          <cell r="AS89" t="str">
            <v>in forecast detail</v>
          </cell>
        </row>
        <row r="90">
          <cell r="AQ90" t="str">
            <v>70135500110270GBP</v>
          </cell>
          <cell r="AR90" t="str">
            <v>Rent, rates &amp; service charge</v>
          </cell>
          <cell r="AS90" t="str">
            <v>in forecast detail</v>
          </cell>
        </row>
        <row r="91">
          <cell r="AQ91" t="str">
            <v>70135500110280GBP</v>
          </cell>
          <cell r="AR91" t="str">
            <v>Rent, rates &amp; service charge</v>
          </cell>
          <cell r="AS91" t="str">
            <v>in forecast detail</v>
          </cell>
        </row>
        <row r="92">
          <cell r="AQ92" t="str">
            <v>70135500110290EUR</v>
          </cell>
          <cell r="AR92" t="str">
            <v>Rent, rates &amp; service charge</v>
          </cell>
          <cell r="AS92" t="str">
            <v>in forecast detail</v>
          </cell>
        </row>
        <row r="93">
          <cell r="AQ93" t="str">
            <v>70135500110300EUR</v>
          </cell>
          <cell r="AR93" t="str">
            <v>Rent, rates &amp; service charge</v>
          </cell>
          <cell r="AS93" t="str">
            <v>in forecast detail</v>
          </cell>
        </row>
        <row r="94">
          <cell r="AQ94" t="str">
            <v>70135500110310EUR</v>
          </cell>
          <cell r="AR94" t="str">
            <v>Rent, rates &amp; service charge</v>
          </cell>
          <cell r="AS94" t="str">
            <v>in forecast detail</v>
          </cell>
        </row>
        <row r="95">
          <cell r="AQ95" t="str">
            <v>70135500110330EUR</v>
          </cell>
          <cell r="AR95" t="str">
            <v>Rent, rates &amp; service charge</v>
          </cell>
          <cell r="AS95" t="str">
            <v>in forecast detail</v>
          </cell>
        </row>
        <row r="96">
          <cell r="AQ96" t="str">
            <v>70135500110340GBP</v>
          </cell>
          <cell r="AR96" t="str">
            <v>Rent, rates &amp; service charge</v>
          </cell>
          <cell r="AS96" t="str">
            <v>in forecast detail</v>
          </cell>
        </row>
        <row r="97">
          <cell r="AQ97" t="str">
            <v>70135510000GBP</v>
          </cell>
          <cell r="AR97" t="str">
            <v>Rent, rates &amp; service charge</v>
          </cell>
          <cell r="AS97" t="str">
            <v>in forecast detail</v>
          </cell>
        </row>
        <row r="98">
          <cell r="AQ98" t="str">
            <v>70135520000GBP</v>
          </cell>
          <cell r="AR98" t="str">
            <v>Rent, rates &amp; service charge</v>
          </cell>
          <cell r="AS98" t="str">
            <v>in forecast detail</v>
          </cell>
        </row>
        <row r="99">
          <cell r="AQ99" t="str">
            <v>70135520010240EUR</v>
          </cell>
          <cell r="AR99" t="str">
            <v>Rent, rates &amp; service charge</v>
          </cell>
          <cell r="AS99" t="str">
            <v>in forecast detail</v>
          </cell>
        </row>
        <row r="100">
          <cell r="AQ100" t="str">
            <v>7013552001024E12EUR</v>
          </cell>
          <cell r="AR100" t="str">
            <v>Rent, rates &amp; service charge</v>
          </cell>
          <cell r="AS100" t="str">
            <v>in forecast detail</v>
          </cell>
        </row>
        <row r="101">
          <cell r="AQ101" t="str">
            <v>70135520010250EUR</v>
          </cell>
          <cell r="AR101" t="str">
            <v>Rent, rates &amp; service charge</v>
          </cell>
          <cell r="AS101" t="str">
            <v>in forecast detail</v>
          </cell>
        </row>
        <row r="102">
          <cell r="AQ102" t="str">
            <v>70135520010260EUR</v>
          </cell>
          <cell r="AR102" t="str">
            <v>Rent, rates &amp; service charge</v>
          </cell>
          <cell r="AS102" t="str">
            <v>in forecast detail</v>
          </cell>
        </row>
        <row r="103">
          <cell r="AQ103" t="str">
            <v>70135520010270GBP</v>
          </cell>
          <cell r="AR103" t="str">
            <v>Rent, rates &amp; service charge</v>
          </cell>
          <cell r="AS103" t="str">
            <v>in forecast detail</v>
          </cell>
        </row>
        <row r="104">
          <cell r="AQ104" t="str">
            <v>70135520010280GBP</v>
          </cell>
          <cell r="AR104" t="str">
            <v>Rent, rates &amp; service charge</v>
          </cell>
          <cell r="AS104" t="str">
            <v>in forecast detail</v>
          </cell>
        </row>
        <row r="105">
          <cell r="AQ105" t="str">
            <v>70135520010290EUR</v>
          </cell>
          <cell r="AR105" t="str">
            <v>Rent, rates &amp; service charge</v>
          </cell>
          <cell r="AS105" t="str">
            <v>in forecast detail</v>
          </cell>
        </row>
        <row r="106">
          <cell r="AQ106" t="str">
            <v>70135520010300EUR</v>
          </cell>
          <cell r="AR106" t="str">
            <v>Rent, rates &amp; service charge</v>
          </cell>
          <cell r="AS106" t="str">
            <v>in forecast detail</v>
          </cell>
        </row>
        <row r="107">
          <cell r="AQ107" t="str">
            <v>70135520010330EUR</v>
          </cell>
          <cell r="AR107" t="str">
            <v>Rent, rates &amp; service charge</v>
          </cell>
          <cell r="AS107" t="str">
            <v>in forecast detail</v>
          </cell>
        </row>
        <row r="108">
          <cell r="AQ108" t="str">
            <v>70135520010340GBP</v>
          </cell>
          <cell r="AR108" t="str">
            <v>Rent, rates &amp; service charge</v>
          </cell>
          <cell r="AS108" t="str">
            <v>in forecast detail</v>
          </cell>
        </row>
        <row r="109">
          <cell r="AQ109" t="str">
            <v>70135700100EUR</v>
          </cell>
          <cell r="AR109" t="str">
            <v>Utilities</v>
          </cell>
          <cell r="AS109" t="str">
            <v>in forecast detail</v>
          </cell>
        </row>
        <row r="110">
          <cell r="AQ110" t="str">
            <v>70135700100GBP</v>
          </cell>
          <cell r="AR110" t="str">
            <v>Utilities</v>
          </cell>
          <cell r="AS110" t="str">
            <v>in forecast detail</v>
          </cell>
        </row>
        <row r="111">
          <cell r="AQ111" t="str">
            <v>70135700200EUR</v>
          </cell>
          <cell r="AR111" t="str">
            <v>Utilities</v>
          </cell>
          <cell r="AS111" t="str">
            <v>in forecast detail</v>
          </cell>
        </row>
        <row r="112">
          <cell r="AQ112" t="str">
            <v>70135700200GBP</v>
          </cell>
          <cell r="AR112" t="str">
            <v>Utilities</v>
          </cell>
          <cell r="AS112" t="str">
            <v>in forecast detail</v>
          </cell>
        </row>
        <row r="113">
          <cell r="AQ113" t="str">
            <v>70135700300EUR</v>
          </cell>
          <cell r="AR113" t="str">
            <v>Utilities</v>
          </cell>
          <cell r="AS113" t="str">
            <v>in forecast detail</v>
          </cell>
        </row>
        <row r="114">
          <cell r="AQ114" t="str">
            <v>70135700300GBP</v>
          </cell>
          <cell r="AR114" t="str">
            <v>Utilities</v>
          </cell>
          <cell r="AS114" t="str">
            <v>in forecast detail</v>
          </cell>
        </row>
        <row r="115">
          <cell r="AQ115" t="str">
            <v>70135800100EUR</v>
          </cell>
          <cell r="AR115" t="str">
            <v>Property repairs &amp; maintenance</v>
          </cell>
          <cell r="AS115" t="str">
            <v>in forecast detail</v>
          </cell>
        </row>
        <row r="116">
          <cell r="AQ116" t="str">
            <v>70135800100GBP</v>
          </cell>
          <cell r="AR116" t="str">
            <v>Property repairs &amp; maintenance</v>
          </cell>
          <cell r="AS116" t="str">
            <v>in forecast detail</v>
          </cell>
        </row>
        <row r="117">
          <cell r="AQ117" t="str">
            <v>70135800110120EUR</v>
          </cell>
          <cell r="AR117" t="str">
            <v>Property repairs &amp; maintenance</v>
          </cell>
          <cell r="AS117" t="str">
            <v>in forecast detail</v>
          </cell>
        </row>
        <row r="118">
          <cell r="AQ118" t="str">
            <v>70135800110130GBP</v>
          </cell>
          <cell r="AR118" t="str">
            <v>Property repairs &amp; maintenance</v>
          </cell>
          <cell r="AS118" t="str">
            <v>in forecast detail</v>
          </cell>
        </row>
        <row r="119">
          <cell r="AQ119" t="str">
            <v>70135800110140EUR</v>
          </cell>
          <cell r="AR119" t="str">
            <v>Property repairs &amp; maintenance</v>
          </cell>
          <cell r="AS119" t="str">
            <v>in forecast detail</v>
          </cell>
        </row>
        <row r="120">
          <cell r="AQ120" t="str">
            <v>70135810000EUR</v>
          </cell>
          <cell r="AR120" t="str">
            <v>Property repairs &amp; maintenance</v>
          </cell>
          <cell r="AS120" t="str">
            <v>in forecast detail</v>
          </cell>
        </row>
        <row r="121">
          <cell r="AQ121" t="str">
            <v>70135810000GBP</v>
          </cell>
          <cell r="AR121" t="str">
            <v>Property repairs &amp; maintenance</v>
          </cell>
          <cell r="AS121" t="str">
            <v>in forecast detail</v>
          </cell>
        </row>
        <row r="122">
          <cell r="AQ122" t="str">
            <v>70135810010120EUR</v>
          </cell>
          <cell r="AR122" t="str">
            <v>Property repairs &amp; maintenance</v>
          </cell>
          <cell r="AS122" t="str">
            <v>in forecast detail</v>
          </cell>
        </row>
        <row r="123">
          <cell r="AQ123" t="str">
            <v>70135810010120GBP</v>
          </cell>
          <cell r="AR123" t="str">
            <v>Property repairs &amp; maintenance</v>
          </cell>
          <cell r="AS123" t="str">
            <v>in forecast detail</v>
          </cell>
        </row>
        <row r="124">
          <cell r="AQ124" t="str">
            <v>70135810010130GBP</v>
          </cell>
          <cell r="AR124" t="str">
            <v>Property repairs &amp; maintenance</v>
          </cell>
          <cell r="AS124" t="str">
            <v>in forecast detail</v>
          </cell>
        </row>
        <row r="125">
          <cell r="AQ125" t="str">
            <v>70135830000GBP</v>
          </cell>
          <cell r="AR125" t="str">
            <v>Property repairs &amp; maintenance</v>
          </cell>
          <cell r="AS125" t="str">
            <v>in forecast detail</v>
          </cell>
        </row>
        <row r="126">
          <cell r="AQ126" t="str">
            <v>70135840000EUR</v>
          </cell>
          <cell r="AR126" t="str">
            <v>Property repairs &amp; maintenance</v>
          </cell>
          <cell r="AS126" t="str">
            <v>in forecast detail</v>
          </cell>
        </row>
        <row r="127">
          <cell r="AQ127" t="str">
            <v>70135840000GBP</v>
          </cell>
          <cell r="AR127" t="str">
            <v>Property repairs &amp; maintenance</v>
          </cell>
          <cell r="AS127" t="str">
            <v>in forecast detail</v>
          </cell>
        </row>
        <row r="128">
          <cell r="AQ128" t="str">
            <v>70135840010120EUR</v>
          </cell>
          <cell r="AR128" t="str">
            <v>Property repairs &amp; maintenance</v>
          </cell>
          <cell r="AS128" t="str">
            <v>in forecast detail</v>
          </cell>
        </row>
        <row r="129">
          <cell r="AQ129" t="str">
            <v>70135840010130GBP</v>
          </cell>
          <cell r="AR129" t="str">
            <v>Property repairs &amp; maintenance</v>
          </cell>
          <cell r="AS129" t="str">
            <v>in forecast detail</v>
          </cell>
        </row>
        <row r="130">
          <cell r="AQ130" t="str">
            <v>70135840010140EUR</v>
          </cell>
          <cell r="AR130" t="str">
            <v>Property repairs &amp; maintenance</v>
          </cell>
          <cell r="AS130" t="str">
            <v>in forecast detail</v>
          </cell>
        </row>
        <row r="131">
          <cell r="AQ131" t="str">
            <v>70136100200EUR</v>
          </cell>
          <cell r="AR131" t="str">
            <v>Professional fees</v>
          </cell>
          <cell r="AS131" t="str">
            <v>in forecast detail</v>
          </cell>
        </row>
        <row r="132">
          <cell r="AQ132" t="str">
            <v>70136100200GBP</v>
          </cell>
          <cell r="AR132" t="str">
            <v>Professional fees</v>
          </cell>
          <cell r="AS132" t="str">
            <v>in forecast detail</v>
          </cell>
        </row>
        <row r="133">
          <cell r="AQ133" t="str">
            <v>70136120000GBP</v>
          </cell>
          <cell r="AR133" t="str">
            <v>Professional fees</v>
          </cell>
          <cell r="AS133" t="str">
            <v>in forecast detail</v>
          </cell>
        </row>
        <row r="134">
          <cell r="AQ134" t="str">
            <v>70136200100EUR</v>
          </cell>
          <cell r="AR134" t="str">
            <v>Travel and entertainment</v>
          </cell>
          <cell r="AS134" t="str">
            <v>in forecast detail</v>
          </cell>
        </row>
        <row r="135">
          <cell r="AQ135" t="str">
            <v>70136200100GBP</v>
          </cell>
          <cell r="AR135" t="str">
            <v>Travel and entertainment</v>
          </cell>
          <cell r="AS135" t="str">
            <v>in forecast detail</v>
          </cell>
        </row>
        <row r="136">
          <cell r="AQ136" t="str">
            <v>70136200200EUR</v>
          </cell>
          <cell r="AR136" t="str">
            <v>Travel and entertainment</v>
          </cell>
          <cell r="AS136" t="str">
            <v>in forecast detail</v>
          </cell>
        </row>
        <row r="137">
          <cell r="AQ137" t="str">
            <v>70136200200GBP</v>
          </cell>
          <cell r="AR137" t="str">
            <v>Travel and entertainment</v>
          </cell>
          <cell r="AS137" t="str">
            <v>in forecast detail</v>
          </cell>
        </row>
        <row r="138">
          <cell r="AQ138" t="str">
            <v>70136200300EUR</v>
          </cell>
          <cell r="AR138" t="str">
            <v>Travel and entertainment</v>
          </cell>
          <cell r="AS138" t="str">
            <v>in forecast detail</v>
          </cell>
        </row>
        <row r="139">
          <cell r="AQ139" t="str">
            <v>70136200300GBP</v>
          </cell>
          <cell r="AR139" t="str">
            <v>Travel and entertainment</v>
          </cell>
          <cell r="AS139" t="str">
            <v>in forecast detail</v>
          </cell>
        </row>
        <row r="140">
          <cell r="AQ140" t="str">
            <v>70136210000GBP</v>
          </cell>
          <cell r="AR140" t="str">
            <v>Travel and entertainment</v>
          </cell>
          <cell r="AS140" t="str">
            <v>in forecast detail</v>
          </cell>
        </row>
        <row r="141">
          <cell r="AQ141" t="str">
            <v>70136300300GBP</v>
          </cell>
          <cell r="AR141" t="str">
            <v>Printing, publications &amp; stationery</v>
          </cell>
          <cell r="AS141" t="str">
            <v>in forecast detail</v>
          </cell>
        </row>
        <row r="142">
          <cell r="AQ142" t="str">
            <v>70136300400EUR</v>
          </cell>
          <cell r="AR142" t="str">
            <v>Printing, publications &amp; stationery</v>
          </cell>
          <cell r="AS142" t="str">
            <v>in forecast detail</v>
          </cell>
        </row>
        <row r="143">
          <cell r="AQ143" t="str">
            <v>70136300400GBP</v>
          </cell>
          <cell r="AR143" t="str">
            <v>Printing, publications &amp; stationery</v>
          </cell>
          <cell r="AS143" t="str">
            <v>in forecast detail</v>
          </cell>
        </row>
        <row r="144">
          <cell r="AQ144" t="str">
            <v>70136300410120EUR</v>
          </cell>
          <cell r="AR144" t="str">
            <v>Printing, publications &amp; stationery</v>
          </cell>
          <cell r="AS144" t="str">
            <v>in forecast detail</v>
          </cell>
        </row>
        <row r="145">
          <cell r="AQ145" t="str">
            <v>70136300410130GBP</v>
          </cell>
          <cell r="AR145" t="str">
            <v>Printing, publications &amp; stationery</v>
          </cell>
          <cell r="AS145" t="str">
            <v>in forecast detail</v>
          </cell>
        </row>
        <row r="146">
          <cell r="AQ146" t="str">
            <v>70136300410140EUR</v>
          </cell>
          <cell r="AR146" t="str">
            <v>Printing, publications &amp; stationery</v>
          </cell>
          <cell r="AS146" t="str">
            <v>in forecast detail</v>
          </cell>
        </row>
        <row r="147">
          <cell r="AQ147" t="str">
            <v>70136300600EUR</v>
          </cell>
          <cell r="AR147" t="str">
            <v>Printing, publications &amp; stationery</v>
          </cell>
          <cell r="AS147" t="str">
            <v>in forecast detail</v>
          </cell>
        </row>
        <row r="148">
          <cell r="AQ148" t="str">
            <v>70136300600GBP</v>
          </cell>
          <cell r="AR148" t="str">
            <v>Printing, publications &amp; stationery</v>
          </cell>
          <cell r="AS148" t="str">
            <v>in forecast detail</v>
          </cell>
        </row>
        <row r="149">
          <cell r="AQ149" t="str">
            <v>70136300610120EUR</v>
          </cell>
          <cell r="AR149" t="str">
            <v>Printing, publications &amp; stationery</v>
          </cell>
          <cell r="AS149" t="str">
            <v>in forecast detail</v>
          </cell>
        </row>
        <row r="150">
          <cell r="AQ150" t="str">
            <v>70136300610130GBP</v>
          </cell>
          <cell r="AR150" t="str">
            <v>Printing, publications &amp; stationery</v>
          </cell>
          <cell r="AS150" t="str">
            <v>in forecast detail</v>
          </cell>
        </row>
        <row r="151">
          <cell r="AQ151" t="str">
            <v>70136300610140EUR</v>
          </cell>
          <cell r="AR151" t="str">
            <v>Printing, publications &amp; stationery</v>
          </cell>
          <cell r="AS151" t="str">
            <v>in forecast detail</v>
          </cell>
        </row>
        <row r="152">
          <cell r="AQ152" t="str">
            <v>70230100100GBP</v>
          </cell>
          <cell r="AR152" t="str">
            <v>Salaries, allowances &amp; bonuses</v>
          </cell>
          <cell r="AS152" t="str">
            <v>in forecast detail</v>
          </cell>
        </row>
        <row r="153">
          <cell r="AQ153" t="str">
            <v>70230100200EUR</v>
          </cell>
          <cell r="AR153" t="str">
            <v>Salaries, allowances &amp; bonuses</v>
          </cell>
          <cell r="AS153" t="str">
            <v>in forecast detail</v>
          </cell>
        </row>
        <row r="154">
          <cell r="AQ154" t="str">
            <v>70230101100GBP</v>
          </cell>
          <cell r="AR154" t="str">
            <v>Salaries, allowances &amp; bonuses</v>
          </cell>
          <cell r="AS154" t="str">
            <v>in forecast detail</v>
          </cell>
        </row>
        <row r="155">
          <cell r="AQ155" t="str">
            <v>70230200100GBP</v>
          </cell>
          <cell r="AR155" t="str">
            <v>Social charges</v>
          </cell>
          <cell r="AS155" t="str">
            <v>in forecast detail</v>
          </cell>
        </row>
        <row r="156">
          <cell r="AQ156" t="str">
            <v>70230200200EUR</v>
          </cell>
          <cell r="AR156" t="str">
            <v>Social charges</v>
          </cell>
          <cell r="AS156" t="str">
            <v>in forecast detail</v>
          </cell>
        </row>
        <row r="157">
          <cell r="AQ157" t="str">
            <v>70230300100GBP</v>
          </cell>
          <cell r="AR157" t="str">
            <v>Pension contributions</v>
          </cell>
          <cell r="AS157" t="str">
            <v>in forecast detail</v>
          </cell>
        </row>
        <row r="158">
          <cell r="AQ158" t="str">
            <v>70230700100GBP</v>
          </cell>
          <cell r="AR158" t="str">
            <v>Other staff costs</v>
          </cell>
          <cell r="AS158" t="str">
            <v>in forecast detail</v>
          </cell>
        </row>
        <row r="159">
          <cell r="AQ159" t="str">
            <v>70230700800GBP</v>
          </cell>
          <cell r="AR159" t="str">
            <v>Other staff costs</v>
          </cell>
          <cell r="AS159" t="str">
            <v>in forecast detail</v>
          </cell>
        </row>
        <row r="160">
          <cell r="AQ160" t="str">
            <v>70230710000GBP</v>
          </cell>
          <cell r="AR160" t="str">
            <v>Other staff costs</v>
          </cell>
          <cell r="AS160" t="str">
            <v>in forecast detail</v>
          </cell>
        </row>
        <row r="161">
          <cell r="AQ161" t="str">
            <v>70230720000GBP</v>
          </cell>
          <cell r="AR161" t="str">
            <v>Other staff costs</v>
          </cell>
          <cell r="AS161" t="str">
            <v>in forecast detail</v>
          </cell>
        </row>
        <row r="162">
          <cell r="AQ162" t="str">
            <v>70236100200EUR</v>
          </cell>
          <cell r="AR162" t="str">
            <v>Professional fees</v>
          </cell>
          <cell r="AS162" t="str">
            <v>in forecast detail</v>
          </cell>
        </row>
        <row r="163">
          <cell r="AQ163" t="str">
            <v>70236100200GBP</v>
          </cell>
          <cell r="AR163" t="str">
            <v>Professional fees</v>
          </cell>
          <cell r="AS163" t="str">
            <v>in forecast detail</v>
          </cell>
        </row>
        <row r="164">
          <cell r="AQ164" t="str">
            <v>70236120000EUR</v>
          </cell>
          <cell r="AR164" t="str">
            <v>Professional fees</v>
          </cell>
          <cell r="AS164" t="str">
            <v>in forecast detail</v>
          </cell>
        </row>
        <row r="165">
          <cell r="AQ165" t="str">
            <v>70236120000GBP</v>
          </cell>
          <cell r="AR165" t="str">
            <v>Professional fees</v>
          </cell>
          <cell r="AS165" t="str">
            <v>in forecast detail</v>
          </cell>
        </row>
        <row r="166">
          <cell r="AQ166" t="str">
            <v>70236120100GBP</v>
          </cell>
          <cell r="AR166" t="str">
            <v>Professional fees</v>
          </cell>
          <cell r="AS166" t="str">
            <v>in forecast detail</v>
          </cell>
        </row>
        <row r="167">
          <cell r="AQ167" t="str">
            <v>70236120200GBP</v>
          </cell>
          <cell r="AR167" t="str">
            <v>Professional fees</v>
          </cell>
          <cell r="AS167" t="str">
            <v>in forecast detail</v>
          </cell>
        </row>
        <row r="168">
          <cell r="AQ168" t="str">
            <v>70236120300EUR</v>
          </cell>
          <cell r="AR168" t="str">
            <v>Professional fees</v>
          </cell>
          <cell r="AS168" t="str">
            <v>in forecast detail</v>
          </cell>
        </row>
        <row r="169">
          <cell r="AQ169" t="str">
            <v>70236120300GBP</v>
          </cell>
          <cell r="AR169" t="str">
            <v>Professional fees</v>
          </cell>
          <cell r="AS169" t="str">
            <v>in forecast detail</v>
          </cell>
        </row>
        <row r="170">
          <cell r="AQ170" t="str">
            <v>70236120311770GBP</v>
          </cell>
          <cell r="AR170" t="str">
            <v>Professional fees</v>
          </cell>
          <cell r="AS170" t="str">
            <v>in forecast detail</v>
          </cell>
        </row>
        <row r="171">
          <cell r="AQ171" t="str">
            <v>70236120400EUR</v>
          </cell>
          <cell r="AR171" t="str">
            <v>Professional fees</v>
          </cell>
          <cell r="AS171" t="str">
            <v>in forecast detail</v>
          </cell>
        </row>
        <row r="172">
          <cell r="AQ172" t="str">
            <v>70236120400GBP</v>
          </cell>
          <cell r="AR172" t="str">
            <v>Professional fees</v>
          </cell>
          <cell r="AS172" t="str">
            <v>in forecast detail</v>
          </cell>
        </row>
        <row r="173">
          <cell r="AQ173" t="str">
            <v>70236200100GBP</v>
          </cell>
          <cell r="AR173" t="str">
            <v>Travel and entertainment</v>
          </cell>
          <cell r="AS173" t="str">
            <v>in forecast detail</v>
          </cell>
        </row>
        <row r="174">
          <cell r="AQ174" t="str">
            <v>70236200200EUR</v>
          </cell>
          <cell r="AR174" t="str">
            <v>Travel and entertainment</v>
          </cell>
          <cell r="AS174" t="str">
            <v>in forecast detail</v>
          </cell>
        </row>
        <row r="175">
          <cell r="AQ175" t="str">
            <v>70236200200GBP</v>
          </cell>
          <cell r="AR175" t="str">
            <v>Travel and entertainment</v>
          </cell>
          <cell r="AS175" t="str">
            <v>in forecast detail</v>
          </cell>
        </row>
        <row r="176">
          <cell r="AQ176" t="str">
            <v>70236200300EUR</v>
          </cell>
          <cell r="AR176" t="str">
            <v>Travel and entertainment</v>
          </cell>
          <cell r="AS176" t="str">
            <v>in forecast detail</v>
          </cell>
        </row>
        <row r="177">
          <cell r="AQ177" t="str">
            <v>70236200300GBP</v>
          </cell>
          <cell r="AR177" t="str">
            <v>Travel and entertainment</v>
          </cell>
          <cell r="AS177" t="str">
            <v>in forecast detail</v>
          </cell>
        </row>
        <row r="178">
          <cell r="AQ178" t="str">
            <v>70236200700EUR</v>
          </cell>
          <cell r="AR178" t="str">
            <v>Travel and entertainment</v>
          </cell>
          <cell r="AS178" t="str">
            <v>in forecast detail</v>
          </cell>
        </row>
        <row r="179">
          <cell r="AQ179" t="str">
            <v>70236200700GBP</v>
          </cell>
          <cell r="AR179" t="str">
            <v>Travel and entertainment</v>
          </cell>
          <cell r="AS179" t="str">
            <v>in forecast detail</v>
          </cell>
        </row>
        <row r="180">
          <cell r="AQ180" t="str">
            <v>70236210000GBP</v>
          </cell>
          <cell r="AR180" t="str">
            <v>Travel and entertainment</v>
          </cell>
          <cell r="AS180" t="str">
            <v>in forecast detail</v>
          </cell>
        </row>
        <row r="181">
          <cell r="AQ181" t="str">
            <v>70236300200EUR</v>
          </cell>
          <cell r="AR181" t="str">
            <v>Printing, publications &amp; stationery</v>
          </cell>
          <cell r="AS181" t="str">
            <v>in forecast detail</v>
          </cell>
        </row>
        <row r="182">
          <cell r="AQ182" t="str">
            <v>70236300300EUR</v>
          </cell>
          <cell r="AR182" t="str">
            <v>Printing, publications &amp; stationery</v>
          </cell>
          <cell r="AS182" t="str">
            <v>in forecast detail</v>
          </cell>
        </row>
        <row r="183">
          <cell r="AQ183" t="str">
            <v>70236300300GBP</v>
          </cell>
          <cell r="AR183" t="str">
            <v>Printing, publications &amp; stationery</v>
          </cell>
          <cell r="AS183" t="str">
            <v>in forecast detail</v>
          </cell>
        </row>
        <row r="184">
          <cell r="AQ184" t="str">
            <v>70236300400GBP</v>
          </cell>
          <cell r="AR184" t="str">
            <v>Printing, publications &amp; stationery</v>
          </cell>
          <cell r="AS184" t="str">
            <v>in forecast detail</v>
          </cell>
        </row>
        <row r="185">
          <cell r="AQ185" t="str">
            <v>70330100100GBP</v>
          </cell>
          <cell r="AR185" t="str">
            <v>Salaries, allowances &amp; bonuses</v>
          </cell>
          <cell r="AS185" t="str">
            <v>in forecast detail</v>
          </cell>
        </row>
        <row r="186">
          <cell r="AQ186" t="str">
            <v>70330101100GBP</v>
          </cell>
          <cell r="AR186" t="str">
            <v>Salaries, allowances &amp; bonuses</v>
          </cell>
          <cell r="AS186" t="str">
            <v>in forecast detail</v>
          </cell>
        </row>
        <row r="187">
          <cell r="AQ187" t="str">
            <v>70330200100GBP</v>
          </cell>
          <cell r="AR187" t="str">
            <v>Social charges</v>
          </cell>
          <cell r="AS187" t="str">
            <v>in forecast detail</v>
          </cell>
        </row>
        <row r="188">
          <cell r="AQ188" t="str">
            <v>70330300100GBP</v>
          </cell>
          <cell r="AR188" t="str">
            <v>Pension contributions</v>
          </cell>
          <cell r="AS188" t="str">
            <v>in forecast detail</v>
          </cell>
        </row>
        <row r="189">
          <cell r="AQ189" t="str">
            <v>70330700100GBP</v>
          </cell>
          <cell r="AR189" t="str">
            <v>Other staff costs</v>
          </cell>
          <cell r="AS189" t="str">
            <v>in forecast detail</v>
          </cell>
        </row>
        <row r="190">
          <cell r="AQ190" t="str">
            <v>70330710000GBP</v>
          </cell>
          <cell r="AR190" t="str">
            <v>Other staff costs</v>
          </cell>
          <cell r="AS190" t="str">
            <v>in forecast detail</v>
          </cell>
        </row>
        <row r="191">
          <cell r="AQ191" t="str">
            <v>70330720000GBP</v>
          </cell>
          <cell r="AR191" t="str">
            <v>Other staff costs</v>
          </cell>
          <cell r="AS191" t="str">
            <v>in forecast detail</v>
          </cell>
        </row>
        <row r="192">
          <cell r="AQ192" t="str">
            <v>70331500110160GBP</v>
          </cell>
          <cell r="AR192" t="str">
            <v>Marketing - other</v>
          </cell>
          <cell r="AS192" t="str">
            <v>in forecast detail</v>
          </cell>
        </row>
        <row r="193">
          <cell r="AQ193" t="str">
            <v>70331510400GBP</v>
          </cell>
          <cell r="AR193" t="str">
            <v>Marketing - other</v>
          </cell>
          <cell r="AS193" t="str">
            <v>in forecast detail</v>
          </cell>
        </row>
        <row r="194">
          <cell r="AQ194" t="str">
            <v>70331510412000GBP</v>
          </cell>
          <cell r="AR194" t="str">
            <v>Tread Lightly Sustainability</v>
          </cell>
          <cell r="AS194" t="str">
            <v>in forecast detail</v>
          </cell>
        </row>
        <row r="195">
          <cell r="AQ195" t="str">
            <v>70336100200GBP</v>
          </cell>
          <cell r="AR195" t="str">
            <v>Professional fees</v>
          </cell>
          <cell r="AS195" t="str">
            <v>in forecast detail</v>
          </cell>
        </row>
        <row r="196">
          <cell r="AQ196" t="str">
            <v>70336200100GBP</v>
          </cell>
          <cell r="AR196" t="str">
            <v>Travel and entertainment</v>
          </cell>
          <cell r="AS196" t="str">
            <v>in forecast detail</v>
          </cell>
        </row>
        <row r="197">
          <cell r="AQ197" t="str">
            <v>70336200200GBP</v>
          </cell>
          <cell r="AR197" t="str">
            <v>Travel and entertainment</v>
          </cell>
          <cell r="AS197" t="str">
            <v>in forecast detail</v>
          </cell>
        </row>
        <row r="198">
          <cell r="AQ198" t="str">
            <v>70336200300GBP</v>
          </cell>
          <cell r="AR198" t="str">
            <v>Travel and entertainment</v>
          </cell>
          <cell r="AS198" t="str">
            <v>in forecast detail</v>
          </cell>
        </row>
        <row r="199">
          <cell r="AQ199" t="str">
            <v>70336200400GBP</v>
          </cell>
          <cell r="AR199" t="str">
            <v>Travel and entertainment</v>
          </cell>
          <cell r="AS199" t="str">
            <v>in forecast detail</v>
          </cell>
        </row>
        <row r="200">
          <cell r="AQ200" t="str">
            <v>70336200410160GBP</v>
          </cell>
          <cell r="AR200" t="str">
            <v>Travel and entertainment</v>
          </cell>
          <cell r="AS200" t="str">
            <v>in forecast detail</v>
          </cell>
        </row>
        <row r="201">
          <cell r="AQ201" t="str">
            <v>70336200500GBP</v>
          </cell>
          <cell r="AR201" t="str">
            <v>Travel and entertainment</v>
          </cell>
          <cell r="AS201" t="str">
            <v>in forecast detail</v>
          </cell>
        </row>
        <row r="202">
          <cell r="AQ202" t="str">
            <v>70336210000GBP</v>
          </cell>
          <cell r="AR202" t="str">
            <v>Travel and entertainment</v>
          </cell>
          <cell r="AS202" t="str">
            <v>in forecast detail</v>
          </cell>
        </row>
        <row r="203">
          <cell r="AQ203" t="str">
            <v>70336300300GBP</v>
          </cell>
          <cell r="AR203" t="str">
            <v>Printing, publications &amp; stationery</v>
          </cell>
          <cell r="AS203" t="str">
            <v>in forecast detail</v>
          </cell>
        </row>
        <row r="204">
          <cell r="AQ204" t="str">
            <v>70336300400GBP</v>
          </cell>
          <cell r="AR204" t="str">
            <v>Printing, publications &amp; stationery</v>
          </cell>
          <cell r="AS204" t="str">
            <v>in forecast detail</v>
          </cell>
        </row>
        <row r="205">
          <cell r="AQ205" t="str">
            <v>70338100500GBP</v>
          </cell>
          <cell r="AR205" t="str">
            <v>Operational taxes</v>
          </cell>
          <cell r="AS205" t="str">
            <v>in forecast detail</v>
          </cell>
        </row>
        <row r="206">
          <cell r="AQ206" t="str">
            <v>70430100100GBP</v>
          </cell>
          <cell r="AR206" t="str">
            <v>Salaries, allowances &amp; bonuses</v>
          </cell>
          <cell r="AS206" t="str">
            <v>in forecast detail</v>
          </cell>
        </row>
        <row r="207">
          <cell r="AQ207" t="str">
            <v>70430101100GBP</v>
          </cell>
          <cell r="AR207" t="str">
            <v>Salaries, allowances &amp; bonuses</v>
          </cell>
          <cell r="AS207" t="str">
            <v>in forecast detail</v>
          </cell>
        </row>
        <row r="208">
          <cell r="AQ208" t="str">
            <v>70430110111780GBP</v>
          </cell>
          <cell r="AR208" t="str">
            <v>Ex Gratia - company-wide</v>
          </cell>
          <cell r="AS208" t="str">
            <v>in forecast detail</v>
          </cell>
        </row>
        <row r="209">
          <cell r="AQ209" t="str">
            <v>70430110100GBP</v>
          </cell>
          <cell r="AR209" t="str">
            <v>Salaries, allowances &amp; bonuses</v>
          </cell>
          <cell r="AS209" t="str">
            <v>in forecast detail</v>
          </cell>
        </row>
        <row r="210">
          <cell r="AQ210" t="str">
            <v>70430110211780EUR</v>
          </cell>
          <cell r="AR210" t="str">
            <v>Ex Gratia - company-wide</v>
          </cell>
          <cell r="AS210" t="str">
            <v>in forecast detail</v>
          </cell>
        </row>
        <row r="211">
          <cell r="AQ211" t="str">
            <v>70430110200EUR</v>
          </cell>
          <cell r="AR211" t="str">
            <v>Salaries, allowances &amp; bonuses</v>
          </cell>
          <cell r="AS211" t="str">
            <v>in forecast detail</v>
          </cell>
        </row>
        <row r="212">
          <cell r="AQ212" t="str">
            <v>70430110300EUR</v>
          </cell>
          <cell r="AR212" t="str">
            <v>Salaries, allowances &amp; bonuses</v>
          </cell>
          <cell r="AS212" t="str">
            <v>in forecast detail</v>
          </cell>
        </row>
        <row r="213">
          <cell r="AQ213" t="str">
            <v>70430110311780EUR</v>
          </cell>
          <cell r="AR213" t="str">
            <v>Ex Gratia - company-wide</v>
          </cell>
          <cell r="AS213" t="str">
            <v>in forecast detail</v>
          </cell>
        </row>
        <row r="214">
          <cell r="AQ214" t="str">
            <v>70430200100GBP</v>
          </cell>
          <cell r="AR214" t="str">
            <v>Social charges</v>
          </cell>
          <cell r="AS214" t="str">
            <v>in forecast detail</v>
          </cell>
        </row>
        <row r="215">
          <cell r="AQ215" t="str">
            <v>70430210100GBP</v>
          </cell>
          <cell r="AR215" t="str">
            <v>Social charges</v>
          </cell>
          <cell r="AS215" t="str">
            <v>in forecast detail</v>
          </cell>
        </row>
        <row r="216">
          <cell r="AQ216" t="str">
            <v>70430210111780GBP</v>
          </cell>
          <cell r="AR216" t="str">
            <v>Ex Gratia - company-wide</v>
          </cell>
          <cell r="AS216" t="str">
            <v>in forecast detail</v>
          </cell>
        </row>
        <row r="217">
          <cell r="AQ217" t="str">
            <v>70430210200EUR</v>
          </cell>
          <cell r="AR217" t="str">
            <v>Social charges</v>
          </cell>
          <cell r="AS217" t="str">
            <v>in forecast detail</v>
          </cell>
        </row>
        <row r="218">
          <cell r="AQ218" t="str">
            <v>70430210211780EUR</v>
          </cell>
          <cell r="AR218" t="str">
            <v>Ex Gratia - company-wide</v>
          </cell>
          <cell r="AS218" t="str">
            <v>in forecast detail</v>
          </cell>
        </row>
        <row r="219">
          <cell r="AQ219" t="str">
            <v>70430210311780EUR</v>
          </cell>
          <cell r="AR219" t="str">
            <v>Ex Gratia - company-wide</v>
          </cell>
          <cell r="AS219" t="str">
            <v>in forecast detail</v>
          </cell>
        </row>
        <row r="220">
          <cell r="AQ220" t="str">
            <v>70430300100GBP</v>
          </cell>
          <cell r="AR220" t="str">
            <v>Pension contributions</v>
          </cell>
          <cell r="AS220" t="str">
            <v>in forecast detail</v>
          </cell>
        </row>
        <row r="221">
          <cell r="AQ221" t="str">
            <v>7043040010E52EUR</v>
          </cell>
          <cell r="AR221" t="str">
            <v>Secondee costs</v>
          </cell>
          <cell r="AS221" t="str">
            <v>in forecast detail</v>
          </cell>
        </row>
        <row r="222">
          <cell r="AQ222" t="str">
            <v>70430410111780EUR</v>
          </cell>
          <cell r="AR222" t="str">
            <v>Ex Gratia - company-wide</v>
          </cell>
          <cell r="AS222" t="str">
            <v>in forecast detail</v>
          </cell>
        </row>
        <row r="223">
          <cell r="AQ223" t="str">
            <v>7043042010E52EUR</v>
          </cell>
          <cell r="AR223" t="str">
            <v>Secondee costs</v>
          </cell>
          <cell r="AS223" t="str">
            <v>in forecast detail</v>
          </cell>
        </row>
        <row r="224">
          <cell r="AQ224" t="str">
            <v>70430500100GBP</v>
          </cell>
          <cell r="AR224" t="str">
            <v>Agency staff &amp; contractors</v>
          </cell>
          <cell r="AS224" t="str">
            <v>in forecast detail</v>
          </cell>
        </row>
        <row r="225">
          <cell r="AQ225" t="str">
            <v>70430620100GBP</v>
          </cell>
          <cell r="AR225" t="str">
            <v>Staff benefits</v>
          </cell>
          <cell r="AS225" t="str">
            <v>in forecast detail</v>
          </cell>
        </row>
        <row r="226">
          <cell r="AQ226" t="str">
            <v>70430620100EUR</v>
          </cell>
          <cell r="AR226" t="str">
            <v>Staff benefits</v>
          </cell>
          <cell r="AS226" t="str">
            <v>in forecast detail</v>
          </cell>
        </row>
        <row r="227">
          <cell r="AQ227" t="str">
            <v>70430700100GBP</v>
          </cell>
          <cell r="AR227" t="str">
            <v>Other staff costs</v>
          </cell>
          <cell r="AS227" t="str">
            <v>in forecast detail</v>
          </cell>
        </row>
        <row r="228">
          <cell r="AQ228" t="str">
            <v>70430700200GBP</v>
          </cell>
          <cell r="AR228" t="str">
            <v>Other staff costs</v>
          </cell>
          <cell r="AS228" t="str">
            <v>in forecast detail</v>
          </cell>
        </row>
        <row r="229">
          <cell r="AQ229" t="str">
            <v>70430700700GBP</v>
          </cell>
          <cell r="AR229" t="str">
            <v>Other staff costs</v>
          </cell>
          <cell r="AS229" t="str">
            <v>in forecast detail</v>
          </cell>
        </row>
        <row r="230">
          <cell r="AQ230" t="str">
            <v>70430700800GBP</v>
          </cell>
          <cell r="AR230" t="str">
            <v>Other staff costs</v>
          </cell>
          <cell r="AS230" t="str">
            <v>in forecast detail</v>
          </cell>
        </row>
        <row r="231">
          <cell r="AQ231" t="str">
            <v>70430710000GBP</v>
          </cell>
          <cell r="AR231" t="str">
            <v>Other staff costs</v>
          </cell>
          <cell r="AS231" t="str">
            <v>in forecast detail</v>
          </cell>
        </row>
        <row r="232">
          <cell r="AQ232" t="str">
            <v>70430720200GBP</v>
          </cell>
          <cell r="AR232" t="str">
            <v>Other staff costs</v>
          </cell>
          <cell r="AS232" t="str">
            <v>in forecast detail</v>
          </cell>
        </row>
        <row r="233">
          <cell r="AQ233" t="str">
            <v>70431510100GBP</v>
          </cell>
          <cell r="AR233" t="str">
            <v>Marketing - other</v>
          </cell>
          <cell r="AS233" t="str">
            <v>in forecast detail</v>
          </cell>
        </row>
        <row r="234">
          <cell r="AQ234" t="str">
            <v>70431510112020EUR</v>
          </cell>
          <cell r="AR234" t="str">
            <v>Fleet Launch - Eurostar 20th anniversary</v>
          </cell>
          <cell r="AS234" t="str">
            <v>in forecast detail</v>
          </cell>
        </row>
        <row r="235">
          <cell r="AQ235" t="str">
            <v>70431510112020GBP</v>
          </cell>
          <cell r="AR235" t="str">
            <v>Fleet Launch - Eurostar 20th anniversary</v>
          </cell>
          <cell r="AS235" t="str">
            <v>in forecast detail</v>
          </cell>
        </row>
        <row r="236">
          <cell r="AQ236" t="str">
            <v>70431510400EUR</v>
          </cell>
          <cell r="AR236" t="str">
            <v>Marketing - other</v>
          </cell>
          <cell r="AS236" t="str">
            <v>in forecast detail</v>
          </cell>
        </row>
        <row r="237">
          <cell r="AQ237" t="str">
            <v>70431510400GBP</v>
          </cell>
          <cell r="AR237" t="str">
            <v>Marketing - other</v>
          </cell>
          <cell r="AS237" t="str">
            <v>in forecast detail</v>
          </cell>
        </row>
        <row r="238">
          <cell r="AQ238" t="str">
            <v>70431510500GBP</v>
          </cell>
          <cell r="AR238" t="str">
            <v>Marketing - other</v>
          </cell>
          <cell r="AS238" t="str">
            <v>in forecast detail</v>
          </cell>
        </row>
        <row r="239">
          <cell r="AQ239" t="str">
            <v>70431510500EUR</v>
          </cell>
          <cell r="AR239" t="str">
            <v>Marketing - other</v>
          </cell>
          <cell r="AS239" t="str">
            <v>in forecast detail</v>
          </cell>
        </row>
        <row r="240">
          <cell r="AQ240" t="str">
            <v>70431840000GBP</v>
          </cell>
          <cell r="AR240" t="str">
            <v>Compensation / Disruption</v>
          </cell>
          <cell r="AS240" t="str">
            <v>in forecast detail</v>
          </cell>
        </row>
        <row r="241">
          <cell r="AQ241" t="str">
            <v>70436100100GBP</v>
          </cell>
          <cell r="AR241" t="str">
            <v>Professional fees</v>
          </cell>
          <cell r="AS241" t="str">
            <v>in forecast detail</v>
          </cell>
        </row>
        <row r="242">
          <cell r="AQ242" t="str">
            <v>70436100100eur</v>
          </cell>
          <cell r="AR242" t="str">
            <v>Professional fees</v>
          </cell>
          <cell r="AS242" t="str">
            <v>in forecast detail</v>
          </cell>
        </row>
        <row r="243">
          <cell r="AQ243" t="str">
            <v>70436100112010GBP</v>
          </cell>
          <cell r="AR243" t="str">
            <v>Brand extension</v>
          </cell>
          <cell r="AS243" t="str">
            <v>in forecast detail</v>
          </cell>
        </row>
        <row r="244">
          <cell r="AQ244" t="str">
            <v>70436100200EUR</v>
          </cell>
          <cell r="AR244" t="str">
            <v>Professional fees</v>
          </cell>
          <cell r="AS244" t="str">
            <v>in forecast detail</v>
          </cell>
        </row>
        <row r="245">
          <cell r="AQ245" t="str">
            <v>70436100200GBP</v>
          </cell>
          <cell r="AR245" t="str">
            <v>Professional fees</v>
          </cell>
          <cell r="AS245" t="str">
            <v>in forecast detail</v>
          </cell>
        </row>
        <row r="246">
          <cell r="AQ246" t="str">
            <v>70436120112010EUR</v>
          </cell>
          <cell r="AR246" t="str">
            <v>Brand extension</v>
          </cell>
          <cell r="AS246" t="str">
            <v>in forecast detail</v>
          </cell>
        </row>
        <row r="247">
          <cell r="AQ247" t="str">
            <v>70436120112010GBP</v>
          </cell>
          <cell r="AR247" t="str">
            <v>Brand extension</v>
          </cell>
          <cell r="AS247" t="str">
            <v>in forecast detail</v>
          </cell>
        </row>
        <row r="248">
          <cell r="AQ248" t="str">
            <v>70436140000GBP</v>
          </cell>
          <cell r="AR248" t="str">
            <v>Professional fees</v>
          </cell>
          <cell r="AS248" t="str">
            <v>in forecast detail</v>
          </cell>
        </row>
        <row r="249">
          <cell r="AQ249" t="str">
            <v>70436130012020EUR</v>
          </cell>
          <cell r="AR249" t="str">
            <v>Fleet Launch - Eurostar 20th anniversary</v>
          </cell>
          <cell r="AS249" t="str">
            <v>in forecast detail</v>
          </cell>
        </row>
        <row r="250">
          <cell r="AQ250" t="str">
            <v>70436130012020GBP</v>
          </cell>
          <cell r="AR250" t="str">
            <v>Fleet Launch - Eurostar 20th anniversary</v>
          </cell>
          <cell r="AS250" t="str">
            <v>in forecast detail</v>
          </cell>
        </row>
        <row r="251">
          <cell r="AQ251" t="str">
            <v>70436200100EUR</v>
          </cell>
          <cell r="AR251" t="str">
            <v>Travel and entertainment</v>
          </cell>
          <cell r="AS251" t="str">
            <v>in forecast detail</v>
          </cell>
        </row>
        <row r="252">
          <cell r="AQ252" t="str">
            <v>70436200100GBP</v>
          </cell>
          <cell r="AR252" t="str">
            <v>Travel and entertainment</v>
          </cell>
          <cell r="AS252" t="str">
            <v>in forecast detail</v>
          </cell>
        </row>
        <row r="253">
          <cell r="AQ253" t="str">
            <v>70436200200GBP</v>
          </cell>
          <cell r="AR253" t="str">
            <v>Travel and entertainment</v>
          </cell>
          <cell r="AS253" t="str">
            <v>in forecast detail</v>
          </cell>
        </row>
        <row r="254">
          <cell r="AQ254" t="str">
            <v>70436200300GBP</v>
          </cell>
          <cell r="AR254" t="str">
            <v>Travel and entertainment</v>
          </cell>
          <cell r="AS254" t="str">
            <v>in forecast detail</v>
          </cell>
        </row>
        <row r="255">
          <cell r="AQ255" t="str">
            <v>70436200400EUR</v>
          </cell>
          <cell r="AR255" t="str">
            <v>Travel and entertainment</v>
          </cell>
          <cell r="AS255" t="str">
            <v>in forecast detail</v>
          </cell>
        </row>
        <row r="256">
          <cell r="AQ256" t="str">
            <v>70436200400GBP</v>
          </cell>
          <cell r="AR256" t="str">
            <v>Travel and entertainment</v>
          </cell>
          <cell r="AS256" t="str">
            <v>in forecast detail</v>
          </cell>
        </row>
        <row r="257">
          <cell r="AQ257" t="str">
            <v>70436200512020EUR</v>
          </cell>
          <cell r="AR257" t="str">
            <v>Fleet Launch - Eurostar 20th anniversary</v>
          </cell>
          <cell r="AS257" t="str">
            <v>in forecast detail</v>
          </cell>
        </row>
        <row r="258">
          <cell r="AQ258" t="str">
            <v>70436200512020GBP</v>
          </cell>
          <cell r="AR258" t="str">
            <v>Fleet Launch - Eurostar 20th anniversary</v>
          </cell>
          <cell r="AS258" t="str">
            <v>in forecast detail</v>
          </cell>
        </row>
        <row r="259">
          <cell r="AQ259" t="str">
            <v>70436200500GBP</v>
          </cell>
          <cell r="AR259" t="str">
            <v>Travel and entertainment</v>
          </cell>
          <cell r="AS259" t="str">
            <v>in forecast detail</v>
          </cell>
        </row>
        <row r="260">
          <cell r="AQ260" t="str">
            <v>70436200600GBP</v>
          </cell>
          <cell r="AR260" t="str">
            <v>Travel and entertainment</v>
          </cell>
          <cell r="AS260" t="str">
            <v>in forecast detail</v>
          </cell>
        </row>
        <row r="261">
          <cell r="AQ261" t="str">
            <v>70436200700EUR</v>
          </cell>
          <cell r="AR261" t="str">
            <v>Travel and entertainment</v>
          </cell>
          <cell r="AS261" t="str">
            <v>in forecast detail</v>
          </cell>
        </row>
        <row r="262">
          <cell r="AQ262" t="str">
            <v>70436200700GBP</v>
          </cell>
          <cell r="AR262" t="str">
            <v>Travel and entertainment</v>
          </cell>
          <cell r="AS262" t="str">
            <v>in forecast detail</v>
          </cell>
        </row>
        <row r="263">
          <cell r="AQ263" t="str">
            <v>70436210000GBP</v>
          </cell>
          <cell r="AR263" t="str">
            <v>Travel and entertainment</v>
          </cell>
          <cell r="AS263" t="str">
            <v>in forecast detail</v>
          </cell>
        </row>
        <row r="264">
          <cell r="AQ264" t="str">
            <v>70436300200GBP</v>
          </cell>
          <cell r="AR264" t="str">
            <v>Printing, publications &amp; stationery</v>
          </cell>
          <cell r="AS264" t="str">
            <v>in forecast detail</v>
          </cell>
        </row>
        <row r="265">
          <cell r="AQ265" t="str">
            <v>70436300300EUR</v>
          </cell>
          <cell r="AR265" t="str">
            <v>Printing, publications &amp; stationery</v>
          </cell>
          <cell r="AS265" t="str">
            <v>in forecast detail</v>
          </cell>
        </row>
        <row r="266">
          <cell r="AQ266" t="str">
            <v>70436300300GBP</v>
          </cell>
          <cell r="AR266" t="str">
            <v>Printing, publications &amp; stationery</v>
          </cell>
          <cell r="AS266" t="str">
            <v>in forecast detail</v>
          </cell>
        </row>
        <row r="267">
          <cell r="AQ267" t="str">
            <v>70436300400GBP</v>
          </cell>
          <cell r="AR267" t="str">
            <v>Printing, publications &amp; stationery</v>
          </cell>
          <cell r="AS267" t="str">
            <v>in forecast detail</v>
          </cell>
        </row>
        <row r="268">
          <cell r="AQ268" t="str">
            <v>70538100100EUR</v>
          </cell>
          <cell r="AR268" t="str">
            <v>Operational taxes</v>
          </cell>
          <cell r="AS268" t="str">
            <v>in forecast detail</v>
          </cell>
        </row>
        <row r="269">
          <cell r="AQ269" t="str">
            <v>70538100200EUR</v>
          </cell>
          <cell r="AR269" t="str">
            <v>Operational taxes</v>
          </cell>
          <cell r="AS269" t="str">
            <v>in forecast detail</v>
          </cell>
        </row>
        <row r="270">
          <cell r="AQ270" t="str">
            <v>70539000100GBP</v>
          </cell>
          <cell r="AR270" t="str">
            <v>Profit/(loss) on PPE</v>
          </cell>
          <cell r="AS270" t="str">
            <v>in forecast detail</v>
          </cell>
        </row>
        <row r="271">
          <cell r="AQ271" t="str">
            <v>70038200100EUR</v>
          </cell>
          <cell r="AR271" t="str">
            <v>Foreign exchange gains/(losses) - operating costs</v>
          </cell>
          <cell r="AS271" t="str">
            <v>in forecast detail</v>
          </cell>
        </row>
        <row r="272">
          <cell r="AQ272" t="str">
            <v>70038200100GBP</v>
          </cell>
          <cell r="AR272" t="str">
            <v>Foreign exchange gains/(losses) - operating costs</v>
          </cell>
          <cell r="AS272" t="str">
            <v>in forecast detail</v>
          </cell>
        </row>
        <row r="273">
          <cell r="AQ273" t="str">
            <v>70236300400EUR</v>
          </cell>
          <cell r="AR273" t="str">
            <v>Printing, publications &amp; stationery</v>
          </cell>
          <cell r="AS273" t="str">
            <v>in forecast detail</v>
          </cell>
        </row>
        <row r="274">
          <cell r="AQ274" t="str">
            <v>70530200200EUR</v>
          </cell>
          <cell r="AR274" t="str">
            <v>Social charges</v>
          </cell>
          <cell r="AS274" t="str">
            <v>in forecast detail</v>
          </cell>
        </row>
        <row r="275">
          <cell r="AQ275" t="str">
            <v>70530300112630GBP</v>
          </cell>
          <cell r="AR275" t="str">
            <v>Pension contributions</v>
          </cell>
          <cell r="AS275" t="str">
            <v>in forecast detail</v>
          </cell>
        </row>
        <row r="276">
          <cell r="AQ276" t="str">
            <v>7053040010E52EUR</v>
          </cell>
          <cell r="AR276" t="str">
            <v>Secondee costs</v>
          </cell>
          <cell r="AS276" t="str">
            <v>in forecast detail</v>
          </cell>
        </row>
        <row r="277">
          <cell r="AQ277" t="str">
            <v>7053040010EISASEUR</v>
          </cell>
          <cell r="AR277" t="str">
            <v>Secondee costs</v>
          </cell>
          <cell r="AS277" t="str">
            <v>in forecast detail</v>
          </cell>
        </row>
        <row r="278">
          <cell r="AQ278" t="str">
            <v>70530400200EUR</v>
          </cell>
          <cell r="AR278" t="str">
            <v>Secondee costs</v>
          </cell>
          <cell r="AS278" t="str">
            <v>in forecast detail</v>
          </cell>
        </row>
        <row r="279">
          <cell r="AQ279" t="str">
            <v>70530420100EUR</v>
          </cell>
          <cell r="AR279" t="str">
            <v>Secondee costs</v>
          </cell>
          <cell r="AS279" t="str">
            <v>in forecast detail</v>
          </cell>
        </row>
        <row r="280">
          <cell r="AQ280" t="str">
            <v>7053042010E52EUR</v>
          </cell>
          <cell r="AR280" t="str">
            <v>Secondee costs</v>
          </cell>
          <cell r="AS280" t="str">
            <v>in forecast detail</v>
          </cell>
        </row>
        <row r="281">
          <cell r="AQ281" t="str">
            <v>7053042010EISASEUR</v>
          </cell>
          <cell r="AR281" t="str">
            <v>Secondee costs</v>
          </cell>
          <cell r="AS281" t="str">
            <v>in forecast detail</v>
          </cell>
        </row>
        <row r="282">
          <cell r="AQ282" t="str">
            <v>70530630000GBP</v>
          </cell>
          <cell r="AR282" t="str">
            <v>Staff benefits</v>
          </cell>
          <cell r="AS282" t="str">
            <v>in forecast detail</v>
          </cell>
        </row>
        <row r="283">
          <cell r="AQ283" t="str">
            <v>7053079000EISASEUR</v>
          </cell>
          <cell r="AR283" t="str">
            <v>Other staff costs</v>
          </cell>
          <cell r="AS283" t="str">
            <v>in forecast detail</v>
          </cell>
        </row>
        <row r="284">
          <cell r="AQ284" t="str">
            <v>7053079000EISPRLEUR</v>
          </cell>
          <cell r="AR284" t="str">
            <v>Other staff costs</v>
          </cell>
          <cell r="AS284" t="str">
            <v>in forecast detail</v>
          </cell>
        </row>
        <row r="285">
          <cell r="AQ285" t="str">
            <v>70536000200GBP</v>
          </cell>
          <cell r="AR285" t="str">
            <v>Insurance</v>
          </cell>
          <cell r="AS285" t="str">
            <v>in forecast detail</v>
          </cell>
        </row>
        <row r="286">
          <cell r="AQ286" t="str">
            <v>70538200100EUR</v>
          </cell>
          <cell r="AR286" t="str">
            <v>Foreign exchange gains/(losses) - operating costs</v>
          </cell>
          <cell r="AS286" t="str">
            <v>in forecast detail</v>
          </cell>
        </row>
        <row r="287">
          <cell r="AQ287" t="str">
            <v>70538200100GBP</v>
          </cell>
          <cell r="AR287" t="str">
            <v>Foreign exchange gains/(losses) - operating costs</v>
          </cell>
          <cell r="AS287" t="str">
            <v>in forecast detail</v>
          </cell>
        </row>
        <row r="288">
          <cell r="AQ288" t="str">
            <v>70538200100USD</v>
          </cell>
          <cell r="AR288" t="str">
            <v>Foreign exchange gains/(losses) - operating costs</v>
          </cell>
          <cell r="AS288" t="str">
            <v>in forecast detail</v>
          </cell>
        </row>
        <row r="289">
          <cell r="AQ289" t="str">
            <v>70538200200EUR</v>
          </cell>
          <cell r="AR289" t="str">
            <v>Foreign exchange gains/(losses) - operating costs</v>
          </cell>
          <cell r="AS289" t="str">
            <v>in forecast detail</v>
          </cell>
        </row>
        <row r="290">
          <cell r="AQ290" t="str">
            <v>70538200200GBP</v>
          </cell>
          <cell r="AR290" t="str">
            <v>Foreign exchange gains/(losses) - operating costs</v>
          </cell>
          <cell r="AS290" t="str">
            <v>in forecast detail</v>
          </cell>
        </row>
        <row r="291">
          <cell r="AQ291" t="str">
            <v>70538200200USD</v>
          </cell>
          <cell r="AR291" t="str">
            <v>Foreign exchange gains/(losses) - operating costs</v>
          </cell>
          <cell r="AS291" t="str">
            <v>in forecast detail</v>
          </cell>
        </row>
        <row r="292">
          <cell r="AQ292" t="str">
            <v>85036100100GBP</v>
          </cell>
          <cell r="AR292" t="str">
            <v>Professional fees</v>
          </cell>
          <cell r="AS292" t="str">
            <v>in forecast detail</v>
          </cell>
        </row>
        <row r="293">
          <cell r="AQ293" t="str">
            <v>85036120000GBP</v>
          </cell>
          <cell r="AR293" t="str">
            <v>Professional fees</v>
          </cell>
          <cell r="AS293" t="str">
            <v>in forecast detail</v>
          </cell>
        </row>
        <row r="294">
          <cell r="AQ294" t="str">
            <v>70030700800GBP</v>
          </cell>
          <cell r="AR294" t="str">
            <v>Other staff costs</v>
          </cell>
          <cell r="AS294" t="str">
            <v>in forecast detail</v>
          </cell>
        </row>
        <row r="295">
          <cell r="AQ295" t="str">
            <v>70236200100EUR</v>
          </cell>
          <cell r="AR295" t="str">
            <v>Travel and entertainment</v>
          </cell>
          <cell r="AS295" t="str">
            <v>in forecast detail</v>
          </cell>
        </row>
        <row r="296">
          <cell r="AQ296" t="str">
            <v>70330700800GBP</v>
          </cell>
          <cell r="AR296" t="str">
            <v>Other staff costs</v>
          </cell>
          <cell r="AS296" t="str">
            <v>in forecast detail</v>
          </cell>
        </row>
        <row r="297">
          <cell r="AQ297" t="str">
            <v>70530400100EUR</v>
          </cell>
          <cell r="AR297" t="str">
            <v>Secondee costs</v>
          </cell>
          <cell r="AS297" t="str">
            <v>in forecast detail</v>
          </cell>
        </row>
        <row r="298">
          <cell r="AQ298" t="str">
            <v>70535010000GBP</v>
          </cell>
          <cell r="AR298" t="str">
            <v>Station costs</v>
          </cell>
          <cell r="AS298" t="str">
            <v>in forecast detail</v>
          </cell>
        </row>
        <row r="299">
          <cell r="AQ299" t="str">
            <v>70549900700GBP</v>
          </cell>
          <cell r="AR299" t="str">
            <v>Other Finance costs</v>
          </cell>
          <cell r="AS299" t="str">
            <v>in forecast detail</v>
          </cell>
        </row>
        <row r="300">
          <cell r="AQ300" t="str">
            <v>70034230000USD</v>
          </cell>
          <cell r="AR300" t="str">
            <v>Systems costs</v>
          </cell>
          <cell r="AS300" t="str">
            <v>in forecast detail</v>
          </cell>
        </row>
        <row r="301">
          <cell r="AQ301" t="str">
            <v>70036200700GBP</v>
          </cell>
          <cell r="AR301" t="str">
            <v>Travel and entertainment</v>
          </cell>
          <cell r="AS301" t="str">
            <v>in forecast detail</v>
          </cell>
        </row>
        <row r="302">
          <cell r="AQ302" t="str">
            <v>70135830000EUR</v>
          </cell>
          <cell r="AR302" t="str">
            <v>Property repairs &amp; maintenance</v>
          </cell>
          <cell r="AS302" t="str">
            <v>in forecast detail</v>
          </cell>
        </row>
        <row r="303">
          <cell r="AQ303" t="str">
            <v>70236120311770EUR</v>
          </cell>
          <cell r="AR303" t="str">
            <v>Professional fees</v>
          </cell>
          <cell r="AS303" t="str">
            <v>in forecast detail</v>
          </cell>
        </row>
        <row r="304">
          <cell r="AQ304" t="str">
            <v>70236130000EUR</v>
          </cell>
          <cell r="AR304" t="str">
            <v>Professional fees</v>
          </cell>
          <cell r="AS304" t="str">
            <v>in forecast detail</v>
          </cell>
        </row>
        <row r="305">
          <cell r="AQ305" t="str">
            <v>70236300700GBP</v>
          </cell>
          <cell r="AR305" t="str">
            <v>Printing, publications &amp; stationery</v>
          </cell>
          <cell r="AS305" t="str">
            <v>in forecast detail</v>
          </cell>
        </row>
        <row r="306">
          <cell r="AQ306" t="str">
            <v>70335830000GBP</v>
          </cell>
          <cell r="AR306" t="str">
            <v>Property repairs &amp; maintenance</v>
          </cell>
          <cell r="AS306" t="str">
            <v>in forecast detail</v>
          </cell>
        </row>
        <row r="307">
          <cell r="AQ307" t="str">
            <v>70436200212020GBP</v>
          </cell>
          <cell r="AR307" t="str">
            <v>Fleet Launch - Eurostar 20th anniversary</v>
          </cell>
          <cell r="AS307" t="str">
            <v>in forecast detail</v>
          </cell>
        </row>
        <row r="308">
          <cell r="AQ308" t="str">
            <v>70536300300GBP</v>
          </cell>
          <cell r="AR308" t="str">
            <v>Printing, publications &amp; stationery</v>
          </cell>
          <cell r="AS308" t="str">
            <v>in forecast detail</v>
          </cell>
        </row>
        <row r="309">
          <cell r="AQ309" t="str">
            <v>85030300200GBP</v>
          </cell>
          <cell r="AR309" t="str">
            <v>Pension contributions</v>
          </cell>
          <cell r="AS309" t="str">
            <v>in forecast detail</v>
          </cell>
        </row>
        <row r="310">
          <cell r="AQ310" t="str">
            <v>85136100112010GBP</v>
          </cell>
          <cell r="AR310" t="str">
            <v>Brand extension</v>
          </cell>
          <cell r="AS310" t="str">
            <v>in forecast detail</v>
          </cell>
        </row>
        <row r="311">
          <cell r="AQ311" t="str">
            <v>70230700700GBP</v>
          </cell>
          <cell r="AR311" t="str">
            <v>Other staff costs</v>
          </cell>
          <cell r="AS311" t="str">
            <v>in forecast detail</v>
          </cell>
        </row>
        <row r="312">
          <cell r="AQ312" t="str">
            <v>70530200100GBP</v>
          </cell>
          <cell r="AR312" t="str">
            <v>Social charges</v>
          </cell>
          <cell r="AS312" t="str">
            <v>in forecast detail</v>
          </cell>
        </row>
        <row r="313">
          <cell r="AQ313" t="str">
            <v>70130600200GBP</v>
          </cell>
          <cell r="AR313" t="str">
            <v>Staff benefits</v>
          </cell>
          <cell r="AS313" t="str">
            <v>in forecast detail</v>
          </cell>
        </row>
        <row r="314">
          <cell r="AQ314" t="str">
            <v>70530300300GBP</v>
          </cell>
          <cell r="AR314" t="str">
            <v>Pension contributions</v>
          </cell>
          <cell r="AS314" t="str">
            <v>in forecast detail</v>
          </cell>
        </row>
        <row r="315">
          <cell r="AQ315" t="str">
            <v>70030600200GBP</v>
          </cell>
          <cell r="AR315" t="str">
            <v>Staff benefits</v>
          </cell>
          <cell r="AS315" t="str">
            <v>in forecast detail</v>
          </cell>
        </row>
        <row r="316">
          <cell r="AQ316" t="str">
            <v>70036200500GBP</v>
          </cell>
          <cell r="AR316" t="str">
            <v>Travel and entertainment</v>
          </cell>
          <cell r="AS316" t="str">
            <v>in forecast detail</v>
          </cell>
        </row>
        <row r="317">
          <cell r="AQ317" t="str">
            <v>70336200700GBP</v>
          </cell>
          <cell r="AR317" t="str">
            <v>Travel and entertainment</v>
          </cell>
          <cell r="AS317" t="str">
            <v>in forecast detail</v>
          </cell>
        </row>
        <row r="318">
          <cell r="AQ318" t="str">
            <v>70131830000GBP</v>
          </cell>
          <cell r="AR318" t="str">
            <v>Compensation / Disruption</v>
          </cell>
          <cell r="AS318" t="str">
            <v>in forecast detail</v>
          </cell>
        </row>
        <row r="319">
          <cell r="AQ319" t="str">
            <v>7013550011024EQNXGBP</v>
          </cell>
          <cell r="AR319" t="str">
            <v>Rent, rates &amp; service charge</v>
          </cell>
          <cell r="AS319" t="str">
            <v>in forecast detail</v>
          </cell>
        </row>
        <row r="320">
          <cell r="AQ320" t="str">
            <v>7013552001024EQNXGBP</v>
          </cell>
          <cell r="AR320" t="str">
            <v>Rent, rates &amp; service charge</v>
          </cell>
          <cell r="AS320" t="str">
            <v>in forecast detail</v>
          </cell>
        </row>
        <row r="321">
          <cell r="AQ321" t="str">
            <v>70136100100GBP</v>
          </cell>
          <cell r="AR321" t="str">
            <v>Professional fees</v>
          </cell>
          <cell r="AS321" t="str">
            <v>in forecast detail</v>
          </cell>
        </row>
        <row r="322">
          <cell r="AQ322" t="str">
            <v>70038110000GBP</v>
          </cell>
          <cell r="AR322" t="str">
            <v>Operational taxes</v>
          </cell>
          <cell r="AS322" t="str">
            <v>in forecast detail</v>
          </cell>
        </row>
        <row r="323">
          <cell r="AQ323" t="str">
            <v>70230710100GBP</v>
          </cell>
          <cell r="AR323" t="str">
            <v>Other staff costs</v>
          </cell>
          <cell r="AS323" t="str">
            <v>in forecast detail</v>
          </cell>
        </row>
        <row r="324">
          <cell r="AQ324" t="str">
            <v>70336100100GBP</v>
          </cell>
          <cell r="AR324" t="str">
            <v>Professional fees</v>
          </cell>
          <cell r="AS324" t="str">
            <v>in forecast detail</v>
          </cell>
        </row>
        <row r="325">
          <cell r="AQ325" t="str">
            <v>70530400100GBP</v>
          </cell>
          <cell r="AR325" t="str">
            <v>Secondee costs</v>
          </cell>
          <cell r="AS325" t="str">
            <v>in forecast detail</v>
          </cell>
        </row>
        <row r="326">
          <cell r="AQ326" t="str">
            <v>70530400200GBP</v>
          </cell>
          <cell r="AR326" t="str">
            <v>Secondee costs</v>
          </cell>
          <cell r="AS326" t="str">
            <v>in forecast detail</v>
          </cell>
        </row>
        <row r="327">
          <cell r="AQ327" t="str">
            <v>70530700900GBP</v>
          </cell>
          <cell r="AR327" t="str">
            <v>Other staff costs</v>
          </cell>
          <cell r="AS327" t="str">
            <v>in forecast detail</v>
          </cell>
        </row>
        <row r="328">
          <cell r="AQ328" t="str">
            <v>70530790000GBP</v>
          </cell>
          <cell r="AR328" t="str">
            <v>Other staff costs</v>
          </cell>
          <cell r="AS328" t="str">
            <v>in forecast detail</v>
          </cell>
        </row>
        <row r="329">
          <cell r="AQ329" t="str">
            <v>70536110000GBP</v>
          </cell>
          <cell r="AR329" t="str">
            <v>Professional fees</v>
          </cell>
          <cell r="AS329" t="str">
            <v>in forecast detail</v>
          </cell>
        </row>
        <row r="330">
          <cell r="AQ330" t="str">
            <v>70536110100GBP</v>
          </cell>
          <cell r="AR330" t="str">
            <v>Professional fees</v>
          </cell>
          <cell r="AS330" t="str">
            <v>in forecast detail</v>
          </cell>
        </row>
        <row r="331">
          <cell r="AQ331" t="str">
            <v>70538100200GBP</v>
          </cell>
          <cell r="AR331" t="str">
            <v>Operational taxes</v>
          </cell>
          <cell r="AS331" t="str">
            <v>in forecast detail</v>
          </cell>
        </row>
        <row r="332">
          <cell r="AQ332" t="str">
            <v>70538100300GBP</v>
          </cell>
          <cell r="AR332" t="str">
            <v>Operational taxes</v>
          </cell>
          <cell r="AS332" t="str">
            <v>in forecast detail</v>
          </cell>
        </row>
        <row r="333">
          <cell r="AQ333" t="str">
            <v>7013550011024EQNXEUR</v>
          </cell>
          <cell r="AR333" t="str">
            <v>Rent, rates &amp; service charge</v>
          </cell>
          <cell r="AS333" t="str">
            <v>in forecast detail</v>
          </cell>
        </row>
        <row r="334">
          <cell r="AQ334" t="str">
            <v>7013552001024EQNXEUR</v>
          </cell>
          <cell r="AR334" t="str">
            <v>Rent, rates &amp; service charge</v>
          </cell>
          <cell r="AS334" t="str">
            <v>in forecast detail</v>
          </cell>
        </row>
        <row r="335">
          <cell r="AQ335" t="str">
            <v>70131830000EUR</v>
          </cell>
          <cell r="AR335" t="str">
            <v>Compensation / Disruption</v>
          </cell>
          <cell r="AS335" t="str">
            <v>in forecast detail</v>
          </cell>
        </row>
        <row r="336">
          <cell r="AQ336" t="str">
            <v>70230710100EUR</v>
          </cell>
          <cell r="AR336" t="str">
            <v>Other staff costs</v>
          </cell>
          <cell r="AS336" t="str">
            <v>in forecast detail</v>
          </cell>
        </row>
        <row r="337">
          <cell r="AQ337" t="str">
            <v>70135520000EUR</v>
          </cell>
          <cell r="AR337" t="str">
            <v>Rent, rates &amp; service charge</v>
          </cell>
          <cell r="AS337" t="str">
            <v>in forecast detail</v>
          </cell>
        </row>
        <row r="338">
          <cell r="AQ338" t="str">
            <v>70230700700EUR</v>
          </cell>
          <cell r="AR338" t="str">
            <v>Other staff costs</v>
          </cell>
          <cell r="AS338" t="str">
            <v>in forecast detail</v>
          </cell>
        </row>
        <row r="339">
          <cell r="AQ339" t="str">
            <v>70430630000GBP</v>
          </cell>
          <cell r="AR339" t="str">
            <v>Staff benefits</v>
          </cell>
          <cell r="AS339" t="str">
            <v>in forecast detail</v>
          </cell>
        </row>
        <row r="340">
          <cell r="AQ340" t="str">
            <v>70430720000GBP</v>
          </cell>
          <cell r="AR340" t="str">
            <v>Other staff costs</v>
          </cell>
          <cell r="AS340" t="str">
            <v>in forecast detail</v>
          </cell>
        </row>
        <row r="341">
          <cell r="AQ341" t="str">
            <v>70130103100GBP</v>
          </cell>
          <cell r="AR341" t="str">
            <v>Salaries, allowances &amp; bonuses</v>
          </cell>
          <cell r="AS341" t="str">
            <v>in forecast detail</v>
          </cell>
        </row>
        <row r="342">
          <cell r="AQ342" t="str">
            <v>70130700700EUR</v>
          </cell>
          <cell r="AR342" t="str">
            <v>Other staff costs</v>
          </cell>
          <cell r="AS342" t="str">
            <v>in forecast detail</v>
          </cell>
        </row>
        <row r="343">
          <cell r="AQ343" t="str">
            <v>70131840000GBP</v>
          </cell>
          <cell r="AR343" t="str">
            <v>Compensation / Disruption</v>
          </cell>
          <cell r="AS343" t="str">
            <v>in forecast detail</v>
          </cell>
        </row>
        <row r="344">
          <cell r="AQ344" t="str">
            <v>70131850000GBP</v>
          </cell>
          <cell r="AR344" t="str">
            <v>Compensation / Disruption</v>
          </cell>
          <cell r="AS344" t="str">
            <v>in forecast detail</v>
          </cell>
        </row>
        <row r="345">
          <cell r="AQ345" t="str">
            <v>70135500100GBP</v>
          </cell>
          <cell r="AR345" t="str">
            <v>Rent, rates &amp; service charge</v>
          </cell>
          <cell r="AS345" t="str">
            <v>in forecast detail</v>
          </cell>
        </row>
        <row r="346">
          <cell r="AQ346" t="str">
            <v>70136200700EUR</v>
          </cell>
          <cell r="AR346" t="str">
            <v>Travel and entertainment</v>
          </cell>
          <cell r="AS346" t="str">
            <v>in forecast detail</v>
          </cell>
        </row>
        <row r="347">
          <cell r="AQ347" t="str">
            <v>7033810050HS1GBP</v>
          </cell>
          <cell r="AR347" t="str">
            <v>Operational taxes</v>
          </cell>
          <cell r="AS347" t="str">
            <v>in forecast detail</v>
          </cell>
        </row>
        <row r="348">
          <cell r="AQ348" t="str">
            <v>70436300300USD</v>
          </cell>
          <cell r="AR348" t="str">
            <v>Printing, publications &amp; stationery</v>
          </cell>
          <cell r="AS348" t="str">
            <v>in forecast detail</v>
          </cell>
        </row>
        <row r="349">
          <cell r="AQ349" t="str">
            <v>7053501000HS1GBP</v>
          </cell>
          <cell r="AR349" t="str">
            <v>Station costs</v>
          </cell>
          <cell r="AS349" t="str">
            <v>in forecast detail</v>
          </cell>
        </row>
        <row r="350">
          <cell r="AQ350" t="str">
            <v>70135810010140EUR</v>
          </cell>
          <cell r="AR350" t="str">
            <v>Property repairs &amp; maintenance</v>
          </cell>
          <cell r="AS350" t="str">
            <v>in forecast detail</v>
          </cell>
        </row>
        <row r="351">
          <cell r="AQ351" t="str">
            <v>70036100400GBP</v>
          </cell>
          <cell r="AR351" t="str">
            <v>Professional fees</v>
          </cell>
          <cell r="AS351" t="str">
            <v>in forecast detail</v>
          </cell>
        </row>
        <row r="352">
          <cell r="AQ352" t="str">
            <v>70436499900GBP</v>
          </cell>
          <cell r="AR352" t="str">
            <v>General costs</v>
          </cell>
          <cell r="AS352" t="str">
            <v>in forecast detail</v>
          </cell>
        </row>
        <row r="353">
          <cell r="AQ353" t="str">
            <v>70330103100GBP</v>
          </cell>
          <cell r="AR353" t="str">
            <v>Salaries, allowances &amp; bonuses</v>
          </cell>
          <cell r="AS353" t="str">
            <v>in forecast detail</v>
          </cell>
        </row>
        <row r="354">
          <cell r="AQ354" t="str">
            <v>70036300100GBP</v>
          </cell>
          <cell r="AR354" t="str">
            <v>Printing, publications &amp; stationery</v>
          </cell>
          <cell r="AS354" t="str">
            <v>in forecast detail</v>
          </cell>
        </row>
        <row r="355">
          <cell r="AQ355" t="str">
            <v>70230110100GBP</v>
          </cell>
          <cell r="AR355" t="str">
            <v>Salaries, allowances &amp; bonuses</v>
          </cell>
          <cell r="AS355" t="str">
            <v>in forecast detail</v>
          </cell>
        </row>
        <row r="356">
          <cell r="AQ356" t="str">
            <v>70236130000GBP</v>
          </cell>
          <cell r="AR356" t="str">
            <v>Professional fees</v>
          </cell>
          <cell r="AS356" t="str">
            <v>in forecast detail</v>
          </cell>
        </row>
        <row r="357">
          <cell r="AQ357" t="str">
            <v>70430210300EUR</v>
          </cell>
          <cell r="AR357" t="str">
            <v>Social charges</v>
          </cell>
          <cell r="AS357" t="str">
            <v>in forecast detail</v>
          </cell>
        </row>
        <row r="358">
          <cell r="AQ358" t="str">
            <v>70536300300EUR</v>
          </cell>
          <cell r="AR358" t="str">
            <v>Printing, publications &amp; stationery</v>
          </cell>
          <cell r="AS358" t="str">
            <v>in forecast detail</v>
          </cell>
        </row>
        <row r="359">
          <cell r="AQ359" t="str">
            <v>70536100100GBP</v>
          </cell>
          <cell r="AR359" t="str">
            <v>Professional fees</v>
          </cell>
          <cell r="AS359" t="str">
            <v>in forecast detail</v>
          </cell>
        </row>
        <row r="360">
          <cell r="AQ360" t="str">
            <v>70530600100GBP</v>
          </cell>
          <cell r="AR360" t="str">
            <v>Staff benefits</v>
          </cell>
          <cell r="AS360" t="str">
            <v>in forecast detail</v>
          </cell>
        </row>
        <row r="361">
          <cell r="AQ361" t="str">
            <v>70536300600GBP</v>
          </cell>
          <cell r="AR361" t="str">
            <v>Printing, publications &amp; stationery</v>
          </cell>
          <cell r="AS361" t="str">
            <v>in forecast detail</v>
          </cell>
        </row>
        <row r="362">
          <cell r="AQ362" t="str">
            <v>70130700700GBP</v>
          </cell>
          <cell r="AR362" t="str">
            <v>Other staff costs</v>
          </cell>
          <cell r="AS362" t="str">
            <v>in forecast detail</v>
          </cell>
        </row>
        <row r="363">
          <cell r="AQ363" t="str">
            <v>70134230000GBP</v>
          </cell>
          <cell r="AR363" t="str">
            <v>Systems costs</v>
          </cell>
          <cell r="AS363" t="str">
            <v>in forecast detail</v>
          </cell>
        </row>
        <row r="364">
          <cell r="AQ364" t="str">
            <v>70136200700GBP</v>
          </cell>
          <cell r="AR364" t="str">
            <v>Travel and entertainment</v>
          </cell>
          <cell r="AS364" t="str">
            <v>in forecast detail</v>
          </cell>
        </row>
        <row r="365">
          <cell r="AQ365" t="str">
            <v>7043041011178E52EUR</v>
          </cell>
          <cell r="AR365" t="str">
            <v>Ex Gratia - company-wide</v>
          </cell>
          <cell r="AS365" t="str">
            <v>in forecast detail</v>
          </cell>
        </row>
        <row r="366">
          <cell r="AQ366" t="str">
            <v>7043041011178EISASEUR</v>
          </cell>
          <cell r="AR366" t="str">
            <v>Ex Gratia - company-wide</v>
          </cell>
          <cell r="AS366" t="str">
            <v>in forecast detail</v>
          </cell>
        </row>
        <row r="367">
          <cell r="AQ367" t="str">
            <v>7043041021178EISPRLEUR</v>
          </cell>
          <cell r="AR367" t="str">
            <v>Ex Gratia - company-wide</v>
          </cell>
          <cell r="AS367" t="str">
            <v>in forecast detail</v>
          </cell>
        </row>
        <row r="368">
          <cell r="AQ368" t="str">
            <v>7043041021178SNCBEUR</v>
          </cell>
          <cell r="AR368" t="str">
            <v>Ex Gratia - company-wide</v>
          </cell>
          <cell r="AS368" t="str">
            <v>in forecast detail</v>
          </cell>
        </row>
        <row r="369">
          <cell r="AQ369" t="str">
            <v>7043043011178E52EUR</v>
          </cell>
          <cell r="AR369" t="str">
            <v>Ex Gratia - company-wide</v>
          </cell>
          <cell r="AS369" t="str">
            <v>in forecast detail</v>
          </cell>
        </row>
        <row r="370">
          <cell r="AQ370" t="str">
            <v>7043043011178EISASEUR</v>
          </cell>
          <cell r="AR370" t="str">
            <v>Ex Gratia - company-wide</v>
          </cell>
          <cell r="AS370" t="str">
            <v>in forecast detail</v>
          </cell>
        </row>
        <row r="371">
          <cell r="AQ371" t="str">
            <v>7043043021178EISPRLEUR</v>
          </cell>
          <cell r="AR371" t="str">
            <v>Ex Gratia - company-wide</v>
          </cell>
          <cell r="AS371" t="str">
            <v>in forecast detail</v>
          </cell>
        </row>
        <row r="372">
          <cell r="AQ372" t="str">
            <v>7043043021178SNCBEUR</v>
          </cell>
          <cell r="AR372" t="str">
            <v>Ex Gratia - company-wide</v>
          </cell>
          <cell r="AS372" t="str">
            <v>in forecast detail</v>
          </cell>
        </row>
        <row r="373">
          <cell r="AQ373" t="str">
            <v>70431510800GBP</v>
          </cell>
          <cell r="AR373" t="str">
            <v>Marketing - other</v>
          </cell>
          <cell r="AS373" t="str">
            <v>in forecast detail</v>
          </cell>
        </row>
        <row r="374">
          <cell r="AQ374" t="str">
            <v>7003611000MAZARSGBP</v>
          </cell>
          <cell r="AR374" t="str">
            <v>Professional fees</v>
          </cell>
          <cell r="AS374" t="str">
            <v>in forecast detail</v>
          </cell>
        </row>
        <row r="375">
          <cell r="AQ375" t="str">
            <v>70236100500GBP</v>
          </cell>
          <cell r="AR375" t="str">
            <v>Professional fees</v>
          </cell>
          <cell r="AS375" t="str">
            <v>in forecast detail</v>
          </cell>
        </row>
        <row r="376">
          <cell r="AQ376" t="str">
            <v>7043041010E52EUR</v>
          </cell>
          <cell r="AR376" t="str">
            <v>Secondee costs</v>
          </cell>
          <cell r="AS376" t="str">
            <v>in forecast detail</v>
          </cell>
        </row>
        <row r="377">
          <cell r="AQ377" t="str">
            <v>7043043010E52EUR</v>
          </cell>
          <cell r="AR377" t="str">
            <v>Secondee costs</v>
          </cell>
          <cell r="AS377" t="str">
            <v>in forecast detail</v>
          </cell>
        </row>
        <row r="378">
          <cell r="AQ378" t="str">
            <v>7053040020SNCBEUR</v>
          </cell>
          <cell r="AR378" t="str">
            <v>Secondee costs</v>
          </cell>
          <cell r="AS378" t="str">
            <v>in forecast detail</v>
          </cell>
        </row>
        <row r="379">
          <cell r="AQ379" t="str">
            <v>70530120000GBP</v>
          </cell>
          <cell r="AR379" t="str">
            <v>Salaries, allowances &amp; bonuses</v>
          </cell>
          <cell r="AS379" t="str">
            <v>in forecast detail</v>
          </cell>
        </row>
        <row r="380">
          <cell r="AQ380" t="str">
            <v>70130120000GBP</v>
          </cell>
          <cell r="AR380" t="str">
            <v>Salaries, allowances &amp; bonuses</v>
          </cell>
          <cell r="AS380" t="str">
            <v>in forecast detail</v>
          </cell>
        </row>
        <row r="381">
          <cell r="AQ381" t="str">
            <v>70230120000GBP</v>
          </cell>
          <cell r="AR381" t="str">
            <v>Salaries, allowances &amp; bonuses</v>
          </cell>
          <cell r="AS381" t="str">
            <v>in forecast detail</v>
          </cell>
        </row>
        <row r="382">
          <cell r="AQ382" t="str">
            <v>70330120000GBP</v>
          </cell>
          <cell r="AR382" t="str">
            <v>Salaries, allowances &amp; bonuses</v>
          </cell>
          <cell r="AS382" t="str">
            <v>in forecast detail</v>
          </cell>
        </row>
        <row r="383">
          <cell r="AQ383" t="str">
            <v>14013000113800GBP</v>
          </cell>
          <cell r="AR383" t="str">
            <v>Non-passenger revenue</v>
          </cell>
          <cell r="AS383" t="str">
            <v>in forecast detail</v>
          </cell>
        </row>
        <row r="384">
          <cell r="AQ384" t="str">
            <v>70336100500GBP</v>
          </cell>
          <cell r="AR384" t="str">
            <v>Professional fees</v>
          </cell>
          <cell r="AS384" t="str">
            <v>in forecast detail</v>
          </cell>
        </row>
        <row r="385">
          <cell r="AQ385" t="str">
            <v>70036000200GBP</v>
          </cell>
          <cell r="AR385" t="str">
            <v>Insurance</v>
          </cell>
          <cell r="AS385" t="str">
            <v>in forecast detail</v>
          </cell>
        </row>
        <row r="386">
          <cell r="AQ386" t="str">
            <v>70036001200EUR</v>
          </cell>
          <cell r="AR386" t="str">
            <v>Insurance</v>
          </cell>
          <cell r="AS386" t="str">
            <v>in forecast detail</v>
          </cell>
        </row>
        <row r="387">
          <cell r="AQ387" t="str">
            <v>70236200600GBP</v>
          </cell>
          <cell r="AR387" t="str">
            <v>Travel and entertainment</v>
          </cell>
          <cell r="AS387" t="str">
            <v>in forecast detail</v>
          </cell>
        </row>
        <row r="388">
          <cell r="AQ388" t="str">
            <v>70330700700GBP</v>
          </cell>
          <cell r="AR388" t="str">
            <v>Other staff costs</v>
          </cell>
          <cell r="AS388" t="str">
            <v>in forecast detail</v>
          </cell>
        </row>
        <row r="389">
          <cell r="AQ389" t="str">
            <v>70549900700EUR</v>
          </cell>
          <cell r="AR389" t="str">
            <v>Other Finance costs</v>
          </cell>
          <cell r="AS389" t="str">
            <v>in forecast detail</v>
          </cell>
        </row>
        <row r="390">
          <cell r="AQ390" t="str">
            <v>70430120000GBP</v>
          </cell>
          <cell r="AR390" t="str">
            <v>Salaries, allowances &amp; bonuses</v>
          </cell>
          <cell r="AS390" t="str">
            <v>in forecast detail</v>
          </cell>
        </row>
        <row r="391">
          <cell r="AQ391" t="str">
            <v>70036001000EUR</v>
          </cell>
          <cell r="AR391" t="str">
            <v>Insurance</v>
          </cell>
          <cell r="AS391" t="str">
            <v>in forecast detail</v>
          </cell>
        </row>
        <row r="392">
          <cell r="AQ392" t="str">
            <v>70036001100GBP</v>
          </cell>
          <cell r="AR392" t="str">
            <v>Insurance</v>
          </cell>
          <cell r="AS392" t="str">
            <v>in forecast detail</v>
          </cell>
        </row>
        <row r="393">
          <cell r="AQ393" t="str">
            <v>70036001200GBP</v>
          </cell>
          <cell r="AR393" t="str">
            <v>Insurance</v>
          </cell>
          <cell r="AS393" t="str">
            <v>in forecast detail</v>
          </cell>
        </row>
        <row r="394">
          <cell r="AQ394" t="str">
            <v>70036001300GBP</v>
          </cell>
          <cell r="AR394" t="str">
            <v>Insurance</v>
          </cell>
          <cell r="AS394" t="str">
            <v>in forecast detail</v>
          </cell>
        </row>
        <row r="395">
          <cell r="AQ395" t="str">
            <v>7003611060E&amp;YGBP</v>
          </cell>
          <cell r="AR395" t="str">
            <v>Professional fees</v>
          </cell>
          <cell r="AS395" t="str">
            <v>in forecast detail</v>
          </cell>
        </row>
        <row r="396">
          <cell r="AQ396" t="str">
            <v>70336100613820EUR</v>
          </cell>
          <cell r="AR396" t="str">
            <v>Professional fees</v>
          </cell>
          <cell r="AS396" t="str">
            <v>in forecast detail</v>
          </cell>
        </row>
        <row r="397">
          <cell r="AQ397" t="str">
            <v>70036001000GBP</v>
          </cell>
          <cell r="AR397" t="str">
            <v>Insurance</v>
          </cell>
          <cell r="AS397" t="str">
            <v>in forecast detail</v>
          </cell>
        </row>
        <row r="398">
          <cell r="AQ398" t="str">
            <v>7033610061382SNCBEUR</v>
          </cell>
          <cell r="AR398" t="str">
            <v>Professional fees</v>
          </cell>
          <cell r="AS398" t="str">
            <v>in forecast detail</v>
          </cell>
        </row>
        <row r="399">
          <cell r="AQ399" t="str">
            <v>70430100300EUR</v>
          </cell>
          <cell r="AR399" t="str">
            <v>Salaries, allowances &amp; bonuses</v>
          </cell>
          <cell r="AS399" t="str">
            <v>in forecast detail</v>
          </cell>
        </row>
        <row r="400">
          <cell r="AQ400" t="str">
            <v>70036001100EUR</v>
          </cell>
          <cell r="AR400" t="str">
            <v>Insurance</v>
          </cell>
          <cell r="AS400" t="str">
            <v>in forecast detail</v>
          </cell>
        </row>
        <row r="401">
          <cell r="AQ401" t="str">
            <v>70036110600GBP</v>
          </cell>
          <cell r="AR401" t="str">
            <v>Professional fees</v>
          </cell>
          <cell r="AS401" t="str">
            <v>in forecast detail</v>
          </cell>
        </row>
        <row r="402">
          <cell r="AQ402" t="str">
            <v>70038200100USD</v>
          </cell>
          <cell r="AR402" t="str">
            <v>Foreign exchange gains/(losses) - operating costs</v>
          </cell>
          <cell r="AS402" t="str">
            <v>in forecast detail</v>
          </cell>
        </row>
        <row r="403">
          <cell r="AQ403" t="str">
            <v>70336200100EUR</v>
          </cell>
          <cell r="AR403" t="str">
            <v>Travel and entertainment</v>
          </cell>
          <cell r="AS403" t="str">
            <v>in forecast detail</v>
          </cell>
        </row>
        <row r="404">
          <cell r="AQ404" t="str">
            <v>70336200200EUR</v>
          </cell>
          <cell r="AR404" t="str">
            <v>Travel and entertainment</v>
          </cell>
          <cell r="AS404" t="str">
            <v>in forecast detail</v>
          </cell>
        </row>
        <row r="405">
          <cell r="AQ405" t="str">
            <v>70530100100GBP</v>
          </cell>
          <cell r="AR405" t="str">
            <v>Salaries, allowances &amp; bonuses</v>
          </cell>
          <cell r="AS405" t="str">
            <v>in forecast detail</v>
          </cell>
        </row>
        <row r="406">
          <cell r="AQ406" t="str">
            <v>70036001300EUR</v>
          </cell>
          <cell r="AR406" t="str">
            <v>Insurance</v>
          </cell>
          <cell r="AS406" t="str">
            <v>in forecast detail</v>
          </cell>
        </row>
        <row r="407">
          <cell r="AQ407" t="str">
            <v>7013550010HS1GBP</v>
          </cell>
          <cell r="AR407" t="str">
            <v>Rent, rates &amp; service charge</v>
          </cell>
          <cell r="AS407" t="str">
            <v>in forecast detail</v>
          </cell>
        </row>
        <row r="408">
          <cell r="AQ408" t="str">
            <v>70135510010340GBP</v>
          </cell>
          <cell r="AR408" t="str">
            <v>Rent, rates &amp; service charge</v>
          </cell>
          <cell r="AS408" t="str">
            <v>in forecast detail</v>
          </cell>
        </row>
        <row r="409">
          <cell r="AQ409" t="str">
            <v>70135510010280GBP</v>
          </cell>
          <cell r="AR409" t="str">
            <v>Rent, rates &amp; service charge</v>
          </cell>
          <cell r="AS409" t="str">
            <v>in forecast detail</v>
          </cell>
        </row>
        <row r="410">
          <cell r="AQ410" t="str">
            <v>70135510010270GBP</v>
          </cell>
          <cell r="AR410" t="str">
            <v>Rent, rates &amp; service charge</v>
          </cell>
          <cell r="AS410" t="str">
            <v>in forecast detail</v>
          </cell>
        </row>
        <row r="411">
          <cell r="AQ411" t="str">
            <v>90141000100EUR</v>
          </cell>
          <cell r="AR411" t="str">
            <v>Interest received</v>
          </cell>
          <cell r="AS411" t="str">
            <v>in forecast detail</v>
          </cell>
        </row>
        <row r="412">
          <cell r="AQ412" t="str">
            <v>90141000100GBP</v>
          </cell>
          <cell r="AR412" t="str">
            <v>Interest received</v>
          </cell>
          <cell r="AS412" t="str">
            <v>in forecast detail</v>
          </cell>
        </row>
        <row r="413">
          <cell r="AQ413" t="str">
            <v>90141000100USD</v>
          </cell>
          <cell r="AR413" t="str">
            <v>Interest received</v>
          </cell>
          <cell r="AS413" t="str">
            <v>in forecast detail</v>
          </cell>
        </row>
        <row r="414">
          <cell r="AQ414" t="str">
            <v>90141000200GBP</v>
          </cell>
          <cell r="AR414" t="str">
            <v>Interest received</v>
          </cell>
          <cell r="AS414" t="str">
            <v>in forecast detail</v>
          </cell>
        </row>
        <row r="415">
          <cell r="AQ415" t="str">
            <v>90141400200GBP</v>
          </cell>
          <cell r="AR415" t="str">
            <v>Other Finance costs</v>
          </cell>
          <cell r="AS415" t="str">
            <v>in forecast detail</v>
          </cell>
        </row>
        <row r="416">
          <cell r="AQ416" t="str">
            <v>9014140020E15GBP</v>
          </cell>
          <cell r="AR416" t="str">
            <v>Other Finance costs</v>
          </cell>
          <cell r="AS416" t="str">
            <v>in forecast detail</v>
          </cell>
        </row>
        <row r="417">
          <cell r="AQ417" t="str">
            <v>90141200200GBP</v>
          </cell>
          <cell r="AR417" t="str">
            <v>Interest paid</v>
          </cell>
          <cell r="AS417" t="str">
            <v>in forecast detail</v>
          </cell>
        </row>
        <row r="418">
          <cell r="AQ418" t="str">
            <v>9014120020E15GBP</v>
          </cell>
          <cell r="AR418" t="str">
            <v>Interest paid</v>
          </cell>
          <cell r="AS418" t="str">
            <v>in forecast detail</v>
          </cell>
        </row>
        <row r="419">
          <cell r="AQ419" t="str">
            <v>90141300100GBP</v>
          </cell>
          <cell r="AR419" t="str">
            <v>Finance fees &amp; charges</v>
          </cell>
          <cell r="AS419" t="str">
            <v>in forecast detail</v>
          </cell>
        </row>
        <row r="420">
          <cell r="AQ420" t="str">
            <v>90141300100EUR</v>
          </cell>
          <cell r="AR420" t="str">
            <v>Finance fees &amp; charges</v>
          </cell>
          <cell r="AS420" t="str">
            <v>in forecast detail</v>
          </cell>
        </row>
        <row r="421">
          <cell r="AQ421" t="str">
            <v>90141300200GBP</v>
          </cell>
          <cell r="AR421" t="str">
            <v>Finance fees &amp; charges</v>
          </cell>
          <cell r="AS421" t="str">
            <v>in forecast detail</v>
          </cell>
        </row>
        <row r="422">
          <cell r="AQ422" t="str">
            <v>90141200100GBP</v>
          </cell>
          <cell r="AR422" t="str">
            <v>Interest paid</v>
          </cell>
          <cell r="AS422" t="str">
            <v>in forecast detail</v>
          </cell>
        </row>
        <row r="423">
          <cell r="AQ423" t="str">
            <v>90141200100EUR</v>
          </cell>
          <cell r="AR423" t="str">
            <v>Interest paid</v>
          </cell>
          <cell r="AS423" t="str">
            <v>in forecast detail</v>
          </cell>
        </row>
        <row r="424">
          <cell r="AQ424" t="str">
            <v>90138200100GBP</v>
          </cell>
          <cell r="AR424" t="str">
            <v>Foreign exchange gains/(losses) - operating costs</v>
          </cell>
          <cell r="AS424" t="str">
            <v>in forecast detail</v>
          </cell>
        </row>
        <row r="425">
          <cell r="AQ425" t="str">
            <v>90242000300EUR</v>
          </cell>
          <cell r="AR425" t="str">
            <v>Corporation tax - current</v>
          </cell>
          <cell r="AS425" t="str">
            <v>in forecast detail</v>
          </cell>
        </row>
        <row r="426">
          <cell r="AQ426" t="str">
            <v>90242000500EUR</v>
          </cell>
          <cell r="AR426" t="str">
            <v>Corporation tax - current</v>
          </cell>
          <cell r="AS426" t="str">
            <v>in forecast detail</v>
          </cell>
        </row>
        <row r="427">
          <cell r="AQ427" t="str">
            <v>90242010100GBP</v>
          </cell>
          <cell r="AR427" t="str">
            <v>Corporation tax - deferred</v>
          </cell>
          <cell r="AS427" t="str">
            <v>in forecast detail</v>
          </cell>
        </row>
        <row r="428">
          <cell r="AQ428" t="str">
            <v>90040300500GBP</v>
          </cell>
          <cell r="AR428" t="str">
            <v>Impairment</v>
          </cell>
          <cell r="AS428" t="str">
            <v>in forecast detail</v>
          </cell>
        </row>
        <row r="429">
          <cell r="AQ429" t="str">
            <v>90040100300GBP</v>
          </cell>
          <cell r="AR429" t="str">
            <v>Depreciation</v>
          </cell>
          <cell r="AS429" t="str">
            <v>in forecast detail</v>
          </cell>
        </row>
        <row r="430">
          <cell r="AQ430" t="str">
            <v>90040100100GBP</v>
          </cell>
          <cell r="AR430" t="str">
            <v>Depreciation</v>
          </cell>
          <cell r="AS430" t="str">
            <v>in forecast detail</v>
          </cell>
        </row>
        <row r="431">
          <cell r="AQ431" t="str">
            <v>90040100500GBP</v>
          </cell>
          <cell r="AR431" t="str">
            <v>Depreciation</v>
          </cell>
          <cell r="AS431" t="str">
            <v>in forecast detail</v>
          </cell>
        </row>
        <row r="432">
          <cell r="AQ432" t="str">
            <v>90040100400GBP</v>
          </cell>
          <cell r="AR432" t="str">
            <v>Depreciation</v>
          </cell>
          <cell r="AS432" t="str">
            <v>in forecast detail</v>
          </cell>
        </row>
        <row r="433">
          <cell r="AQ433" t="str">
            <v>90040200100GBP</v>
          </cell>
          <cell r="AR433" t="str">
            <v>Amortisation</v>
          </cell>
          <cell r="AS433" t="str">
            <v>in forecast detail</v>
          </cell>
        </row>
        <row r="434">
          <cell r="AQ434" t="str">
            <v>90343000100GBP</v>
          </cell>
          <cell r="AR434" t="str">
            <v>Dividends paid</v>
          </cell>
          <cell r="AS434" t="str">
            <v>in forecast detail</v>
          </cell>
        </row>
        <row r="435">
          <cell r="AQ435" t="str">
            <v>90141200300GBP</v>
          </cell>
          <cell r="AR435" t="str">
            <v>Interest paid</v>
          </cell>
          <cell r="AS435" t="str">
            <v>in forecast detail</v>
          </cell>
        </row>
        <row r="436">
          <cell r="AQ436" t="str">
            <v>90141400300GBP</v>
          </cell>
          <cell r="AR436" t="str">
            <v>Other Finance costs</v>
          </cell>
          <cell r="AS436" t="str">
            <v>in forecast detail</v>
          </cell>
        </row>
        <row r="437">
          <cell r="AQ437" t="str">
            <v>90138200100EUR</v>
          </cell>
          <cell r="AR437" t="str">
            <v>Foreign exchange gains/(losses) - operating costs</v>
          </cell>
          <cell r="AS437" t="str">
            <v>in forecast detail</v>
          </cell>
        </row>
        <row r="438">
          <cell r="AQ438" t="str">
            <v>90138200100USD</v>
          </cell>
          <cell r="AR438" t="str">
            <v>Foreign exchange gains/(losses) - operating costs</v>
          </cell>
          <cell r="AS438" t="str">
            <v>in forecast detail</v>
          </cell>
        </row>
        <row r="439">
          <cell r="AQ439" t="str">
            <v>90141200100USD</v>
          </cell>
          <cell r="AR439" t="str">
            <v>Interest paid</v>
          </cell>
          <cell r="AS439" t="str">
            <v>in forecast detail</v>
          </cell>
        </row>
        <row r="440">
          <cell r="AQ440" t="str">
            <v>90141300200EUR</v>
          </cell>
          <cell r="AR440" t="str">
            <v>Finance fees &amp; charges</v>
          </cell>
          <cell r="AS440" t="str">
            <v>in forecast detail</v>
          </cell>
        </row>
        <row r="441">
          <cell r="AQ441" t="str">
            <v>9034300010GLI01GBP</v>
          </cell>
          <cell r="AR441" t="str">
            <v>Dividends paid</v>
          </cell>
          <cell r="AS441" t="str">
            <v>in forecast detail</v>
          </cell>
        </row>
        <row r="442">
          <cell r="AQ442" t="str">
            <v>9034300010LCRGBP</v>
          </cell>
          <cell r="AR442" t="str">
            <v>Dividends paid</v>
          </cell>
          <cell r="AS442" t="str">
            <v>in forecast detail</v>
          </cell>
        </row>
        <row r="443">
          <cell r="AQ443" t="str">
            <v>9034300010SNCBEUR</v>
          </cell>
          <cell r="AR443" t="str">
            <v>Dividends paid</v>
          </cell>
          <cell r="AS443" t="str">
            <v>in forecast detail</v>
          </cell>
        </row>
        <row r="444">
          <cell r="AQ444" t="str">
            <v>90141100100GBP</v>
          </cell>
          <cell r="AR444" t="str">
            <v>Other Finance costs</v>
          </cell>
          <cell r="AS444" t="str">
            <v>in forecast detail</v>
          </cell>
        </row>
        <row r="445">
          <cell r="AQ445" t="str">
            <v>90141300100USD</v>
          </cell>
          <cell r="AR445" t="str">
            <v>Finance fees &amp; charges</v>
          </cell>
          <cell r="AS445" t="str">
            <v>in forecast detail</v>
          </cell>
        </row>
        <row r="446">
          <cell r="AQ446" t="str">
            <v>90242000600EUR</v>
          </cell>
          <cell r="AR446" t="str">
            <v>Corporation tax - current</v>
          </cell>
          <cell r="AS446" t="str">
            <v>in forecast detail</v>
          </cell>
        </row>
        <row r="447">
          <cell r="AQ447" t="str">
            <v>90242000300GBP</v>
          </cell>
          <cell r="AR447" t="str">
            <v>Corporation tax - current</v>
          </cell>
          <cell r="AS447" t="str">
            <v>in forecast detail</v>
          </cell>
        </row>
        <row r="448">
          <cell r="AQ448" t="str">
            <v>90242000500GBP</v>
          </cell>
          <cell r="AR448" t="str">
            <v>Corporation tax - current</v>
          </cell>
          <cell r="AS448" t="str">
            <v>in forecast detail</v>
          </cell>
        </row>
        <row r="449">
          <cell r="AQ449" t="str">
            <v>90040300100GBP</v>
          </cell>
          <cell r="AR449" t="str">
            <v>Impairment</v>
          </cell>
          <cell r="AS449" t="str">
            <v>in forecast detail</v>
          </cell>
        </row>
        <row r="450">
          <cell r="AQ450" t="str">
            <v>90040300800GBP</v>
          </cell>
          <cell r="AR450" t="str">
            <v>Impairment</v>
          </cell>
          <cell r="AS450" t="str">
            <v>in forecast detail</v>
          </cell>
        </row>
        <row r="451">
          <cell r="AQ451" t="str">
            <v>90040300800EUR</v>
          </cell>
          <cell r="AR451" t="str">
            <v>Impairment</v>
          </cell>
          <cell r="AS451" t="str">
            <v>in forecast detail</v>
          </cell>
        </row>
        <row r="452">
          <cell r="AQ452" t="str">
            <v>90242000100GBP</v>
          </cell>
          <cell r="AR452" t="str">
            <v>Corporation tax - current</v>
          </cell>
          <cell r="AS452" t="str">
            <v>in forecast detail</v>
          </cell>
        </row>
        <row r="453">
          <cell r="AQ453" t="str">
            <v>90242000200GBP</v>
          </cell>
          <cell r="AR453" t="str">
            <v>Corporation tax - current</v>
          </cell>
          <cell r="AS453" t="str">
            <v>in forecast detail</v>
          </cell>
        </row>
        <row r="454">
          <cell r="AQ454" t="str">
            <v>90040100100EUR</v>
          </cell>
          <cell r="AR454" t="str">
            <v>Depreciation</v>
          </cell>
          <cell r="AS454" t="str">
            <v>in forecast detail</v>
          </cell>
        </row>
        <row r="455">
          <cell r="AQ455" t="str">
            <v>90343000100EUR</v>
          </cell>
          <cell r="AR455" t="str">
            <v>Dividends paid</v>
          </cell>
          <cell r="AS455" t="str">
            <v>in forecast detail</v>
          </cell>
        </row>
        <row r="456">
          <cell r="AQ456" t="str">
            <v>90141200110160GBP</v>
          </cell>
          <cell r="AR456" t="str">
            <v>Interest paid</v>
          </cell>
          <cell r="AS456" t="str">
            <v>in forecast detail</v>
          </cell>
        </row>
        <row r="457">
          <cell r="AQ457" t="str">
            <v>90141200110160EUR</v>
          </cell>
          <cell r="AR457" t="str">
            <v>Interest paid</v>
          </cell>
          <cell r="AS457" t="str">
            <v>in forecast detail</v>
          </cell>
        </row>
        <row r="458">
          <cell r="AQ458" t="str">
            <v>90141300311020GBP</v>
          </cell>
          <cell r="AR458" t="str">
            <v>Finance fees &amp; charges</v>
          </cell>
          <cell r="AS458" t="str">
            <v>in forecast detail</v>
          </cell>
        </row>
        <row r="459">
          <cell r="AQ459" t="str">
            <v>90141300311020EUR</v>
          </cell>
          <cell r="AR459" t="str">
            <v>Finance fees &amp; charges</v>
          </cell>
          <cell r="AS459" t="str">
            <v>in forecast detail</v>
          </cell>
        </row>
        <row r="460">
          <cell r="AQ460" t="str">
            <v>90141110100GBP</v>
          </cell>
          <cell r="AR460" t="str">
            <v>Other Finance costs</v>
          </cell>
          <cell r="AS460" t="str">
            <v>in forecast detail</v>
          </cell>
        </row>
        <row r="461">
          <cell r="AQ461" t="str">
            <v>9014130020CRAGEUR</v>
          </cell>
          <cell r="AR461" t="str">
            <v>Finance fees &amp; charges</v>
          </cell>
          <cell r="AS461" t="str">
            <v>in forecast detail</v>
          </cell>
        </row>
        <row r="462">
          <cell r="AQ462" t="str">
            <v>9034300010SNCBGBP</v>
          </cell>
          <cell r="AR462" t="str">
            <v>Dividends paid</v>
          </cell>
          <cell r="AS462" t="str">
            <v>in forecast detail</v>
          </cell>
        </row>
        <row r="463">
          <cell r="AQ463" t="str">
            <v>9014130010EISPRLEUR</v>
          </cell>
          <cell r="AR463" t="str">
            <v>Finance fees &amp; charges</v>
          </cell>
          <cell r="AS463" t="str">
            <v>in forecast detail</v>
          </cell>
        </row>
        <row r="464">
          <cell r="AQ464" t="str">
            <v>90141400100GBP</v>
          </cell>
          <cell r="AR464" t="str">
            <v>Other Finance costs</v>
          </cell>
          <cell r="AS464" t="str">
            <v>in forecast detail</v>
          </cell>
        </row>
        <row r="465">
          <cell r="AQ465" t="str">
            <v>14013000110100GBP</v>
          </cell>
          <cell r="AR465" t="str">
            <v>Non-passenger revenue</v>
          </cell>
          <cell r="AS465" t="str">
            <v>in forecast detail</v>
          </cell>
        </row>
        <row r="466">
          <cell r="AQ466" t="str">
            <v>7013550011010HS1GBP</v>
          </cell>
          <cell r="AR466" t="str">
            <v>Rent, rates &amp; service charge</v>
          </cell>
          <cell r="AS466" t="str">
            <v>in forecast detail</v>
          </cell>
        </row>
        <row r="467">
          <cell r="AQ467" t="str">
            <v>70135510010100GBP</v>
          </cell>
          <cell r="AR467" t="str">
            <v>Rent, rates &amp; service charge</v>
          </cell>
          <cell r="AS467" t="str">
            <v>in forecast detail</v>
          </cell>
        </row>
        <row r="468">
          <cell r="AQ468" t="str">
            <v>70135500110260GBP</v>
          </cell>
          <cell r="AR468" t="str">
            <v>Rent, rates &amp; service charge</v>
          </cell>
          <cell r="AS468" t="str">
            <v>in forecast detail</v>
          </cell>
        </row>
        <row r="469">
          <cell r="AQ469" t="str">
            <v>70135520010260GBP</v>
          </cell>
          <cell r="AR469" t="str">
            <v>Rent, rates &amp; service charge</v>
          </cell>
          <cell r="AS469" t="str">
            <v>in forecast detail</v>
          </cell>
        </row>
        <row r="470">
          <cell r="AQ470" t="str">
            <v>70036130000GBP</v>
          </cell>
          <cell r="AR470" t="str">
            <v>Professional fees</v>
          </cell>
          <cell r="AS470" t="str">
            <v>in forecast detail</v>
          </cell>
        </row>
        <row r="471">
          <cell r="AQ471" t="str">
            <v>70336120000GBP</v>
          </cell>
          <cell r="AR471" t="str">
            <v>Professional fees</v>
          </cell>
          <cell r="AS471" t="str">
            <v>in forecast detail</v>
          </cell>
        </row>
        <row r="472">
          <cell r="AQ472" t="str">
            <v>9014120010E15GBP</v>
          </cell>
          <cell r="AR472" t="str">
            <v>Interest paid</v>
          </cell>
          <cell r="AS472" t="str">
            <v>in forecast detail</v>
          </cell>
        </row>
        <row r="473">
          <cell r="AQ473" t="str">
            <v>9014120010E15EUR</v>
          </cell>
          <cell r="AR473" t="str">
            <v>Interest paid</v>
          </cell>
          <cell r="AS473" t="str">
            <v>in forecast detail</v>
          </cell>
        </row>
        <row r="474">
          <cell r="AQ474" t="str">
            <v>7023070080SIEMEUR</v>
          </cell>
          <cell r="AR474" t="str">
            <v>Other staff costs</v>
          </cell>
          <cell r="AS474" t="str">
            <v>in forecast detail</v>
          </cell>
        </row>
        <row r="475">
          <cell r="AQ475" t="str">
            <v>70431830000GBP</v>
          </cell>
          <cell r="AR475" t="str">
            <v>Compensation / Disruption</v>
          </cell>
          <cell r="AS475" t="str">
            <v>in forecast detail</v>
          </cell>
        </row>
        <row r="476">
          <cell r="AQ476" t="str">
            <v>90141400340100GBP</v>
          </cell>
          <cell r="AR476" t="str">
            <v>Other Finance costs</v>
          </cell>
          <cell r="AS476" t="str">
            <v>in forecast detail</v>
          </cell>
        </row>
        <row r="477">
          <cell r="AQ477" t="str">
            <v>90141110140090GBP</v>
          </cell>
          <cell r="AR477" t="str">
            <v>Other Finance costs</v>
          </cell>
          <cell r="AS477" t="str">
            <v>in forecast detail</v>
          </cell>
        </row>
        <row r="478">
          <cell r="AQ478" t="str">
            <v>90242010140060GBP</v>
          </cell>
          <cell r="AR478" t="str">
            <v>Corporation tax - deferred</v>
          </cell>
          <cell r="AS478" t="str">
            <v>in forecast detail</v>
          </cell>
        </row>
        <row r="479">
          <cell r="AQ479" t="str">
            <v>90242010140070GBP</v>
          </cell>
          <cell r="AR479" t="str">
            <v>Corporation tax - deferred</v>
          </cell>
          <cell r="AS479" t="str">
            <v>in forecast detail</v>
          </cell>
        </row>
        <row r="480">
          <cell r="AQ480" t="str">
            <v>90242010140090GBP</v>
          </cell>
          <cell r="AR480" t="str">
            <v>Corporation tax - deferred</v>
          </cell>
          <cell r="AS480" t="str">
            <v>in forecast detail</v>
          </cell>
        </row>
        <row r="481">
          <cell r="AQ481" t="str">
            <v>90242010140110GBP</v>
          </cell>
          <cell r="AR481" t="str">
            <v>Corporation tax - deferred</v>
          </cell>
          <cell r="AS481" t="str">
            <v>in forecast detail</v>
          </cell>
        </row>
        <row r="482">
          <cell r="AQ482" t="str">
            <v>90242010140120GBP</v>
          </cell>
          <cell r="AR482" t="str">
            <v>Corporation tax - deferred</v>
          </cell>
          <cell r="AS482" t="str">
            <v>in forecast detail</v>
          </cell>
        </row>
        <row r="483">
          <cell r="AQ483" t="str">
            <v>90242010140150GBP</v>
          </cell>
          <cell r="AR483" t="str">
            <v>Corporation tax - deferred</v>
          </cell>
          <cell r="AS483" t="str">
            <v>in forecast detail</v>
          </cell>
        </row>
        <row r="484">
          <cell r="AQ484" t="str">
            <v>90242010140190GBP</v>
          </cell>
          <cell r="AR484" t="str">
            <v>Corporation tax - deferred</v>
          </cell>
          <cell r="AS484" t="str">
            <v>in forecast detail</v>
          </cell>
        </row>
        <row r="485">
          <cell r="AQ485" t="str">
            <v>90242010240100GBP</v>
          </cell>
          <cell r="AR485" t="str">
            <v>Corporation tax - deferred</v>
          </cell>
          <cell r="AS485" t="str">
            <v>in forecast detail</v>
          </cell>
        </row>
        <row r="486">
          <cell r="AQ486" t="str">
            <v>90242010240110GBP</v>
          </cell>
          <cell r="AR486" t="str">
            <v>Corporation tax - deferred</v>
          </cell>
          <cell r="AS486" t="str">
            <v>in forecast detail</v>
          </cell>
        </row>
        <row r="487">
          <cell r="AQ487" t="str">
            <v>70330100300EUR</v>
          </cell>
          <cell r="AR487" t="str">
            <v>Salaries, allowances &amp; bonuses</v>
          </cell>
          <cell r="AS487" t="str">
            <v>in forecast detail</v>
          </cell>
        </row>
        <row r="488">
          <cell r="AQ488" t="str">
            <v>70330200300EUR</v>
          </cell>
          <cell r="AR488" t="str">
            <v>Social charges</v>
          </cell>
          <cell r="AS488" t="str">
            <v>in forecast detail</v>
          </cell>
        </row>
        <row r="489">
          <cell r="AQ489" t="str">
            <v>70336200400EUR</v>
          </cell>
          <cell r="AR489" t="str">
            <v>Travel and entertainment</v>
          </cell>
          <cell r="AS489" t="str">
            <v>in forecast detail</v>
          </cell>
        </row>
        <row r="490">
          <cell r="AQ490" t="str">
            <v>90141110140090EUR</v>
          </cell>
          <cell r="AR490" t="str">
            <v>Other Finance costs</v>
          </cell>
          <cell r="AS490" t="str">
            <v>in forecast detail</v>
          </cell>
        </row>
        <row r="491">
          <cell r="AQ491" t="str">
            <v>70530720300GBP</v>
          </cell>
          <cell r="AR491" t="str">
            <v>Other staff costs</v>
          </cell>
          <cell r="AS491" t="str">
            <v>in forecast detail</v>
          </cell>
        </row>
        <row r="492">
          <cell r="AQ492" t="str">
            <v>90242010200GBP</v>
          </cell>
          <cell r="AR492" t="str">
            <v>Corporation tax - deferred</v>
          </cell>
          <cell r="AS492" t="str">
            <v>in forecast detail</v>
          </cell>
        </row>
        <row r="493">
          <cell r="AQ493" t="str">
            <v>70330100300GBP</v>
          </cell>
          <cell r="AR493" t="str">
            <v>Salaries, allowances &amp; bonuses</v>
          </cell>
          <cell r="AS493" t="str">
            <v>in forecast detail</v>
          </cell>
        </row>
        <row r="494">
          <cell r="AQ494" t="str">
            <v>70330200300GBP</v>
          </cell>
          <cell r="AR494" t="str">
            <v>Social charges</v>
          </cell>
          <cell r="AS494" t="str">
            <v>in forecast detail</v>
          </cell>
        </row>
        <row r="495">
          <cell r="AQ495" t="str">
            <v>7043041010EISASEUR</v>
          </cell>
          <cell r="AR495" t="str">
            <v>Secondee costs</v>
          </cell>
          <cell r="AS495" t="str">
            <v>in forecast detail</v>
          </cell>
        </row>
        <row r="496">
          <cell r="AQ496" t="str">
            <v>7043041020EISPRLEUR</v>
          </cell>
          <cell r="AR496" t="str">
            <v>Secondee costs</v>
          </cell>
          <cell r="AS496" t="str">
            <v>in forecast detail</v>
          </cell>
        </row>
        <row r="497">
          <cell r="AQ497" t="str">
            <v>7043041020SNCBEUR</v>
          </cell>
          <cell r="AR497" t="str">
            <v>Secondee costs</v>
          </cell>
          <cell r="AS497" t="str">
            <v>in forecast detail</v>
          </cell>
        </row>
        <row r="498">
          <cell r="AQ498" t="str">
            <v>7043043010EISASEUR</v>
          </cell>
          <cell r="AR498" t="str">
            <v>Secondee costs</v>
          </cell>
          <cell r="AS498" t="str">
            <v>in forecast detail</v>
          </cell>
        </row>
        <row r="499">
          <cell r="AQ499" t="str">
            <v>7043043020EISPRLEUR</v>
          </cell>
          <cell r="AR499" t="str">
            <v>Secondee costs</v>
          </cell>
          <cell r="AS499" t="str">
            <v>in forecast detail</v>
          </cell>
        </row>
        <row r="500">
          <cell r="AQ500" t="str">
            <v>7043043020SNCBEUR</v>
          </cell>
          <cell r="AR500" t="str">
            <v>Secondee costs</v>
          </cell>
          <cell r="AS500" t="str">
            <v>in forecast detail</v>
          </cell>
        </row>
        <row r="501">
          <cell r="AQ501" t="str">
            <v>70436200300EUR</v>
          </cell>
          <cell r="AR501" t="str">
            <v>Travel and entertainment</v>
          </cell>
          <cell r="AS501" t="str">
            <v>in forecast detail</v>
          </cell>
        </row>
        <row r="502">
          <cell r="AQ502" t="str">
            <v>70034230014030GBP</v>
          </cell>
          <cell r="AR502" t="str">
            <v>Systems costs</v>
          </cell>
          <cell r="AS502" t="str">
            <v>in forecast detail</v>
          </cell>
        </row>
        <row r="503">
          <cell r="AQ503" t="str">
            <v>70336200300EUR</v>
          </cell>
          <cell r="AR503" t="str">
            <v>Travel and entertainment</v>
          </cell>
          <cell r="AS503" t="str">
            <v>in forecast detail</v>
          </cell>
        </row>
        <row r="504">
          <cell r="AQ504" t="str">
            <v>7003600120E51EUR</v>
          </cell>
          <cell r="AR504" t="str">
            <v>Insurance</v>
          </cell>
          <cell r="AS504" t="str">
            <v>in forecast detail</v>
          </cell>
        </row>
        <row r="505">
          <cell r="AQ505" t="str">
            <v>70235840000GBP</v>
          </cell>
          <cell r="AR505" t="str">
            <v>Property repairs &amp; maintenance</v>
          </cell>
          <cell r="AS505" t="str">
            <v>in forecast detail</v>
          </cell>
        </row>
        <row r="506">
          <cell r="AQ506" t="str">
            <v>7053810030EISPRLEUR</v>
          </cell>
          <cell r="AR506" t="str">
            <v>Operational taxes</v>
          </cell>
          <cell r="AS506" t="str">
            <v>in forecast detail</v>
          </cell>
        </row>
        <row r="507">
          <cell r="AQ507" t="str">
            <v>90242010140100GBP</v>
          </cell>
          <cell r="AR507" t="str">
            <v>Corporation tax - deferred</v>
          </cell>
          <cell r="AS507" t="str">
            <v>in forecast detail</v>
          </cell>
        </row>
        <row r="508">
          <cell r="AQ508" t="str">
            <v>70230720000EUR</v>
          </cell>
          <cell r="AR508" t="str">
            <v>Other staff costs</v>
          </cell>
          <cell r="AS508" t="str">
            <v>in forecast detail</v>
          </cell>
        </row>
        <row r="509">
          <cell r="AQ509" t="str">
            <v>70236200400GBP</v>
          </cell>
          <cell r="AR509" t="str">
            <v>Travel and entertainment</v>
          </cell>
          <cell r="AS509" t="str">
            <v>in forecast detail</v>
          </cell>
        </row>
        <row r="510">
          <cell r="AQ510" t="str">
            <v>70431530112220EUR</v>
          </cell>
          <cell r="AR510" t="str">
            <v>Marketing - other</v>
          </cell>
          <cell r="AS510" t="str">
            <v>in forecast detail</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D1">
            <v>110001</v>
          </cell>
          <cell r="E1" t="str">
            <v>Travelled revenue</v>
          </cell>
          <cell r="F1" t="str">
            <v>Revenue</v>
          </cell>
          <cell r="G1" t="str">
            <v>Travelled revenue</v>
          </cell>
          <cell r="H1" t="str">
            <v>Travelled revenue</v>
          </cell>
          <cell r="L1" t="str">
            <v>E12</v>
          </cell>
          <cell r="M1" t="str">
            <v>SNCF Gares &amp; Connexions</v>
          </cell>
        </row>
        <row r="2">
          <cell r="D2">
            <v>110002</v>
          </cell>
          <cell r="E2" t="str">
            <v>Non-tunnel travelled revenue</v>
          </cell>
          <cell r="F2" t="str">
            <v>Revenue</v>
          </cell>
          <cell r="G2" t="str">
            <v>Travelled revenue</v>
          </cell>
          <cell r="H2" t="str">
            <v>Travelled revenue</v>
          </cell>
          <cell r="I2">
            <v>0</v>
          </cell>
          <cell r="L2" t="str">
            <v>E15</v>
          </cell>
          <cell r="M2" t="str">
            <v>SNCF Voyages - TGV</v>
          </cell>
          <cell r="Q2">
            <v>1.33</v>
          </cell>
        </row>
        <row r="3">
          <cell r="D3">
            <v>110003</v>
          </cell>
          <cell r="E3" t="str">
            <v>Impulse ticket upgrade revenue</v>
          </cell>
          <cell r="F3" t="str">
            <v>Revenue</v>
          </cell>
          <cell r="G3" t="str">
            <v>Travelled revenue</v>
          </cell>
          <cell r="H3" t="str">
            <v>Travelled revenue</v>
          </cell>
          <cell r="I3">
            <v>0</v>
          </cell>
          <cell r="J3" t="str">
            <v>Default</v>
          </cell>
          <cell r="L3" t="str">
            <v>E17</v>
          </cell>
          <cell r="M3" t="str">
            <v>SNCF Voyages - Europe</v>
          </cell>
        </row>
        <row r="4">
          <cell r="D4">
            <v>110004</v>
          </cell>
          <cell r="E4" t="str">
            <v>Deutsche Bahn product revenue</v>
          </cell>
          <cell r="F4" t="str">
            <v>Revenue</v>
          </cell>
          <cell r="G4" t="str">
            <v>Travelled revenue</v>
          </cell>
          <cell r="H4" t="str">
            <v>Travelled revenue</v>
          </cell>
          <cell r="I4">
            <v>1001</v>
          </cell>
          <cell r="J4" t="str">
            <v>Ashford</v>
          </cell>
          <cell r="L4" t="str">
            <v>E18</v>
          </cell>
          <cell r="M4" t="str">
            <v>SNCF Voyages - Vinsi</v>
          </cell>
        </row>
        <row r="5">
          <cell r="D5">
            <v>110005</v>
          </cell>
          <cell r="E5" t="str">
            <v>Thalys product revenue</v>
          </cell>
          <cell r="F5" t="str">
            <v>Revenue</v>
          </cell>
          <cell r="G5" t="str">
            <v>Travelled revenue</v>
          </cell>
          <cell r="H5" t="str">
            <v>Travelled revenue</v>
          </cell>
          <cell r="I5">
            <v>1002</v>
          </cell>
          <cell r="J5" t="str">
            <v>Avignon</v>
          </cell>
          <cell r="L5" t="str">
            <v>E18-SF</v>
          </cell>
          <cell r="M5" t="str">
            <v>SNCF (Commissions)</v>
          </cell>
          <cell r="N5" t="str">
            <v>SNCF Sales Commissions</v>
          </cell>
        </row>
        <row r="6">
          <cell r="D6">
            <v>110100</v>
          </cell>
          <cell r="E6" t="str">
            <v>EFT revenue recognised</v>
          </cell>
          <cell r="F6" t="str">
            <v>Revenue</v>
          </cell>
          <cell r="G6" t="str">
            <v>Travelled revenue</v>
          </cell>
          <cell r="H6" t="str">
            <v>Travelled revenue</v>
          </cell>
          <cell r="I6">
            <v>1003</v>
          </cell>
          <cell r="J6" t="str">
            <v>Brussels</v>
          </cell>
          <cell r="L6" t="str">
            <v>E18-RE</v>
          </cell>
          <cell r="M6" t="str">
            <v>Rail Europe (Commissions)</v>
          </cell>
          <cell r="N6" t="str">
            <v>Rail Europe Sales Commissions</v>
          </cell>
        </row>
        <row r="7">
          <cell r="D7">
            <v>110101</v>
          </cell>
          <cell r="E7" t="str">
            <v>EPP - voucher redemptions</v>
          </cell>
          <cell r="F7" t="str">
            <v>Revenue</v>
          </cell>
          <cell r="G7" t="str">
            <v>Travelled revenue</v>
          </cell>
          <cell r="H7" t="str">
            <v>Travelled revenue</v>
          </cell>
          <cell r="I7">
            <v>1004</v>
          </cell>
          <cell r="J7" t="str">
            <v>Calais</v>
          </cell>
          <cell r="L7" t="str">
            <v>E23</v>
          </cell>
          <cell r="M7" t="str">
            <v>SNCF Proximités - Intercités</v>
          </cell>
        </row>
        <row r="8">
          <cell r="D8">
            <v>110801</v>
          </cell>
          <cell r="E8" t="str">
            <v>Ticket write-offs</v>
          </cell>
          <cell r="F8" t="str">
            <v>Revenue</v>
          </cell>
          <cell r="G8" t="str">
            <v>Travelled revenue</v>
          </cell>
          <cell r="H8" t="str">
            <v>Travelled revenue</v>
          </cell>
          <cell r="I8">
            <v>1005</v>
          </cell>
          <cell r="J8" t="str">
            <v>Ebbsfleet</v>
          </cell>
          <cell r="L8" t="str">
            <v>E48</v>
          </cell>
          <cell r="M8" t="str">
            <v>SNCF Infra - Central</v>
          </cell>
        </row>
        <row r="9">
          <cell r="D9">
            <v>115001</v>
          </cell>
          <cell r="E9" t="str">
            <v>No shows revenue</v>
          </cell>
          <cell r="F9" t="str">
            <v>Revenue</v>
          </cell>
          <cell r="G9" t="str">
            <v>No shows revenue</v>
          </cell>
          <cell r="H9" t="str">
            <v>No shows revenue</v>
          </cell>
          <cell r="I9">
            <v>1006</v>
          </cell>
          <cell r="J9" t="str">
            <v>MLV</v>
          </cell>
          <cell r="L9" t="str">
            <v>E51</v>
          </cell>
          <cell r="M9" t="str">
            <v>SNCF FC - S&amp;F</v>
          </cell>
        </row>
        <row r="10">
          <cell r="D10">
            <v>120001</v>
          </cell>
          <cell r="E10" t="str">
            <v>On board revenue - FBD</v>
          </cell>
          <cell r="F10" t="str">
            <v>Revenue</v>
          </cell>
          <cell r="G10" t="str">
            <v>On board revenue</v>
          </cell>
          <cell r="H10" t="str">
            <v>On board revenue</v>
          </cell>
          <cell r="I10">
            <v>1007</v>
          </cell>
          <cell r="J10" t="str">
            <v>Paris</v>
          </cell>
          <cell r="L10" t="str">
            <v>E52</v>
          </cell>
          <cell r="M10" t="str">
            <v>SNCF FC - RH</v>
          </cell>
        </row>
        <row r="11">
          <cell r="D11">
            <v>120002</v>
          </cell>
          <cell r="E11" t="str">
            <v>On board revenue - non-FBD</v>
          </cell>
          <cell r="F11" t="str">
            <v>Revenue</v>
          </cell>
          <cell r="G11" t="str">
            <v>On board revenue</v>
          </cell>
          <cell r="H11" t="str">
            <v>On board revenue</v>
          </cell>
          <cell r="I11">
            <v>1008</v>
          </cell>
          <cell r="J11" t="str">
            <v>Ski</v>
          </cell>
          <cell r="L11" t="str">
            <v>E57</v>
          </cell>
          <cell r="M11" t="str">
            <v>SNCF FC - Matériel</v>
          </cell>
        </row>
        <row r="12">
          <cell r="D12">
            <v>121001</v>
          </cell>
          <cell r="E12" t="str">
            <v>Credit card fee revenue</v>
          </cell>
          <cell r="F12" t="str">
            <v>Revenue</v>
          </cell>
          <cell r="G12" t="str">
            <v>Credit card fee revenue</v>
          </cell>
          <cell r="H12" t="str">
            <v>Credit card fee revenue</v>
          </cell>
          <cell r="I12">
            <v>1009</v>
          </cell>
          <cell r="J12" t="str">
            <v>SPI</v>
          </cell>
          <cell r="L12" t="str">
            <v>E58</v>
          </cell>
          <cell r="M12" t="str">
            <v>SNCF FC - Traction</v>
          </cell>
        </row>
        <row r="13">
          <cell r="D13">
            <v>122001</v>
          </cell>
          <cell r="E13" t="str">
            <v>Other passenger revenue - exchange fees</v>
          </cell>
          <cell r="F13" t="str">
            <v>Revenue</v>
          </cell>
          <cell r="G13" t="str">
            <v>Other passenger revenue</v>
          </cell>
          <cell r="H13" t="str">
            <v>Other passenger revenue</v>
          </cell>
          <cell r="I13">
            <v>1010</v>
          </cell>
          <cell r="J13" t="str">
            <v>Temple Mills</v>
          </cell>
          <cell r="L13" t="str">
            <v>E62</v>
          </cell>
          <cell r="M13" t="str">
            <v>SNCF Reseau</v>
          </cell>
        </row>
        <row r="14">
          <cell r="D14">
            <v>122002</v>
          </cell>
          <cell r="E14" t="str">
            <v>Other passenger revenue - ECC booking fee</v>
          </cell>
          <cell r="F14" t="str">
            <v>Revenue</v>
          </cell>
          <cell r="G14" t="str">
            <v>Other passenger revenue</v>
          </cell>
          <cell r="H14" t="str">
            <v>Other passenger revenue</v>
          </cell>
          <cell r="I14">
            <v>1011</v>
          </cell>
          <cell r="J14" t="str">
            <v>Transfer</v>
          </cell>
          <cell r="L14" t="str">
            <v>E82</v>
          </cell>
          <cell r="M14" t="str">
            <v>SNCF - CSP - SI TETE</v>
          </cell>
        </row>
        <row r="15">
          <cell r="D15">
            <v>122100</v>
          </cell>
          <cell r="E15" t="str">
            <v>Commission on ancillary sales - internet</v>
          </cell>
          <cell r="F15" t="str">
            <v>Revenue</v>
          </cell>
          <cell r="G15" t="str">
            <v>Other passenger revenue</v>
          </cell>
          <cell r="H15" t="str">
            <v>Other passenger revenue</v>
          </cell>
          <cell r="I15">
            <v>1012</v>
          </cell>
          <cell r="J15" t="str">
            <v>France</v>
          </cell>
          <cell r="L15" t="str">
            <v>EF04</v>
          </cell>
          <cell r="M15" t="str">
            <v>SCI La Chapelle</v>
          </cell>
        </row>
        <row r="16">
          <cell r="D16">
            <v>122101</v>
          </cell>
          <cell r="E16" t="str">
            <v>Commission on ancillary sales - ECC</v>
          </cell>
          <cell r="F16" t="str">
            <v>Revenue</v>
          </cell>
          <cell r="G16" t="str">
            <v>Other passenger revenue</v>
          </cell>
          <cell r="H16" t="str">
            <v>Other passenger revenue</v>
          </cell>
          <cell r="I16">
            <v>1013</v>
          </cell>
          <cell r="J16" t="str">
            <v>UK</v>
          </cell>
          <cell r="L16" t="str">
            <v>SC01</v>
          </cell>
          <cell r="M16" t="str">
            <v>SNCF Participations SAS</v>
          </cell>
        </row>
        <row r="17">
          <cell r="D17">
            <v>122103</v>
          </cell>
          <cell r="E17" t="str">
            <v>Commission - beyond destination sales</v>
          </cell>
          <cell r="F17" t="str">
            <v>Revenue</v>
          </cell>
          <cell r="G17" t="str">
            <v>Other passenger revenue</v>
          </cell>
          <cell r="H17" t="str">
            <v>Other passenger revenue</v>
          </cell>
          <cell r="I17">
            <v>1014</v>
          </cell>
          <cell r="J17" t="str">
            <v>Belgium</v>
          </cell>
          <cell r="L17" t="str">
            <v>SC82</v>
          </cell>
          <cell r="M17" t="str">
            <v>SNCF Masteris (IMTS)</v>
          </cell>
        </row>
        <row r="18">
          <cell r="D18">
            <v>122200</v>
          </cell>
          <cell r="E18" t="str">
            <v>Other passenger revenue - Eurodespatch</v>
          </cell>
          <cell r="F18" t="str">
            <v>Revenue</v>
          </cell>
          <cell r="G18" t="str">
            <v>Other passenger revenue</v>
          </cell>
          <cell r="H18" t="str">
            <v>Other passenger revenue</v>
          </cell>
          <cell r="I18">
            <v>1015</v>
          </cell>
          <cell r="J18" t="str">
            <v>New fleet</v>
          </cell>
          <cell r="L18" t="str">
            <v>SC98</v>
          </cell>
          <cell r="M18" t="str">
            <v>SNCF Energies</v>
          </cell>
        </row>
        <row r="19">
          <cell r="D19">
            <v>122201</v>
          </cell>
          <cell r="E19" t="str">
            <v>Other passenger revenue - station services</v>
          </cell>
          <cell r="F19" t="str">
            <v>Revenue</v>
          </cell>
          <cell r="G19" t="str">
            <v>Other passenger revenue</v>
          </cell>
          <cell r="H19" t="str">
            <v>Other passenger revenue</v>
          </cell>
          <cell r="I19">
            <v>1016</v>
          </cell>
          <cell r="J19" t="str">
            <v>E320</v>
          </cell>
          <cell r="L19" t="str">
            <v>GLI01</v>
          </cell>
          <cell r="M19" t="str">
            <v>SNCF SVD SAS (Voyages Dev)</v>
          </cell>
        </row>
        <row r="20">
          <cell r="D20">
            <v>122202</v>
          </cell>
          <cell r="E20" t="str">
            <v>Other passenger revenue - porterage</v>
          </cell>
          <cell r="F20" t="str">
            <v>Revenue</v>
          </cell>
          <cell r="G20" t="str">
            <v>Other passenger revenue</v>
          </cell>
          <cell r="H20" t="str">
            <v>Other passenger revenue</v>
          </cell>
          <cell r="I20">
            <v>1017</v>
          </cell>
          <cell r="J20" t="str">
            <v>Capitalised staff costs</v>
          </cell>
          <cell r="L20" t="str">
            <v>GLI11</v>
          </cell>
          <cell r="M20" t="str">
            <v>Rail Europe Group Inc</v>
          </cell>
        </row>
        <row r="21">
          <cell r="D21">
            <v>122203</v>
          </cell>
          <cell r="E21" t="str">
            <v>Other passenger revenue - passes/carnets</v>
          </cell>
          <cell r="F21" t="str">
            <v>Revenue</v>
          </cell>
          <cell r="G21" t="str">
            <v>Other passenger revenue</v>
          </cell>
          <cell r="H21" t="str">
            <v>Other passenger revenue</v>
          </cell>
          <cell r="I21">
            <v>1018</v>
          </cell>
          <cell r="J21" t="str">
            <v>Capitalised staff costs - new fleet</v>
          </cell>
          <cell r="L21" t="str">
            <v>GLI21</v>
          </cell>
          <cell r="M21" t="str">
            <v>Rail Europe Limited</v>
          </cell>
        </row>
        <row r="22">
          <cell r="D22">
            <v>122300</v>
          </cell>
          <cell r="E22" t="str">
            <v>Other passenger revenue - Disney route subsidy</v>
          </cell>
          <cell r="F22" t="str">
            <v>Revenue</v>
          </cell>
          <cell r="G22" t="str">
            <v>Other passenger revenue</v>
          </cell>
          <cell r="H22" t="str">
            <v>Other passenger revenue</v>
          </cell>
          <cell r="I22">
            <v>1020</v>
          </cell>
          <cell r="J22" t="str">
            <v>Capitalised expenses - new fleet</v>
          </cell>
          <cell r="L22" t="str">
            <v>GLI57</v>
          </cell>
          <cell r="M22" t="str">
            <v>RE4A</v>
          </cell>
        </row>
        <row r="23">
          <cell r="D23">
            <v>122400</v>
          </cell>
          <cell r="E23" t="str">
            <v>Other passenger revenue - postage</v>
          </cell>
          <cell r="F23" t="str">
            <v>Revenue</v>
          </cell>
          <cell r="G23" t="str">
            <v>Other passenger revenue</v>
          </cell>
          <cell r="H23" t="str">
            <v>Other passenger revenue</v>
          </cell>
          <cell r="I23">
            <v>1021</v>
          </cell>
          <cell r="J23" t="str">
            <v>Prior Year</v>
          </cell>
          <cell r="L23" t="str">
            <v>GLI58</v>
          </cell>
          <cell r="M23" t="str">
            <v>Avancial</v>
          </cell>
        </row>
        <row r="24">
          <cell r="D24">
            <v>122900</v>
          </cell>
          <cell r="E24" t="str">
            <v>Other passenger revenue - sundry</v>
          </cell>
          <cell r="F24" t="str">
            <v>Revenue</v>
          </cell>
          <cell r="G24" t="str">
            <v>Other passenger revenue</v>
          </cell>
          <cell r="H24" t="str">
            <v>Other passenger revenue</v>
          </cell>
          <cell r="I24">
            <v>1022</v>
          </cell>
          <cell r="J24" t="str">
            <v>Brussels Avenue Louise</v>
          </cell>
          <cell r="L24" t="str">
            <v>GLI80</v>
          </cell>
          <cell r="M24" t="str">
            <v>Voyages - SNCF.com</v>
          </cell>
        </row>
        <row r="25">
          <cell r="D25">
            <v>130001</v>
          </cell>
          <cell r="E25" t="str">
            <v>Property rental - revenue</v>
          </cell>
          <cell r="F25" t="str">
            <v>Revenue</v>
          </cell>
          <cell r="G25" t="str">
            <v>Non-passenger revenue</v>
          </cell>
          <cell r="H25" t="str">
            <v>Non-passenger revenue</v>
          </cell>
          <cell r="I25">
            <v>1023</v>
          </cell>
          <cell r="J25" t="str">
            <v>Brussels Rue de France</v>
          </cell>
          <cell r="L25" t="str">
            <v>GLI85</v>
          </cell>
          <cell r="M25" t="str">
            <v>VSC Technologies</v>
          </cell>
          <cell r="N25" t="str">
            <v>SNCB Sales Commissions</v>
          </cell>
        </row>
        <row r="26">
          <cell r="D26">
            <v>130100</v>
          </cell>
          <cell r="E26" t="str">
            <v>Train lease revenue</v>
          </cell>
          <cell r="F26" t="str">
            <v>Revenue</v>
          </cell>
          <cell r="G26" t="str">
            <v>Non-passenger revenue</v>
          </cell>
          <cell r="H26" t="str">
            <v>Non-passenger revenue</v>
          </cell>
          <cell r="I26">
            <v>1024</v>
          </cell>
          <cell r="J26" t="str">
            <v>Calais Frethun</v>
          </cell>
          <cell r="L26" t="str">
            <v>GLI89</v>
          </cell>
          <cell r="M26" t="str">
            <v>Rail Solutions SAS</v>
          </cell>
        </row>
        <row r="27">
          <cell r="D27">
            <v>130101</v>
          </cell>
          <cell r="E27" t="str">
            <v>Train parts revenue</v>
          </cell>
          <cell r="F27" t="str">
            <v>Revenue</v>
          </cell>
          <cell r="G27" t="str">
            <v>Non-passenger revenue</v>
          </cell>
          <cell r="H27" t="str">
            <v>Non-passenger revenue</v>
          </cell>
          <cell r="I27">
            <v>1025</v>
          </cell>
          <cell r="J27" t="str">
            <v>Lille Eurocentre</v>
          </cell>
          <cell r="L27" t="str">
            <v>SNCB</v>
          </cell>
          <cell r="M27" t="str">
            <v>SNCB</v>
          </cell>
        </row>
        <row r="28">
          <cell r="D28">
            <v>130200</v>
          </cell>
          <cell r="E28" t="str">
            <v>Advertising - revenue</v>
          </cell>
          <cell r="F28" t="str">
            <v>Revenue</v>
          </cell>
          <cell r="G28" t="str">
            <v>Non-passenger revenue</v>
          </cell>
          <cell r="H28" t="str">
            <v>Non-passenger revenue</v>
          </cell>
          <cell r="I28">
            <v>1026</v>
          </cell>
          <cell r="J28" t="str">
            <v>Lille Rue de Luxembourg</v>
          </cell>
          <cell r="L28" t="str">
            <v>LCR</v>
          </cell>
          <cell r="M28" t="str">
            <v>LCR</v>
          </cell>
        </row>
        <row r="29">
          <cell r="D29">
            <v>130300</v>
          </cell>
          <cell r="E29" t="str">
            <v>Non-passenger revenue - station services</v>
          </cell>
          <cell r="F29" t="str">
            <v>Revenue</v>
          </cell>
          <cell r="G29" t="str">
            <v>Non-passenger revenue</v>
          </cell>
          <cell r="H29" t="str">
            <v>Non-passenger revenue</v>
          </cell>
          <cell r="I29">
            <v>1027</v>
          </cell>
          <cell r="J29" t="str">
            <v>London Laundry Buildings</v>
          </cell>
          <cell r="L29" t="str">
            <v>KPMG</v>
          </cell>
          <cell r="M29" t="str">
            <v>KPMG</v>
          </cell>
        </row>
        <row r="30">
          <cell r="D30">
            <v>130400</v>
          </cell>
          <cell r="E30" t="str">
            <v>Royalties</v>
          </cell>
          <cell r="F30" t="str">
            <v>Revenue</v>
          </cell>
          <cell r="G30" t="str">
            <v>Non-passenger revenue</v>
          </cell>
          <cell r="H30" t="str">
            <v>Non-passenger revenue</v>
          </cell>
          <cell r="I30">
            <v>1028</v>
          </cell>
          <cell r="J30" t="str">
            <v>London Times House</v>
          </cell>
          <cell r="L30" t="str">
            <v>MAZARS</v>
          </cell>
          <cell r="M30" t="str">
            <v>Mazars</v>
          </cell>
        </row>
        <row r="31">
          <cell r="D31">
            <v>130500</v>
          </cell>
          <cell r="E31" t="str">
            <v>Ride 2 Work</v>
          </cell>
          <cell r="F31" t="str">
            <v>Revenue</v>
          </cell>
          <cell r="G31" t="str">
            <v>Non-passenger revenue</v>
          </cell>
          <cell r="H31" t="str">
            <v>Non-passenger revenue</v>
          </cell>
          <cell r="I31">
            <v>1029</v>
          </cell>
          <cell r="J31" t="str">
            <v>Paris Rue de Delta</v>
          </cell>
          <cell r="L31" t="str">
            <v>EIL</v>
          </cell>
          <cell r="M31" t="str">
            <v>Eurostar International Ltd</v>
          </cell>
        </row>
        <row r="32">
          <cell r="D32">
            <v>130600</v>
          </cell>
          <cell r="E32" t="str">
            <v>Mgt fee - train parts/work recharged</v>
          </cell>
          <cell r="F32" t="str">
            <v>Revenue</v>
          </cell>
          <cell r="G32" t="str">
            <v>Non-passenger revenue</v>
          </cell>
          <cell r="H32" t="str">
            <v>Non-passenger revenue</v>
          </cell>
          <cell r="I32">
            <v>1030</v>
          </cell>
          <cell r="J32" t="str">
            <v>Paris Rue de Dunkerque</v>
          </cell>
          <cell r="L32" t="str">
            <v xml:space="preserve">EGL </v>
          </cell>
          <cell r="M32" t="str">
            <v>Eurostar Group Ltd</v>
          </cell>
        </row>
        <row r="33">
          <cell r="D33">
            <v>130900</v>
          </cell>
          <cell r="E33" t="str">
            <v>Non-passenger revenue - sundry</v>
          </cell>
          <cell r="F33" t="str">
            <v>Revenue</v>
          </cell>
          <cell r="G33" t="str">
            <v>Non-passenger revenue</v>
          </cell>
          <cell r="H33" t="str">
            <v>Non-passenger revenue</v>
          </cell>
          <cell r="I33">
            <v>1031</v>
          </cell>
          <cell r="J33" t="str">
            <v>Paris Storage</v>
          </cell>
          <cell r="L33" t="str">
            <v>EUKL</v>
          </cell>
          <cell r="M33" t="str">
            <v>Eurostar UK Ltd</v>
          </cell>
        </row>
        <row r="34">
          <cell r="D34">
            <v>130901</v>
          </cell>
          <cell r="E34" t="str">
            <v>Intercompany revenue - staff recharge</v>
          </cell>
          <cell r="F34" t="str">
            <v>Revenue</v>
          </cell>
          <cell r="G34" t="str">
            <v>Non-passenger revenue</v>
          </cell>
          <cell r="H34" t="str">
            <v>Non-passenger revenue</v>
          </cell>
          <cell r="I34">
            <v>1032</v>
          </cell>
          <cell r="J34" t="str">
            <v>Lille</v>
          </cell>
          <cell r="L34" t="str">
            <v>EISAS</v>
          </cell>
          <cell r="M34" t="str">
            <v>Eurostar International SAS</v>
          </cell>
        </row>
        <row r="35">
          <cell r="D35">
            <v>130902</v>
          </cell>
          <cell r="E35" t="str">
            <v>Intercompany revenue - other costs recharge</v>
          </cell>
          <cell r="F35" t="str">
            <v>Revenue</v>
          </cell>
          <cell r="G35" t="str">
            <v>Non-passenger revenue</v>
          </cell>
          <cell r="H35" t="str">
            <v>Non-passenger revenue</v>
          </cell>
          <cell r="I35">
            <v>1033</v>
          </cell>
          <cell r="J35" t="str">
            <v>Brussels Avenue Fonsny</v>
          </cell>
          <cell r="L35" t="str">
            <v>EISPRL</v>
          </cell>
          <cell r="M35" t="str">
            <v>Eurostar International SPRL</v>
          </cell>
        </row>
        <row r="36">
          <cell r="D36">
            <v>210001</v>
          </cell>
          <cell r="E36" t="str">
            <v>Commission costs - ticket sales</v>
          </cell>
          <cell r="F36" t="str">
            <v>Cost of Sales</v>
          </cell>
          <cell r="G36" t="str">
            <v>Commission costs</v>
          </cell>
          <cell r="H36" t="str">
            <v>Commission costs</v>
          </cell>
          <cell r="I36">
            <v>1034</v>
          </cell>
          <cell r="J36" t="str">
            <v>Kent House</v>
          </cell>
          <cell r="L36" t="str">
            <v>RMF</v>
          </cell>
          <cell r="M36" t="str">
            <v>Rail Manche Finance</v>
          </cell>
        </row>
        <row r="37">
          <cell r="D37">
            <v>210100</v>
          </cell>
          <cell r="E37" t="str">
            <v>Commission costs - external customer care</v>
          </cell>
          <cell r="F37" t="str">
            <v>Cost of Sales</v>
          </cell>
          <cell r="G37" t="str">
            <v>Commission costs</v>
          </cell>
          <cell r="H37" t="str">
            <v>Commission costs</v>
          </cell>
          <cell r="I37">
            <v>1040</v>
          </cell>
          <cell r="J37" t="str">
            <v>TVA on Belgian sales</v>
          </cell>
          <cell r="L37" t="str">
            <v>KEECL</v>
          </cell>
          <cell r="M37" t="str">
            <v>Keolis Eurostar East Coast Ltd</v>
          </cell>
        </row>
        <row r="38">
          <cell r="D38">
            <v>220001</v>
          </cell>
          <cell r="E38" t="str">
            <v>Credit card fraud costs</v>
          </cell>
          <cell r="F38" t="str">
            <v>Cost of Sales</v>
          </cell>
          <cell r="G38" t="str">
            <v>Payment processing costs</v>
          </cell>
          <cell r="H38" t="str">
            <v>Payment processing costs</v>
          </cell>
          <cell r="I38">
            <v>1041</v>
          </cell>
          <cell r="J38" t="str">
            <v>French TVA</v>
          </cell>
          <cell r="L38">
            <v>0</v>
          </cell>
        </row>
        <row r="39">
          <cell r="D39">
            <v>220002</v>
          </cell>
          <cell r="E39" t="str">
            <v>Credit card transaction costs</v>
          </cell>
          <cell r="F39" t="str">
            <v>Cost of Sales</v>
          </cell>
          <cell r="G39" t="str">
            <v>Payment processing costs</v>
          </cell>
          <cell r="H39" t="str">
            <v>Payment processing costs</v>
          </cell>
          <cell r="I39">
            <v>1042</v>
          </cell>
          <cell r="J39" t="str">
            <v>Procurement savings</v>
          </cell>
          <cell r="L39" t="str">
            <v>HS1</v>
          </cell>
          <cell r="M39" t="str">
            <v>HS1</v>
          </cell>
        </row>
        <row r="40">
          <cell r="D40">
            <v>220004</v>
          </cell>
          <cell r="E40" t="str">
            <v>Payment system charges</v>
          </cell>
          <cell r="F40" t="str">
            <v>Cost of Sales</v>
          </cell>
          <cell r="G40" t="str">
            <v>Payment processing costs</v>
          </cell>
          <cell r="H40" t="str">
            <v>Payment processing costs</v>
          </cell>
          <cell r="I40">
            <v>1050</v>
          </cell>
          <cell r="J40" t="str">
            <v>Customer analysis project</v>
          </cell>
          <cell r="L40" t="str">
            <v>RFF</v>
          </cell>
          <cell r="M40" t="str">
            <v>RFF</v>
          </cell>
        </row>
        <row r="41">
          <cell r="D41">
            <v>230100</v>
          </cell>
          <cell r="E41" t="str">
            <v>Distribution charges (CoS)</v>
          </cell>
          <cell r="F41" t="str">
            <v>Cost of Sales</v>
          </cell>
          <cell r="G41" t="str">
            <v>Distribution system variable charges</v>
          </cell>
          <cell r="H41" t="str">
            <v>Distribution system variable charges</v>
          </cell>
          <cell r="I41">
            <v>1051</v>
          </cell>
          <cell r="J41" t="str">
            <v>New Markets Sales Activity</v>
          </cell>
          <cell r="L41" t="str">
            <v>Infbel</v>
          </cell>
          <cell r="M41" t="str">
            <v>Infrabel</v>
          </cell>
        </row>
        <row r="42">
          <cell r="D42">
            <v>230200</v>
          </cell>
          <cell r="E42" t="str">
            <v>Inventory charges (CoS)</v>
          </cell>
          <cell r="F42" t="str">
            <v>Cost of Sales</v>
          </cell>
          <cell r="G42" t="str">
            <v>Distribution system variable charges</v>
          </cell>
          <cell r="H42" t="str">
            <v>Distribution system variable charges</v>
          </cell>
          <cell r="I42">
            <v>1052</v>
          </cell>
          <cell r="J42" t="str">
            <v>RPO</v>
          </cell>
          <cell r="L42" t="str">
            <v>ET</v>
          </cell>
          <cell r="M42" t="str">
            <v>Eurotunnel</v>
          </cell>
        </row>
        <row r="43">
          <cell r="D43">
            <v>230300</v>
          </cell>
          <cell r="E43" t="str">
            <v>GDS costs (CoS)</v>
          </cell>
          <cell r="F43" t="str">
            <v>Cost of Sales</v>
          </cell>
          <cell r="G43" t="str">
            <v>Distribution system variable charges</v>
          </cell>
          <cell r="H43" t="str">
            <v>Distribution system variable charges</v>
          </cell>
          <cell r="I43">
            <v>1053</v>
          </cell>
          <cell r="J43" t="str">
            <v>Driver's cab</v>
          </cell>
          <cell r="L43" t="str">
            <v>EIB</v>
          </cell>
          <cell r="M43" t="str">
            <v>European Investment Bank</v>
          </cell>
        </row>
        <row r="44">
          <cell r="D44">
            <v>230400</v>
          </cell>
          <cell r="E44" t="str">
            <v>Booking engine costs (CoS)</v>
          </cell>
          <cell r="F44" t="str">
            <v>Cost of Sales</v>
          </cell>
          <cell r="G44" t="str">
            <v>Distribution system variable charges</v>
          </cell>
          <cell r="H44" t="str">
            <v>Distribution system variable charges</v>
          </cell>
          <cell r="I44">
            <v>1054</v>
          </cell>
          <cell r="J44" t="str">
            <v>Fire barrier panels Mi-vie</v>
          </cell>
          <cell r="L44" t="str">
            <v>CrAg</v>
          </cell>
          <cell r="M44" t="str">
            <v>Credit Agricole</v>
          </cell>
        </row>
        <row r="45">
          <cell r="D45">
            <v>240001</v>
          </cell>
          <cell r="E45" t="str">
            <v>Software Licences and support (CoS)</v>
          </cell>
          <cell r="F45" t="str">
            <v>Cost of Sales</v>
          </cell>
          <cell r="G45" t="str">
            <v>Distribution system fixed charges</v>
          </cell>
          <cell r="H45" t="str">
            <v>Distribution system fixed charges</v>
          </cell>
          <cell r="I45">
            <v>1055</v>
          </cell>
          <cell r="J45" t="str">
            <v>Halon replacement</v>
          </cell>
          <cell r="L45" t="str">
            <v>RBS</v>
          </cell>
          <cell r="M45" t="str">
            <v>Royal Bank of Scotland</v>
          </cell>
        </row>
        <row r="46">
          <cell r="D46">
            <v>240100</v>
          </cell>
          <cell r="E46" t="str">
            <v>Distribution systems maintenance &amp; support (CoS)</v>
          </cell>
          <cell r="F46" t="str">
            <v>Cost of Sales</v>
          </cell>
          <cell r="G46" t="str">
            <v>Distribution system fixed charges</v>
          </cell>
          <cell r="H46" t="str">
            <v>Distribution system fixed charges</v>
          </cell>
          <cell r="I46">
            <v>1056</v>
          </cell>
          <cell r="J46" t="str">
            <v>Hubner gangway bellows overhaul</v>
          </cell>
          <cell r="L46" t="str">
            <v>Barc</v>
          </cell>
          <cell r="M46" t="str">
            <v>Barclays</v>
          </cell>
        </row>
        <row r="47">
          <cell r="D47">
            <v>240200</v>
          </cell>
          <cell r="E47" t="str">
            <v>Hosting (CoS)</v>
          </cell>
          <cell r="F47" t="str">
            <v>Cost of Sales</v>
          </cell>
          <cell r="G47" t="str">
            <v>Distribution system fixed charges</v>
          </cell>
          <cell r="H47" t="str">
            <v>Distribution system fixed charges</v>
          </cell>
          <cell r="I47">
            <v>1057</v>
          </cell>
          <cell r="J47" t="str">
            <v>Logistics</v>
          </cell>
          <cell r="L47" t="str">
            <v>ING</v>
          </cell>
          <cell r="M47" t="str">
            <v>ING</v>
          </cell>
        </row>
        <row r="48">
          <cell r="D48">
            <v>250001</v>
          </cell>
          <cell r="E48" t="str">
            <v>Partnership seat costs</v>
          </cell>
          <cell r="F48" t="str">
            <v>Cost of Sales</v>
          </cell>
          <cell r="G48" t="str">
            <v>Other direct costs</v>
          </cell>
          <cell r="H48" t="str">
            <v>Other direct costs</v>
          </cell>
          <cell r="I48">
            <v>1058</v>
          </cell>
          <cell r="J48" t="str">
            <v>Lots SNCF Midlife project</v>
          </cell>
        </row>
        <row r="49">
          <cell r="D49">
            <v>250002</v>
          </cell>
          <cell r="E49" t="str">
            <v>Ticket stationery</v>
          </cell>
          <cell r="F49" t="str">
            <v>Cost of Sales</v>
          </cell>
          <cell r="G49" t="str">
            <v>Other direct costs</v>
          </cell>
          <cell r="H49" t="str">
            <v>Other direct costs</v>
          </cell>
          <cell r="I49">
            <v>1059</v>
          </cell>
          <cell r="J49" t="str">
            <v>Mi-vie EIL studies incl external suppliers</v>
          </cell>
          <cell r="L49" t="str">
            <v>E&amp;Y</v>
          </cell>
          <cell r="M49" t="str">
            <v>Ernst &amp; Young</v>
          </cell>
        </row>
        <row r="50">
          <cell r="D50">
            <v>260001</v>
          </cell>
          <cell r="E50" t="str">
            <v>Pay Per Click</v>
          </cell>
          <cell r="F50" t="str">
            <v>Cost of Sales</v>
          </cell>
          <cell r="G50" t="str">
            <v>Sales support activity</v>
          </cell>
          <cell r="H50" t="str">
            <v>Sales support activity</v>
          </cell>
          <cell r="I50">
            <v>1060</v>
          </cell>
          <cell r="J50" t="str">
            <v>Mi-vie materials Overhaul repairables</v>
          </cell>
          <cell r="L50" t="str">
            <v>CapGem</v>
          </cell>
          <cell r="M50" t="str">
            <v>Cap Gemini</v>
          </cell>
        </row>
        <row r="51">
          <cell r="D51">
            <v>260002</v>
          </cell>
          <cell r="E51" t="str">
            <v>Affiliates</v>
          </cell>
          <cell r="F51" t="str">
            <v>Cost of Sales</v>
          </cell>
          <cell r="G51" t="str">
            <v>Sales support activity</v>
          </cell>
          <cell r="H51" t="str">
            <v>Sales support activity</v>
          </cell>
          <cell r="I51">
            <v>1061</v>
          </cell>
          <cell r="J51" t="str">
            <v>Mi-Vie materials Overhaul Repairables SNCF</v>
          </cell>
          <cell r="L51" t="str">
            <v>Deloit</v>
          </cell>
          <cell r="M51" t="str">
            <v>Deloitte</v>
          </cell>
        </row>
        <row r="52">
          <cell r="D52">
            <v>270001</v>
          </cell>
          <cell r="E52" t="str">
            <v>Bad &amp; doubtful debts</v>
          </cell>
          <cell r="F52" t="str">
            <v>Cost of Sales</v>
          </cell>
          <cell r="G52" t="str">
            <v>Write-offs</v>
          </cell>
          <cell r="H52" t="str">
            <v>Write-offs</v>
          </cell>
          <cell r="I52">
            <v>1062</v>
          </cell>
          <cell r="J52" t="str">
            <v>PIS contract fixed costs</v>
          </cell>
        </row>
        <row r="53">
          <cell r="D53">
            <v>301001</v>
          </cell>
          <cell r="E53" t="str">
            <v>Salaries - UK</v>
          </cell>
          <cell r="F53" t="str">
            <v>Staff Costs</v>
          </cell>
          <cell r="G53" t="str">
            <v>Salaries, allowances &amp; bonuses</v>
          </cell>
          <cell r="H53" t="str">
            <v>Salaries, allowances &amp; bonuses</v>
          </cell>
          <cell r="I53">
            <v>1063</v>
          </cell>
          <cell r="J53" t="str">
            <v>Supplier variations Fixed Costs (seats)</v>
          </cell>
          <cell r="L53" t="str">
            <v>Nero</v>
          </cell>
          <cell r="M53" t="str">
            <v>Caffe Nero</v>
          </cell>
        </row>
        <row r="54">
          <cell r="D54">
            <v>301002</v>
          </cell>
          <cell r="E54" t="str">
            <v>Salaries - Fr</v>
          </cell>
          <cell r="F54" t="str">
            <v>Staff Costs</v>
          </cell>
          <cell r="G54" t="str">
            <v>Salaries, allowances &amp; bonuses</v>
          </cell>
          <cell r="H54" t="str">
            <v>Salaries, allowances &amp; bonuses</v>
          </cell>
          <cell r="I54">
            <v>1064</v>
          </cell>
          <cell r="J54" t="str">
            <v>Supplier variations Variable Costs (seats)</v>
          </cell>
          <cell r="L54" t="str">
            <v>WHS</v>
          </cell>
          <cell r="M54" t="str">
            <v>WHSmith</v>
          </cell>
        </row>
        <row r="55">
          <cell r="D55">
            <v>301003</v>
          </cell>
          <cell r="E55" t="str">
            <v>Salaries - Be</v>
          </cell>
          <cell r="F55" t="str">
            <v>Staff Costs</v>
          </cell>
          <cell r="G55" t="str">
            <v>Salaries, allowances &amp; bonuses</v>
          </cell>
          <cell r="H55" t="str">
            <v>Salaries, allowances &amp; bonuses</v>
          </cell>
          <cell r="I55">
            <v>1065</v>
          </cell>
          <cell r="J55" t="str">
            <v>Integration contingency</v>
          </cell>
          <cell r="L55" t="str">
            <v>Loft</v>
          </cell>
          <cell r="M55" t="str">
            <v>Manhattan Loft</v>
          </cell>
        </row>
        <row r="56">
          <cell r="D56">
            <v>301011</v>
          </cell>
          <cell r="E56" t="str">
            <v>Allowances - UK</v>
          </cell>
          <cell r="F56" t="str">
            <v>Staff Costs</v>
          </cell>
          <cell r="G56" t="str">
            <v>Salaries, allowances &amp; bonuses</v>
          </cell>
          <cell r="H56" t="str">
            <v>Salaries, allowances &amp; bonuses</v>
          </cell>
          <cell r="I56">
            <v>1066</v>
          </cell>
          <cell r="J56" t="str">
            <v>Masteris support for PIS UTTR fixed costs</v>
          </cell>
          <cell r="L56" t="str">
            <v>ATM</v>
          </cell>
          <cell r="M56" t="str">
            <v>ATM</v>
          </cell>
        </row>
        <row r="57">
          <cell r="D57">
            <v>301012</v>
          </cell>
          <cell r="E57" t="str">
            <v>Allowances - Fr</v>
          </cell>
          <cell r="F57" t="str">
            <v>Staff Costs</v>
          </cell>
          <cell r="G57" t="str">
            <v>Salaries, allowances &amp; bonuses</v>
          </cell>
          <cell r="H57" t="str">
            <v>Salaries, allowances &amp; bonuses</v>
          </cell>
          <cell r="I57">
            <v>1067</v>
          </cell>
          <cell r="J57" t="str">
            <v>Masteris support for PIS UTTR variable costs</v>
          </cell>
          <cell r="L57" t="str">
            <v>JCD</v>
          </cell>
          <cell r="M57" t="str">
            <v>JCDecaux</v>
          </cell>
        </row>
        <row r="58">
          <cell r="D58">
            <v>301021</v>
          </cell>
          <cell r="E58" t="str">
            <v>Overtime - UK</v>
          </cell>
          <cell r="F58" t="str">
            <v>Staff Costs</v>
          </cell>
          <cell r="G58" t="str">
            <v>Salaries, allowances &amp; bonuses</v>
          </cell>
          <cell r="H58" t="str">
            <v>Salaries, allowances &amp; bonuses</v>
          </cell>
          <cell r="I58">
            <v>1068</v>
          </cell>
          <cell r="J58" t="str">
            <v>Masteris mechanical interfaces</v>
          </cell>
        </row>
        <row r="59">
          <cell r="D59">
            <v>301031</v>
          </cell>
          <cell r="E59" t="str">
            <v>Maternity - UK</v>
          </cell>
          <cell r="F59" t="str">
            <v>Staff Costs</v>
          </cell>
          <cell r="G59" t="str">
            <v>Salaries, allowances &amp; bonuses</v>
          </cell>
          <cell r="H59" t="str">
            <v>Salaries, allowances &amp; bonuses</v>
          </cell>
          <cell r="I59">
            <v>1069</v>
          </cell>
          <cell r="J59" t="str">
            <v>Masteris support for PIS/Integration studies fixed costs</v>
          </cell>
        </row>
        <row r="60">
          <cell r="D60">
            <v>301101</v>
          </cell>
          <cell r="E60" t="str">
            <v>Bonus - UK</v>
          </cell>
          <cell r="F60" t="str">
            <v>Staff Costs</v>
          </cell>
          <cell r="G60" t="str">
            <v>Salaries, allowances &amp; bonuses</v>
          </cell>
          <cell r="H60" t="str">
            <v>Salaries, allowances &amp; bonuses</v>
          </cell>
          <cell r="I60">
            <v>1071</v>
          </cell>
          <cell r="J60" t="str">
            <v>PIS contract variation costs</v>
          </cell>
        </row>
        <row r="61">
          <cell r="D61">
            <v>301102</v>
          </cell>
          <cell r="E61" t="str">
            <v>Bonus - Fr</v>
          </cell>
          <cell r="F61" t="str">
            <v>Staff Costs</v>
          </cell>
          <cell r="G61" t="str">
            <v>Salaries, allowances &amp; bonuses</v>
          </cell>
          <cell r="H61" t="str">
            <v>Salaries, allowances &amp; bonuses</v>
          </cell>
          <cell r="I61">
            <v>1072</v>
          </cell>
          <cell r="J61" t="str">
            <v>SNCF Fixed cost</v>
          </cell>
        </row>
        <row r="62">
          <cell r="D62">
            <v>301103</v>
          </cell>
          <cell r="E62" t="str">
            <v>Bonus - Be</v>
          </cell>
          <cell r="F62" t="str">
            <v>Staff Costs</v>
          </cell>
          <cell r="G62" t="str">
            <v>Salaries, allowances &amp; bonuses</v>
          </cell>
          <cell r="H62" t="str">
            <v>Salaries, allowances &amp; bonuses</v>
          </cell>
          <cell r="I62">
            <v>1073</v>
          </cell>
          <cell r="J62" t="str">
            <v>SNCF Fit-out</v>
          </cell>
        </row>
        <row r="63">
          <cell r="D63">
            <v>301200</v>
          </cell>
          <cell r="E63" t="str">
            <v>Redundancies &amp; settlements</v>
          </cell>
          <cell r="F63" t="str">
            <v>Staff Costs</v>
          </cell>
          <cell r="G63" t="str">
            <v>Salaries, allowances &amp; bonuses</v>
          </cell>
          <cell r="H63" t="str">
            <v>Salaries, allowances &amp; bonuses</v>
          </cell>
          <cell r="I63">
            <v>1074</v>
          </cell>
          <cell r="J63" t="str">
            <v>Supplier fixed costs  (Seats)</v>
          </cell>
        </row>
        <row r="64">
          <cell r="D64">
            <v>301900</v>
          </cell>
          <cell r="E64" t="str">
            <v>Offcharge to capital - staff costs</v>
          </cell>
          <cell r="F64" t="str">
            <v>Staff Costs</v>
          </cell>
          <cell r="G64" t="str">
            <v>Salaries, allowances &amp; bonuses</v>
          </cell>
          <cell r="H64" t="str">
            <v>Salaries, allowances &amp; bonuses</v>
          </cell>
          <cell r="I64">
            <v>1075</v>
          </cell>
          <cell r="J64" t="str">
            <v>Supplier costs (emergency windows)</v>
          </cell>
        </row>
        <row r="65">
          <cell r="D65">
            <v>302001</v>
          </cell>
          <cell r="E65" t="str">
            <v>Social charges - UK</v>
          </cell>
          <cell r="F65" t="str">
            <v>Staff Costs</v>
          </cell>
          <cell r="G65" t="str">
            <v>Social charges</v>
          </cell>
          <cell r="H65" t="str">
            <v>Social charges</v>
          </cell>
          <cell r="I65">
            <v>1076</v>
          </cell>
          <cell r="J65" t="str">
            <v>CEIT ONLY Supplier fixed costs (Saloons/Vestibules/Bar)</v>
          </cell>
        </row>
        <row r="66">
          <cell r="D66">
            <v>302002</v>
          </cell>
          <cell r="E66" t="str">
            <v>Social charges - Fr</v>
          </cell>
          <cell r="F66" t="str">
            <v>Staff Costs</v>
          </cell>
          <cell r="G66" t="str">
            <v>Social charges</v>
          </cell>
          <cell r="H66" t="str">
            <v>Social charges</v>
          </cell>
          <cell r="I66">
            <v>1077</v>
          </cell>
          <cell r="J66" t="str">
            <v>CEIT ONLY Supplier fixed costs (Toilets)</v>
          </cell>
        </row>
        <row r="67">
          <cell r="D67">
            <v>302003</v>
          </cell>
          <cell r="E67" t="str">
            <v>Social charges - Be</v>
          </cell>
          <cell r="F67" t="str">
            <v>Staff Costs</v>
          </cell>
          <cell r="G67" t="str">
            <v>Social charges</v>
          </cell>
          <cell r="H67" t="str">
            <v>Social charges</v>
          </cell>
          <cell r="I67">
            <v>1078</v>
          </cell>
          <cell r="J67" t="str">
            <v>CEIT ONLY Supplier variable costs (Saloons/Vestibules/Bar)</v>
          </cell>
        </row>
        <row r="68">
          <cell r="D68">
            <v>302101</v>
          </cell>
          <cell r="E68" t="str">
            <v>Social charges - bonus - UK</v>
          </cell>
          <cell r="F68" t="str">
            <v>Staff Costs</v>
          </cell>
          <cell r="G68" t="str">
            <v>Social charges</v>
          </cell>
          <cell r="H68" t="str">
            <v>Social charges</v>
          </cell>
          <cell r="I68">
            <v>1079</v>
          </cell>
          <cell r="J68" t="str">
            <v>Supplier variable costs (Seats)</v>
          </cell>
        </row>
        <row r="69">
          <cell r="D69">
            <v>302102</v>
          </cell>
          <cell r="E69" t="str">
            <v>Social charges - bonus - Fr</v>
          </cell>
          <cell r="F69" t="str">
            <v>Staff Costs</v>
          </cell>
          <cell r="G69" t="str">
            <v>Social charges</v>
          </cell>
          <cell r="H69" t="str">
            <v>Social charges</v>
          </cell>
          <cell r="I69">
            <v>1080</v>
          </cell>
          <cell r="J69" t="str">
            <v>CEIT ONLY Supplier variable costs (Toilets)</v>
          </cell>
        </row>
        <row r="70">
          <cell r="D70">
            <v>302103</v>
          </cell>
          <cell r="E70" t="str">
            <v>Social charges - bonus - Be</v>
          </cell>
          <cell r="F70" t="str">
            <v>Staff Costs</v>
          </cell>
          <cell r="G70" t="str">
            <v>Social charges</v>
          </cell>
          <cell r="H70" t="str">
            <v>Social charges</v>
          </cell>
          <cell r="I70">
            <v>1081</v>
          </cell>
          <cell r="J70" t="str">
            <v>Wifi Logistics</v>
          </cell>
        </row>
        <row r="71">
          <cell r="D71">
            <v>302900</v>
          </cell>
          <cell r="E71" t="str">
            <v>Offcharge to capital - social charges</v>
          </cell>
          <cell r="F71" t="str">
            <v>Staff Costs</v>
          </cell>
          <cell r="G71" t="str">
            <v>Social charges</v>
          </cell>
          <cell r="H71" t="str">
            <v>Social charges</v>
          </cell>
          <cell r="I71">
            <v>1082</v>
          </cell>
          <cell r="J71" t="str">
            <v>Wifi variations</v>
          </cell>
        </row>
        <row r="72">
          <cell r="D72">
            <v>303001</v>
          </cell>
          <cell r="E72" t="str">
            <v>Pension contributions - UK</v>
          </cell>
          <cell r="F72" t="str">
            <v>Staff Costs</v>
          </cell>
          <cell r="G72" t="str">
            <v>Pension contributions</v>
          </cell>
          <cell r="H72" t="str">
            <v>Pension contributions</v>
          </cell>
          <cell r="I72">
            <v>1083</v>
          </cell>
          <cell r="J72" t="str">
            <v>Wifi Masteris fit-out fixed costs</v>
          </cell>
        </row>
        <row r="73">
          <cell r="D73">
            <v>303002</v>
          </cell>
          <cell r="E73" t="str">
            <v>Pension contributions - SMART</v>
          </cell>
          <cell r="F73" t="str">
            <v>Staff Costs</v>
          </cell>
          <cell r="G73" t="str">
            <v>Pension contributions</v>
          </cell>
          <cell r="H73" t="str">
            <v>Pension contributions</v>
          </cell>
          <cell r="I73">
            <v>1084</v>
          </cell>
          <cell r="J73" t="str">
            <v>PIS Masteris fit-out fixed costs</v>
          </cell>
        </row>
        <row r="74">
          <cell r="D74">
            <v>303003</v>
          </cell>
          <cell r="E74" t="str">
            <v>Pension - actuarial adjustments</v>
          </cell>
          <cell r="F74" t="str">
            <v>Staff Costs</v>
          </cell>
          <cell r="G74" t="str">
            <v>Pension contributions</v>
          </cell>
          <cell r="H74" t="str">
            <v>Pension contributions</v>
          </cell>
          <cell r="I74">
            <v>1085</v>
          </cell>
          <cell r="J74" t="str">
            <v>Masteris integration studies fixed costs</v>
          </cell>
        </row>
        <row r="75">
          <cell r="D75">
            <v>303900</v>
          </cell>
          <cell r="E75" t="str">
            <v>Offcharge to capital - pension costs</v>
          </cell>
          <cell r="F75" t="str">
            <v>Staff Costs</v>
          </cell>
          <cell r="G75" t="str">
            <v>Pension contributions</v>
          </cell>
          <cell r="H75" t="str">
            <v>Pension contributions</v>
          </cell>
          <cell r="I75">
            <v>1086</v>
          </cell>
          <cell r="J75" t="str">
            <v>Wifi Nomad contract fixed costs</v>
          </cell>
        </row>
        <row r="76">
          <cell r="D76">
            <v>304001</v>
          </cell>
          <cell r="E76" t="str">
            <v>Secondees - Salary Fr</v>
          </cell>
          <cell r="F76" t="str">
            <v>Staff Costs</v>
          </cell>
          <cell r="G76" t="str">
            <v>Secondee costs</v>
          </cell>
          <cell r="H76" t="str">
            <v>Secondee costs</v>
          </cell>
          <cell r="I76">
            <v>1087</v>
          </cell>
          <cell r="J76" t="str">
            <v>Wifi Nomad contract variable costs</v>
          </cell>
        </row>
        <row r="77">
          <cell r="D77">
            <v>304002</v>
          </cell>
          <cell r="E77" t="str">
            <v>Secondees - Salary Be</v>
          </cell>
          <cell r="F77" t="str">
            <v>Staff Costs</v>
          </cell>
          <cell r="G77" t="str">
            <v>Secondee costs</v>
          </cell>
          <cell r="H77" t="str">
            <v>Secondee costs</v>
          </cell>
          <cell r="I77">
            <v>1088</v>
          </cell>
          <cell r="J77" t="str">
            <v>Life extension-Brake panel repairs</v>
          </cell>
        </row>
        <row r="78">
          <cell r="D78">
            <v>304101</v>
          </cell>
          <cell r="E78" t="str">
            <v>Secondees - Bonus Fr</v>
          </cell>
          <cell r="F78" t="str">
            <v>Staff Costs</v>
          </cell>
          <cell r="G78" t="str">
            <v>Secondee costs</v>
          </cell>
          <cell r="H78" t="str">
            <v>Secondee costs</v>
          </cell>
          <cell r="I78">
            <v>1089</v>
          </cell>
          <cell r="J78" t="str">
            <v>Life extension-Compressors</v>
          </cell>
        </row>
        <row r="79">
          <cell r="D79">
            <v>304102</v>
          </cell>
          <cell r="E79" t="str">
            <v>Secondees - Bonus Be</v>
          </cell>
          <cell r="F79" t="str">
            <v>Staff Costs</v>
          </cell>
          <cell r="G79" t="str">
            <v>Secondee costs</v>
          </cell>
          <cell r="H79" t="str">
            <v>Secondee costs</v>
          </cell>
          <cell r="I79">
            <v>1090</v>
          </cell>
          <cell r="J79" t="str">
            <v>Life Extension - Bogies</v>
          </cell>
        </row>
        <row r="80">
          <cell r="D80">
            <v>304201</v>
          </cell>
          <cell r="E80" t="str">
            <v>Secondees - Social charges Fr</v>
          </cell>
          <cell r="F80" t="str">
            <v>Staff Costs</v>
          </cell>
          <cell r="G80" t="str">
            <v>Secondee costs</v>
          </cell>
          <cell r="H80" t="str">
            <v>Secondee costs</v>
          </cell>
          <cell r="I80">
            <v>1091</v>
          </cell>
          <cell r="J80" t="str">
            <v>Life extension-Couplers</v>
          </cell>
        </row>
        <row r="81">
          <cell r="D81">
            <v>304202</v>
          </cell>
          <cell r="E81" t="str">
            <v>Secondees - Social charges Be</v>
          </cell>
          <cell r="F81" t="str">
            <v>Staff Costs</v>
          </cell>
          <cell r="G81" t="str">
            <v>Secondee costs</v>
          </cell>
          <cell r="H81" t="str">
            <v>Secondee costs</v>
          </cell>
          <cell r="I81">
            <v>1092</v>
          </cell>
          <cell r="J81" t="str">
            <v>Life extension-Engineering</v>
          </cell>
        </row>
        <row r="82">
          <cell r="D82">
            <v>304301</v>
          </cell>
          <cell r="E82" t="str">
            <v>Secondees - Social charges - bonus - Fr</v>
          </cell>
          <cell r="F82" t="str">
            <v>Staff Costs</v>
          </cell>
          <cell r="G82" t="str">
            <v>Secondee costs</v>
          </cell>
          <cell r="H82" t="str">
            <v>Secondee costs</v>
          </cell>
          <cell r="I82">
            <v>1093</v>
          </cell>
          <cell r="J82" t="str">
            <v>Life extension-Roofs</v>
          </cell>
        </row>
        <row r="83">
          <cell r="D83">
            <v>304302</v>
          </cell>
          <cell r="E83" t="str">
            <v>Secondees - Social charges - bonus Be</v>
          </cell>
          <cell r="F83" t="str">
            <v>Staff Costs</v>
          </cell>
          <cell r="G83" t="str">
            <v>Secondee costs</v>
          </cell>
          <cell r="H83" t="str">
            <v>Secondee costs</v>
          </cell>
          <cell r="I83">
            <v>1094</v>
          </cell>
          <cell r="J83" t="str">
            <v>Life extension-Other SNCF Repairables</v>
          </cell>
        </row>
        <row r="84">
          <cell r="D84">
            <v>305001</v>
          </cell>
          <cell r="E84" t="str">
            <v>Agency staff &amp; contractors</v>
          </cell>
          <cell r="F84" t="str">
            <v>Staff Costs</v>
          </cell>
          <cell r="G84" t="str">
            <v>Agency staff &amp; contractors</v>
          </cell>
          <cell r="H84" t="str">
            <v>Agency staff &amp; contractors</v>
          </cell>
          <cell r="I84">
            <v>1095</v>
          </cell>
          <cell r="J84" t="str">
            <v>Life extension-Maintenance</v>
          </cell>
        </row>
        <row r="85">
          <cell r="D85">
            <v>306001</v>
          </cell>
          <cell r="E85" t="str">
            <v>Health &amp; dental insurance</v>
          </cell>
          <cell r="F85" t="str">
            <v>Staff Costs</v>
          </cell>
          <cell r="G85" t="str">
            <v>Staff benefits</v>
          </cell>
          <cell r="H85" t="str">
            <v>Staff benefits</v>
          </cell>
          <cell r="I85">
            <v>1097</v>
          </cell>
          <cell r="J85" t="str">
            <v>Daher logistics</v>
          </cell>
        </row>
        <row r="86">
          <cell r="D86">
            <v>306002</v>
          </cell>
          <cell r="E86" t="str">
            <v>Staff medical benefits</v>
          </cell>
          <cell r="F86" t="str">
            <v>Staff Costs</v>
          </cell>
          <cell r="G86" t="str">
            <v>Staff benefits</v>
          </cell>
          <cell r="H86" t="str">
            <v>Staff benefits</v>
          </cell>
          <cell r="I86">
            <v>1099</v>
          </cell>
          <cell r="J86" t="str">
            <v>DR costs - Non Siemens contract</v>
          </cell>
        </row>
        <row r="87">
          <cell r="D87">
            <v>306100</v>
          </cell>
          <cell r="E87" t="str">
            <v>Employee Travel Vouchers - control account</v>
          </cell>
          <cell r="F87" t="str">
            <v>Staff Costs</v>
          </cell>
          <cell r="G87" t="str">
            <v>Staff benefits</v>
          </cell>
          <cell r="H87" t="str">
            <v>Staff benefits</v>
          </cell>
          <cell r="I87">
            <v>1100</v>
          </cell>
          <cell r="J87" t="str">
            <v>DR costs - Siemens contract</v>
          </cell>
        </row>
        <row r="88">
          <cell r="D88">
            <v>306101</v>
          </cell>
          <cell r="E88" t="str">
            <v>Employee Travel Vouchers - tax on BIK</v>
          </cell>
          <cell r="F88" t="str">
            <v>Staff Costs</v>
          </cell>
          <cell r="G88" t="str">
            <v>Staff benefits</v>
          </cell>
          <cell r="H88" t="str">
            <v>Staff benefits</v>
          </cell>
          <cell r="I88">
            <v>1101</v>
          </cell>
          <cell r="J88" t="str">
            <v>DR costs - TSSSA Mobilisation pmt</v>
          </cell>
        </row>
        <row r="89">
          <cell r="D89">
            <v>306200</v>
          </cell>
          <cell r="E89" t="str">
            <v>Canteen Subsidy</v>
          </cell>
          <cell r="F89" t="str">
            <v>Staff Costs</v>
          </cell>
          <cell r="G89" t="str">
            <v>Staff benefits</v>
          </cell>
          <cell r="H89" t="str">
            <v>Staff benefits</v>
          </cell>
          <cell r="I89">
            <v>1102</v>
          </cell>
          <cell r="J89" t="str">
            <v>e320 - effective loan interest</v>
          </cell>
        </row>
        <row r="90">
          <cell r="D90">
            <v>306201</v>
          </cell>
          <cell r="E90" t="str">
            <v>Eurostar Social Club</v>
          </cell>
          <cell r="F90" t="str">
            <v>Staff Costs</v>
          </cell>
          <cell r="G90" t="str">
            <v>Staff benefits</v>
          </cell>
          <cell r="H90" t="str">
            <v>Staff benefits</v>
          </cell>
          <cell r="I90">
            <v>1103</v>
          </cell>
          <cell r="J90" t="str">
            <v>e320 (Train readiness) - Purch Agree</v>
          </cell>
        </row>
        <row r="91">
          <cell r="D91">
            <v>306300</v>
          </cell>
          <cell r="E91" t="str">
            <v>PSA tax</v>
          </cell>
          <cell r="F91" t="str">
            <v>Staff Costs</v>
          </cell>
          <cell r="G91" t="str">
            <v>Staff benefits</v>
          </cell>
          <cell r="H91" t="str">
            <v>Staff benefits</v>
          </cell>
          <cell r="I91">
            <v>1104</v>
          </cell>
          <cell r="J91" t="str">
            <v>EMS Costs</v>
          </cell>
        </row>
        <row r="92">
          <cell r="D92">
            <v>306301</v>
          </cell>
          <cell r="E92" t="str">
            <v>Expat Tax Equalisation</v>
          </cell>
          <cell r="F92" t="str">
            <v>Staff Costs</v>
          </cell>
          <cell r="G92" t="str">
            <v>Staff benefits</v>
          </cell>
          <cell r="H92" t="str">
            <v>Staff benefits</v>
          </cell>
          <cell r="I92">
            <v>1105</v>
          </cell>
          <cell r="J92" t="str">
            <v>Power Module Life Extension</v>
          </cell>
        </row>
        <row r="93">
          <cell r="D93">
            <v>306302</v>
          </cell>
          <cell r="E93" t="str">
            <v>Train Manager tax treaty</v>
          </cell>
          <cell r="F93" t="str">
            <v>Staff Costs</v>
          </cell>
          <cell r="G93" t="str">
            <v>Staff benefits</v>
          </cell>
          <cell r="H93" t="str">
            <v>Staff benefits</v>
          </cell>
          <cell r="I93">
            <v>1107</v>
          </cell>
          <cell r="J93" t="str">
            <v>Common Block Life Extension</v>
          </cell>
        </row>
        <row r="94">
          <cell r="D94">
            <v>306900</v>
          </cell>
          <cell r="E94" t="str">
            <v>Untaken annual leave cost</v>
          </cell>
          <cell r="F94" t="str">
            <v>Staff Costs</v>
          </cell>
          <cell r="G94" t="str">
            <v>Staff benefits</v>
          </cell>
          <cell r="H94" t="str">
            <v>Staff benefits</v>
          </cell>
          <cell r="I94">
            <v>1108</v>
          </cell>
          <cell r="J94" t="str">
            <v>Timetabling tool - MANTRA</v>
          </cell>
        </row>
        <row r="95">
          <cell r="D95">
            <v>307001</v>
          </cell>
          <cell r="E95" t="str">
            <v>Staff entertainment</v>
          </cell>
          <cell r="F95" t="str">
            <v>Staff Costs</v>
          </cell>
          <cell r="G95" t="str">
            <v>Other staff costs</v>
          </cell>
          <cell r="H95" t="str">
            <v>Other staff costs</v>
          </cell>
          <cell r="I95">
            <v>1109</v>
          </cell>
          <cell r="J95" t="str">
            <v>Traction Motor Refurb</v>
          </cell>
        </row>
        <row r="96">
          <cell r="D96">
            <v>307002</v>
          </cell>
          <cell r="E96" t="str">
            <v>Relocation costs</v>
          </cell>
          <cell r="F96" t="str">
            <v>Staff Costs</v>
          </cell>
          <cell r="G96" t="str">
            <v>Other staff costs</v>
          </cell>
          <cell r="H96" t="str">
            <v>Other staff costs</v>
          </cell>
          <cell r="I96">
            <v>1110</v>
          </cell>
          <cell r="J96" t="str">
            <v>Transformer Life Extension</v>
          </cell>
        </row>
        <row r="97">
          <cell r="D97">
            <v>307003</v>
          </cell>
          <cell r="E97" t="str">
            <v>Comité d'Entreprise costs</v>
          </cell>
          <cell r="F97" t="str">
            <v>Staff Costs</v>
          </cell>
          <cell r="G97" t="str">
            <v>Other staff costs</v>
          </cell>
          <cell r="H97" t="str">
            <v>Other staff costs</v>
          </cell>
          <cell r="I97">
            <v>1112</v>
          </cell>
          <cell r="J97" t="str">
            <v>Materials</v>
          </cell>
        </row>
        <row r="98">
          <cell r="D98">
            <v>307004</v>
          </cell>
          <cell r="E98" t="str">
            <v>Uniforms</v>
          </cell>
          <cell r="F98" t="str">
            <v>Staff Costs</v>
          </cell>
          <cell r="G98" t="str">
            <v>Other staff costs</v>
          </cell>
          <cell r="H98" t="str">
            <v>Other staff costs</v>
          </cell>
          <cell r="I98">
            <v>1113</v>
          </cell>
          <cell r="J98" t="str">
            <v>Académie du service design</v>
          </cell>
        </row>
        <row r="99">
          <cell r="D99">
            <v>307006</v>
          </cell>
          <cell r="E99" t="str">
            <v>Personal protective equipment</v>
          </cell>
          <cell r="F99" t="str">
            <v>Staff Costs</v>
          </cell>
          <cell r="G99" t="str">
            <v>Other staff costs</v>
          </cell>
          <cell r="H99" t="str">
            <v>Other staff costs</v>
          </cell>
          <cell r="I99">
            <v>1114</v>
          </cell>
          <cell r="J99" t="str">
            <v>ADS - Behavioural based training programmes &amp; material</v>
          </cell>
        </row>
        <row r="100">
          <cell r="D100">
            <v>307007</v>
          </cell>
          <cell r="E100" t="str">
            <v>Employee memberships</v>
          </cell>
          <cell r="F100" t="str">
            <v>Staff Costs</v>
          </cell>
          <cell r="G100" t="str">
            <v>Other staff costs</v>
          </cell>
          <cell r="H100" t="str">
            <v>Other staff costs</v>
          </cell>
          <cell r="I100">
            <v>1115</v>
          </cell>
          <cell r="J100" t="str">
            <v>Ashford &amp; transfer</v>
          </cell>
        </row>
        <row r="101">
          <cell r="D101">
            <v>307008</v>
          </cell>
          <cell r="E101" t="str">
            <v>Staff rewards</v>
          </cell>
          <cell r="F101" t="str">
            <v>Staff Costs</v>
          </cell>
          <cell r="G101" t="str">
            <v>Other staff costs</v>
          </cell>
          <cell r="H101" t="str">
            <v>Other staff costs</v>
          </cell>
          <cell r="I101">
            <v>1116</v>
          </cell>
          <cell r="J101" t="str">
            <v>Central Services training</v>
          </cell>
        </row>
        <row r="102">
          <cell r="D102">
            <v>307009</v>
          </cell>
          <cell r="E102" t="str">
            <v>Medical examinations</v>
          </cell>
          <cell r="F102" t="str">
            <v>Staff Costs</v>
          </cell>
          <cell r="G102" t="str">
            <v>Other staff costs</v>
          </cell>
          <cell r="H102" t="str">
            <v>Other staff costs</v>
          </cell>
          <cell r="I102">
            <v>1117</v>
          </cell>
          <cell r="J102" t="str">
            <v>Commercial training</v>
          </cell>
        </row>
        <row r="103">
          <cell r="D103">
            <v>307100</v>
          </cell>
          <cell r="E103" t="str">
            <v>Recruitment - agency fees</v>
          </cell>
          <cell r="F103" t="str">
            <v>Staff Costs</v>
          </cell>
          <cell r="G103" t="str">
            <v>Other staff costs</v>
          </cell>
          <cell r="H103" t="str">
            <v>Other staff costs</v>
          </cell>
          <cell r="I103">
            <v>1118</v>
          </cell>
          <cell r="J103" t="str">
            <v>Customer Special Events</v>
          </cell>
        </row>
        <row r="104">
          <cell r="D104">
            <v>307101</v>
          </cell>
          <cell r="E104" t="str">
            <v>Recruitment - other</v>
          </cell>
          <cell r="F104" t="str">
            <v>Staff Costs</v>
          </cell>
          <cell r="G104" t="str">
            <v>Other staff costs</v>
          </cell>
          <cell r="H104" t="str">
            <v>Other staff costs</v>
          </cell>
          <cell r="I104">
            <v>1120</v>
          </cell>
          <cell r="J104" t="str">
            <v>Essential Management Programme</v>
          </cell>
        </row>
        <row r="105">
          <cell r="D105">
            <v>307200</v>
          </cell>
          <cell r="E105" t="str">
            <v>Training</v>
          </cell>
          <cell r="F105" t="str">
            <v>Staff Costs</v>
          </cell>
          <cell r="G105" t="str">
            <v>Other staff costs</v>
          </cell>
          <cell r="H105" t="str">
            <v>Other staff costs</v>
          </cell>
          <cell r="I105">
            <v>1121</v>
          </cell>
          <cell r="J105" t="str">
            <v>Mystery Shopping</v>
          </cell>
        </row>
        <row r="106">
          <cell r="D106">
            <v>307201</v>
          </cell>
          <cell r="E106" t="str">
            <v>Training - language</v>
          </cell>
          <cell r="F106" t="str">
            <v>Staff Costs</v>
          </cell>
          <cell r="G106" t="str">
            <v>Other staff costs</v>
          </cell>
          <cell r="H106" t="str">
            <v>Other staff costs</v>
          </cell>
          <cell r="I106">
            <v>1122</v>
          </cell>
          <cell r="J106" t="str">
            <v>Uniform Vouchers</v>
          </cell>
        </row>
        <row r="107">
          <cell r="D107">
            <v>307202</v>
          </cell>
          <cell r="E107" t="str">
            <v>Training - management development</v>
          </cell>
          <cell r="F107" t="str">
            <v>Staff Costs</v>
          </cell>
          <cell r="G107" t="str">
            <v>Other staff costs</v>
          </cell>
          <cell r="H107" t="str">
            <v>Other staff costs</v>
          </cell>
          <cell r="I107">
            <v>1123</v>
          </cell>
          <cell r="J107" t="str">
            <v>Hi Potential Programme</v>
          </cell>
        </row>
        <row r="108">
          <cell r="D108">
            <v>307203</v>
          </cell>
          <cell r="E108" t="str">
            <v>Training - apprenticeship levy</v>
          </cell>
          <cell r="F108" t="str">
            <v>Staff Costs</v>
          </cell>
          <cell r="G108" t="str">
            <v>Other staff costs</v>
          </cell>
          <cell r="H108" t="str">
            <v>Other staff costs</v>
          </cell>
          <cell r="I108">
            <v>1124</v>
          </cell>
          <cell r="J108" t="str">
            <v>Introducing Eurostar</v>
          </cell>
        </row>
        <row r="109">
          <cell r="D109">
            <v>307900</v>
          </cell>
          <cell r="E109" t="str">
            <v>Intercompany costs - 5% staff recharge</v>
          </cell>
          <cell r="F109" t="str">
            <v>Staff Costs</v>
          </cell>
          <cell r="G109" t="str">
            <v>Other staff costs</v>
          </cell>
          <cell r="H109" t="str">
            <v>Other staff costs</v>
          </cell>
          <cell r="I109">
            <v>1126</v>
          </cell>
          <cell r="J109" t="str">
            <v>Management and Leadership programme</v>
          </cell>
        </row>
        <row r="110">
          <cell r="D110">
            <v>310001</v>
          </cell>
          <cell r="E110" t="str">
            <v>Sales support</v>
          </cell>
          <cell r="F110" t="str">
            <v>Sales &amp; Marketing</v>
          </cell>
          <cell r="G110" t="str">
            <v>Sales team costs</v>
          </cell>
          <cell r="H110" t="str">
            <v>Sales team costs</v>
          </cell>
          <cell r="I110">
            <v>1128</v>
          </cell>
          <cell r="J110" t="str">
            <v>Recognition Programme</v>
          </cell>
        </row>
        <row r="111">
          <cell r="D111">
            <v>311001</v>
          </cell>
          <cell r="E111" t="str">
            <v>Marketing agency fees</v>
          </cell>
          <cell r="F111" t="str">
            <v>Sales &amp; Marketing</v>
          </cell>
          <cell r="G111" t="str">
            <v>Marketing - agency fees</v>
          </cell>
          <cell r="H111" t="str">
            <v>Marketing - agency fees</v>
          </cell>
          <cell r="I111">
            <v>1129</v>
          </cell>
          <cell r="J111" t="str">
            <v>Senior Manager</v>
          </cell>
        </row>
        <row r="112">
          <cell r="D112">
            <v>312001</v>
          </cell>
          <cell r="E112" t="str">
            <v>Media - destination content</v>
          </cell>
          <cell r="F112" t="str">
            <v>Sales &amp; Marketing</v>
          </cell>
          <cell r="G112" t="str">
            <v>Marketing - media</v>
          </cell>
          <cell r="H112" t="str">
            <v>Marketing - media</v>
          </cell>
          <cell r="I112">
            <v>1130</v>
          </cell>
          <cell r="J112" t="str">
            <v>Service and People training</v>
          </cell>
        </row>
        <row r="113">
          <cell r="D113">
            <v>312002</v>
          </cell>
          <cell r="E113" t="str">
            <v>Media - sales activation core</v>
          </cell>
          <cell r="F113" t="str">
            <v>Sales &amp; Marketing</v>
          </cell>
          <cell r="G113" t="str">
            <v>Marketing - media</v>
          </cell>
          <cell r="H113" t="str">
            <v>Marketing - media</v>
          </cell>
          <cell r="I113">
            <v>1131</v>
          </cell>
          <cell r="J113" t="str">
            <v>Service Excellence Incentive</v>
          </cell>
        </row>
        <row r="114">
          <cell r="D114">
            <v>312003</v>
          </cell>
          <cell r="E114" t="str">
            <v>Media - external brand activation</v>
          </cell>
          <cell r="F114" t="str">
            <v>Sales &amp; Marketing</v>
          </cell>
          <cell r="G114" t="str">
            <v>Marketing - media</v>
          </cell>
          <cell r="H114" t="str">
            <v>Marketing - media</v>
          </cell>
          <cell r="I114">
            <v>1133</v>
          </cell>
          <cell r="J114" t="str">
            <v>Special projects OCS</v>
          </cell>
        </row>
        <row r="115">
          <cell r="D115">
            <v>312004</v>
          </cell>
          <cell r="E115" t="str">
            <v>Media - internal brand activation</v>
          </cell>
          <cell r="F115" t="str">
            <v>Sales &amp; Marketing</v>
          </cell>
          <cell r="G115" t="str">
            <v>Marketing - media</v>
          </cell>
          <cell r="H115" t="str">
            <v>Marketing - media</v>
          </cell>
          <cell r="I115">
            <v>1135</v>
          </cell>
          <cell r="J115" t="str">
            <v>Thank You Points</v>
          </cell>
        </row>
        <row r="116">
          <cell r="D116">
            <v>312005</v>
          </cell>
          <cell r="E116" t="str">
            <v>Media - brand reacts</v>
          </cell>
          <cell r="F116" t="str">
            <v>Sales &amp; Marketing</v>
          </cell>
          <cell r="G116" t="str">
            <v>Marketing - media</v>
          </cell>
          <cell r="H116" t="str">
            <v>Marketing - media</v>
          </cell>
          <cell r="I116">
            <v>1136</v>
          </cell>
          <cell r="J116" t="str">
            <v>Customer Toolkits</v>
          </cell>
        </row>
        <row r="117">
          <cell r="D117">
            <v>312007</v>
          </cell>
          <cell r="E117" t="str">
            <v>Media - international</v>
          </cell>
          <cell r="F117" t="str">
            <v>Sales &amp; Marketing</v>
          </cell>
          <cell r="G117" t="str">
            <v>Marketing - media</v>
          </cell>
          <cell r="H117" t="str">
            <v>Marketing - media</v>
          </cell>
          <cell r="I117">
            <v>1137</v>
          </cell>
          <cell r="J117" t="str">
            <v>UK &amp; transfer</v>
          </cell>
        </row>
        <row r="118">
          <cell r="D118">
            <v>312008</v>
          </cell>
          <cell r="E118" t="str">
            <v>Media - new markets</v>
          </cell>
          <cell r="F118" t="str">
            <v>Sales &amp; Marketing</v>
          </cell>
          <cell r="G118" t="str">
            <v>Marketing - media</v>
          </cell>
          <cell r="H118" t="str">
            <v>Marketing - media</v>
          </cell>
          <cell r="I118">
            <v>1145</v>
          </cell>
          <cell r="J118" t="str">
            <v>Security X-Ray Machines</v>
          </cell>
        </row>
        <row r="119">
          <cell r="D119">
            <v>312009</v>
          </cell>
          <cell r="E119" t="str">
            <v>Marketing Media</v>
          </cell>
          <cell r="F119" t="str">
            <v>Sales &amp; Marketing</v>
          </cell>
          <cell r="G119" t="str">
            <v>Marketing - media</v>
          </cell>
          <cell r="H119" t="str">
            <v>Marketing - media</v>
          </cell>
          <cell r="I119">
            <v>1147</v>
          </cell>
          <cell r="J119" t="str">
            <v>SPI Ticket Office Refurb</v>
          </cell>
        </row>
        <row r="120">
          <cell r="D120">
            <v>313001</v>
          </cell>
          <cell r="E120" t="str">
            <v>Marketing production - destination content</v>
          </cell>
          <cell r="F120" t="str">
            <v>Sales &amp; Marketing</v>
          </cell>
          <cell r="G120" t="str">
            <v>Marketing - production</v>
          </cell>
          <cell r="H120" t="str">
            <v>Marketing - production</v>
          </cell>
          <cell r="I120">
            <v>1148</v>
          </cell>
          <cell r="J120" t="str">
            <v>Train Mgr App</v>
          </cell>
        </row>
        <row r="121">
          <cell r="D121">
            <v>313002</v>
          </cell>
          <cell r="E121" t="str">
            <v>Marketing production - sales activation core</v>
          </cell>
          <cell r="F121" t="str">
            <v>Sales &amp; Marketing</v>
          </cell>
          <cell r="G121" t="str">
            <v>Marketing - production</v>
          </cell>
          <cell r="H121" t="str">
            <v>Marketing - production</v>
          </cell>
          <cell r="I121">
            <v>1150</v>
          </cell>
          <cell r="J121" t="str">
            <v>Brussels-Lille</v>
          </cell>
        </row>
        <row r="122">
          <cell r="D122">
            <v>313003</v>
          </cell>
          <cell r="E122" t="str">
            <v>Marketing production - external brand activation</v>
          </cell>
          <cell r="F122" t="str">
            <v>Sales &amp; Marketing</v>
          </cell>
          <cell r="G122" t="str">
            <v>Marketing - production</v>
          </cell>
          <cell r="H122" t="str">
            <v>Marketing - production</v>
          </cell>
          <cell r="I122">
            <v>1151</v>
          </cell>
          <cell r="J122" t="str">
            <v>Efficiency savings</v>
          </cell>
        </row>
        <row r="123">
          <cell r="D123">
            <v>313004</v>
          </cell>
          <cell r="E123" t="str">
            <v>Marketing production - internal brand activation</v>
          </cell>
          <cell r="F123" t="str">
            <v>Sales &amp; Marketing</v>
          </cell>
          <cell r="G123" t="str">
            <v>Marketing - production</v>
          </cell>
          <cell r="H123" t="str">
            <v>Marketing - production</v>
          </cell>
          <cell r="I123">
            <v>1152</v>
          </cell>
          <cell r="J123" t="str">
            <v>DSS</v>
          </cell>
        </row>
        <row r="124">
          <cell r="D124">
            <v>313005</v>
          </cell>
          <cell r="E124" t="str">
            <v>Marketing production - brand reacts</v>
          </cell>
          <cell r="F124" t="str">
            <v>Sales &amp; Marketing</v>
          </cell>
          <cell r="G124" t="str">
            <v>Marketing - production</v>
          </cell>
          <cell r="H124" t="str">
            <v>Marketing - production</v>
          </cell>
          <cell r="I124">
            <v>1153</v>
          </cell>
          <cell r="J124" t="str">
            <v>Intelligence Customer Management</v>
          </cell>
        </row>
        <row r="125">
          <cell r="D125">
            <v>313006</v>
          </cell>
          <cell r="E125" t="str">
            <v>Marketing production - CRM</v>
          </cell>
          <cell r="F125" t="str">
            <v>Sales &amp; Marketing</v>
          </cell>
          <cell r="G125" t="str">
            <v>Marketing - production</v>
          </cell>
          <cell r="H125" t="str">
            <v>Marketing - production</v>
          </cell>
          <cell r="I125">
            <v>1154</v>
          </cell>
          <cell r="J125" t="str">
            <v>I-Pad Application for Train Managers</v>
          </cell>
        </row>
        <row r="126">
          <cell r="D126">
            <v>313007</v>
          </cell>
          <cell r="E126" t="str">
            <v>Marketing production - international</v>
          </cell>
          <cell r="F126" t="str">
            <v>Sales &amp; Marketing</v>
          </cell>
          <cell r="G126" t="str">
            <v>Marketing - production</v>
          </cell>
          <cell r="H126" t="str">
            <v>Marketing - production</v>
          </cell>
          <cell r="I126">
            <v>1156</v>
          </cell>
          <cell r="J126" t="str">
            <v>Lille office fit-out</v>
          </cell>
        </row>
        <row r="127">
          <cell r="D127">
            <v>313008</v>
          </cell>
          <cell r="E127" t="str">
            <v>Marketing production - new markets</v>
          </cell>
          <cell r="F127" t="str">
            <v>Sales &amp; Marketing</v>
          </cell>
          <cell r="G127" t="str">
            <v>Marketing - production</v>
          </cell>
          <cell r="H127" t="str">
            <v>Marketing - production</v>
          </cell>
          <cell r="I127">
            <v>1157</v>
          </cell>
          <cell r="J127" t="str">
            <v>Markview</v>
          </cell>
        </row>
        <row r="128">
          <cell r="D128">
            <v>313009</v>
          </cell>
          <cell r="E128" t="str">
            <v>Marketing Production</v>
          </cell>
          <cell r="F128" t="str">
            <v>Sales &amp; Marketing</v>
          </cell>
          <cell r="G128" t="str">
            <v>Marketing - production</v>
          </cell>
          <cell r="H128" t="str">
            <v>Marketing - production</v>
          </cell>
          <cell r="I128">
            <v>1158</v>
          </cell>
          <cell r="J128" t="str">
            <v>Oracle R12 Reimplementation</v>
          </cell>
        </row>
        <row r="129">
          <cell r="D129">
            <v>314001</v>
          </cell>
          <cell r="E129" t="str">
            <v>Marketing support - planning &amp; research</v>
          </cell>
          <cell r="F129" t="str">
            <v>Sales &amp; Marketing</v>
          </cell>
          <cell r="G129" t="str">
            <v>Marketing - support</v>
          </cell>
          <cell r="H129" t="str">
            <v>Marketing - support</v>
          </cell>
          <cell r="I129">
            <v>1160</v>
          </cell>
          <cell r="J129" t="str">
            <v>Training Simulator</v>
          </cell>
        </row>
        <row r="130">
          <cell r="D130">
            <v>314002</v>
          </cell>
          <cell r="E130" t="str">
            <v>Marketing support - international</v>
          </cell>
          <cell r="F130" t="str">
            <v>Sales &amp; Marketing</v>
          </cell>
          <cell r="G130" t="str">
            <v>Marketing - support</v>
          </cell>
          <cell r="H130" t="str">
            <v>Marketing - support</v>
          </cell>
          <cell r="I130">
            <v>1161</v>
          </cell>
          <cell r="J130" t="str">
            <v>Treasury Management System</v>
          </cell>
        </row>
        <row r="131">
          <cell r="D131">
            <v>314003</v>
          </cell>
          <cell r="E131" t="str">
            <v>Marketing support - new markets</v>
          </cell>
          <cell r="F131" t="str">
            <v>Sales &amp; Marketing</v>
          </cell>
          <cell r="G131" t="str">
            <v>Marketing - support</v>
          </cell>
          <cell r="H131" t="str">
            <v>Marketing - support</v>
          </cell>
          <cell r="I131">
            <v>1162</v>
          </cell>
          <cell r="J131" t="str">
            <v>15Below</v>
          </cell>
        </row>
        <row r="132">
          <cell r="D132">
            <v>314004</v>
          </cell>
          <cell r="E132" t="str">
            <v>Marketing support - SEO</v>
          </cell>
          <cell r="F132" t="str">
            <v>Sales &amp; Marketing</v>
          </cell>
          <cell r="G132" t="str">
            <v>Marketing - support</v>
          </cell>
          <cell r="H132" t="str">
            <v>Marketing - support</v>
          </cell>
          <cell r="I132">
            <v>1163</v>
          </cell>
          <cell r="J132" t="str">
            <v>Address validation</v>
          </cell>
        </row>
        <row r="133">
          <cell r="D133">
            <v>314005</v>
          </cell>
          <cell r="E133" t="str">
            <v>Marketing support - CRM</v>
          </cell>
          <cell r="F133" t="str">
            <v>Sales &amp; Marketing</v>
          </cell>
          <cell r="G133" t="str">
            <v>Marketing - support</v>
          </cell>
          <cell r="H133" t="str">
            <v>Marketing - support</v>
          </cell>
          <cell r="I133">
            <v>1164</v>
          </cell>
          <cell r="J133" t="str">
            <v>Alfresco</v>
          </cell>
        </row>
        <row r="134">
          <cell r="D134">
            <v>314006</v>
          </cell>
          <cell r="E134" t="str">
            <v>Marketing support - digital content</v>
          </cell>
          <cell r="F134" t="str">
            <v>Sales &amp; Marketing</v>
          </cell>
          <cell r="G134" t="str">
            <v>Marketing - support</v>
          </cell>
          <cell r="H134" t="str">
            <v>Marketing - support</v>
          </cell>
          <cell r="I134">
            <v>1165</v>
          </cell>
          <cell r="J134" t="str">
            <v>Atess</v>
          </cell>
        </row>
        <row r="135">
          <cell r="D135">
            <v>314009</v>
          </cell>
          <cell r="E135" t="str">
            <v>Marketing Research</v>
          </cell>
          <cell r="F135" t="str">
            <v>Sales &amp; Marketing</v>
          </cell>
          <cell r="G135" t="str">
            <v>Marketing - support</v>
          </cell>
          <cell r="H135" t="str">
            <v>Marketing - support</v>
          </cell>
          <cell r="I135">
            <v>1166</v>
          </cell>
          <cell r="J135" t="str">
            <v>BACS</v>
          </cell>
        </row>
        <row r="136">
          <cell r="D136">
            <v>315001</v>
          </cell>
          <cell r="E136" t="str">
            <v>Design &amp; artwork</v>
          </cell>
          <cell r="F136" t="str">
            <v>Sales &amp; Marketing</v>
          </cell>
          <cell r="G136" t="str">
            <v>Marketing - other</v>
          </cell>
          <cell r="H136" t="str">
            <v>Marketing - other</v>
          </cell>
          <cell r="I136">
            <v>1167</v>
          </cell>
          <cell r="J136" t="str">
            <v>Business Objects</v>
          </cell>
        </row>
        <row r="137">
          <cell r="D137">
            <v>315101</v>
          </cell>
          <cell r="E137" t="str">
            <v>Internal Events</v>
          </cell>
          <cell r="F137" t="str">
            <v>Sales &amp; Marketing</v>
          </cell>
          <cell r="G137" t="str">
            <v>Marketing - other</v>
          </cell>
          <cell r="H137" t="str">
            <v>Marketing - other</v>
          </cell>
          <cell r="I137">
            <v>1168</v>
          </cell>
          <cell r="J137" t="str">
            <v>Cobra</v>
          </cell>
        </row>
        <row r="138">
          <cell r="D138">
            <v>315102</v>
          </cell>
          <cell r="E138" t="str">
            <v>VIP travel</v>
          </cell>
          <cell r="F138" t="str">
            <v>Sales &amp; Marketing</v>
          </cell>
          <cell r="G138" t="str">
            <v>Marketing - other</v>
          </cell>
          <cell r="H138" t="str">
            <v>Marketing - other</v>
          </cell>
          <cell r="I138">
            <v>1169</v>
          </cell>
          <cell r="J138" t="str">
            <v>Contract Management System</v>
          </cell>
        </row>
        <row r="139">
          <cell r="D139">
            <v>315103</v>
          </cell>
          <cell r="E139" t="str">
            <v>Corporate entertainment &amp; gifts</v>
          </cell>
          <cell r="F139" t="str">
            <v>Sales &amp; Marketing</v>
          </cell>
          <cell r="G139" t="str">
            <v>Marketing - other</v>
          </cell>
          <cell r="H139" t="str">
            <v>Marketing - other</v>
          </cell>
          <cell r="I139">
            <v>1170</v>
          </cell>
          <cell r="J139" t="str">
            <v>EBI ATM</v>
          </cell>
        </row>
        <row r="140">
          <cell r="D140">
            <v>315104</v>
          </cell>
          <cell r="E140" t="str">
            <v>Sponsorship fees</v>
          </cell>
          <cell r="F140" t="str">
            <v>Sales &amp; Marketing</v>
          </cell>
          <cell r="G140" t="str">
            <v>Marketing - other</v>
          </cell>
          <cell r="H140" t="str">
            <v>Marketing - other</v>
          </cell>
          <cell r="I140">
            <v>1171</v>
          </cell>
          <cell r="J140" t="str">
            <v>EBI Caffe Nero</v>
          </cell>
        </row>
        <row r="141">
          <cell r="D141">
            <v>315105</v>
          </cell>
          <cell r="E141" t="str">
            <v>Charitable donations</v>
          </cell>
          <cell r="F141" t="str">
            <v>Sales &amp; Marketing</v>
          </cell>
          <cell r="G141" t="str">
            <v>Marketing - other</v>
          </cell>
          <cell r="H141" t="str">
            <v>Marketing - other</v>
          </cell>
          <cell r="I141">
            <v>1172</v>
          </cell>
          <cell r="J141" t="str">
            <v>EBI WH Smith</v>
          </cell>
        </row>
        <row r="142">
          <cell r="D142">
            <v>315106</v>
          </cell>
          <cell r="E142" t="str">
            <v>Partnerships</v>
          </cell>
          <cell r="F142" t="str">
            <v>Sales &amp; Marketing</v>
          </cell>
          <cell r="G142" t="str">
            <v>Marketing - other</v>
          </cell>
          <cell r="H142" t="str">
            <v>Marketing - other</v>
          </cell>
          <cell r="I142">
            <v>1173</v>
          </cell>
          <cell r="J142" t="str">
            <v>E-connect</v>
          </cell>
        </row>
        <row r="143">
          <cell r="D143">
            <v>315107</v>
          </cell>
          <cell r="E143" t="str">
            <v>CSR</v>
          </cell>
          <cell r="F143" t="str">
            <v>Sales &amp; Marketing</v>
          </cell>
          <cell r="G143" t="str">
            <v>Marketing - other</v>
          </cell>
          <cell r="H143" t="str">
            <v>Marketing - other</v>
          </cell>
          <cell r="I143">
            <v>1174</v>
          </cell>
          <cell r="J143" t="str">
            <v>EDCS</v>
          </cell>
        </row>
        <row r="144">
          <cell r="D144">
            <v>315108</v>
          </cell>
          <cell r="E144" t="str">
            <v>Political donations</v>
          </cell>
          <cell r="F144" t="str">
            <v>Sales &amp; Marketing</v>
          </cell>
          <cell r="G144" t="str">
            <v>Marketing - other</v>
          </cell>
          <cell r="H144" t="str">
            <v>Marketing - other</v>
          </cell>
          <cell r="I144">
            <v>1175</v>
          </cell>
          <cell r="J144" t="str">
            <v>ELGAR</v>
          </cell>
        </row>
        <row r="145">
          <cell r="D145">
            <v>315200</v>
          </cell>
          <cell r="E145" t="str">
            <v>Associations &amp; affiliations</v>
          </cell>
          <cell r="F145" t="str">
            <v>Sales &amp; Marketing</v>
          </cell>
          <cell r="G145" t="str">
            <v>Marketing - other</v>
          </cell>
          <cell r="H145" t="str">
            <v>Marketing - other</v>
          </cell>
          <cell r="I145">
            <v>1176</v>
          </cell>
          <cell r="J145" t="str">
            <v>Equinox</v>
          </cell>
        </row>
        <row r="146">
          <cell r="D146">
            <v>315300</v>
          </cell>
          <cell r="E146" t="str">
            <v>PR - media monitoring</v>
          </cell>
          <cell r="F146" t="str">
            <v>Sales &amp; Marketing</v>
          </cell>
          <cell r="G146" t="str">
            <v>Marketing - other</v>
          </cell>
          <cell r="H146" t="str">
            <v>Marketing - other</v>
          </cell>
          <cell r="I146">
            <v>1177</v>
          </cell>
          <cell r="J146" t="str">
            <v>Eurotunnel</v>
          </cell>
        </row>
        <row r="147">
          <cell r="D147">
            <v>315301</v>
          </cell>
          <cell r="E147" t="str">
            <v>PR - general</v>
          </cell>
          <cell r="F147" t="str">
            <v>Sales &amp; Marketing</v>
          </cell>
          <cell r="G147" t="str">
            <v>Marketing - other</v>
          </cell>
          <cell r="H147" t="str">
            <v>Marketing - other</v>
          </cell>
          <cell r="I147">
            <v>1178</v>
          </cell>
          <cell r="J147" t="str">
            <v>Ex Gratia - company-wide</v>
          </cell>
        </row>
        <row r="148">
          <cell r="D148">
            <v>316001</v>
          </cell>
          <cell r="E148" t="str">
            <v>EFT - communications</v>
          </cell>
          <cell r="F148" t="str">
            <v>Customer experience</v>
          </cell>
          <cell r="G148" t="str">
            <v>Loyalty scheme</v>
          </cell>
          <cell r="H148" t="str">
            <v>Loyalty scheme</v>
          </cell>
          <cell r="I148">
            <v>1179</v>
          </cell>
          <cell r="J148" t="str">
            <v>Iloyal</v>
          </cell>
        </row>
        <row r="149">
          <cell r="D149">
            <v>316002</v>
          </cell>
          <cell r="E149" t="str">
            <v>EFT - reward costs</v>
          </cell>
          <cell r="F149" t="str">
            <v>Customer experience</v>
          </cell>
          <cell r="G149" t="str">
            <v>Loyalty scheme</v>
          </cell>
          <cell r="H149" t="str">
            <v>Loyalty scheme</v>
          </cell>
          <cell r="I149">
            <v>1180</v>
          </cell>
          <cell r="J149" t="str">
            <v>IS Transformation</v>
          </cell>
        </row>
        <row r="150">
          <cell r="D150">
            <v>316100</v>
          </cell>
          <cell r="E150" t="str">
            <v>EPP - communications</v>
          </cell>
          <cell r="F150" t="str">
            <v>Customer experience</v>
          </cell>
          <cell r="G150" t="str">
            <v>Loyalty scheme</v>
          </cell>
          <cell r="H150" t="str">
            <v>Loyalty scheme</v>
          </cell>
          <cell r="I150">
            <v>1181</v>
          </cell>
          <cell r="J150" t="str">
            <v>Kallidus</v>
          </cell>
        </row>
        <row r="151">
          <cell r="D151">
            <v>317001</v>
          </cell>
          <cell r="E151" t="str">
            <v>Customer satisfaction &amp; Feedback</v>
          </cell>
          <cell r="F151" t="str">
            <v>Customer experience</v>
          </cell>
          <cell r="G151" t="str">
            <v>Product</v>
          </cell>
          <cell r="H151" t="str">
            <v>Product</v>
          </cell>
          <cell r="I151">
            <v>1182</v>
          </cell>
          <cell r="J151" t="str">
            <v>Metafour</v>
          </cell>
        </row>
        <row r="152">
          <cell r="D152">
            <v>317002</v>
          </cell>
          <cell r="E152" t="str">
            <v>Customer feedback</v>
          </cell>
          <cell r="F152" t="str">
            <v>Customer experience</v>
          </cell>
          <cell r="G152" t="str">
            <v>Product</v>
          </cell>
          <cell r="H152" t="str">
            <v>Product</v>
          </cell>
          <cell r="I152">
            <v>1183</v>
          </cell>
          <cell r="J152" t="str">
            <v>Metastorm</v>
          </cell>
        </row>
        <row r="153">
          <cell r="D153">
            <v>317100</v>
          </cell>
          <cell r="E153" t="str">
            <v>Product development</v>
          </cell>
          <cell r="F153" t="str">
            <v>Customer experience</v>
          </cell>
          <cell r="G153" t="str">
            <v>Product</v>
          </cell>
          <cell r="H153" t="str">
            <v>Product</v>
          </cell>
          <cell r="I153">
            <v>1184</v>
          </cell>
          <cell r="J153" t="str">
            <v>Microsoft</v>
          </cell>
        </row>
        <row r="154">
          <cell r="D154">
            <v>317200</v>
          </cell>
          <cell r="E154" t="str">
            <v>Connections development</v>
          </cell>
          <cell r="F154" t="str">
            <v>Customer experience</v>
          </cell>
          <cell r="G154" t="str">
            <v>Product</v>
          </cell>
          <cell r="H154" t="str">
            <v>Product</v>
          </cell>
          <cell r="I154">
            <v>1185</v>
          </cell>
          <cell r="J154" t="str">
            <v>Mobile Solutions for Customers</v>
          </cell>
        </row>
        <row r="155">
          <cell r="D155">
            <v>317301</v>
          </cell>
          <cell r="E155" t="str">
            <v>WiFi vouchers</v>
          </cell>
          <cell r="F155" t="str">
            <v>Customer experience</v>
          </cell>
          <cell r="G155" t="str">
            <v>Product</v>
          </cell>
          <cell r="H155" t="str">
            <v>Product</v>
          </cell>
          <cell r="I155">
            <v>1186</v>
          </cell>
          <cell r="J155" t="str">
            <v>OASSIS</v>
          </cell>
        </row>
        <row r="156">
          <cell r="D156">
            <v>318001</v>
          </cell>
          <cell r="E156" t="str">
            <v>Customer expense claims - paid</v>
          </cell>
          <cell r="F156" t="str">
            <v>Customer experience</v>
          </cell>
          <cell r="G156" t="str">
            <v>Compensation / Disruption</v>
          </cell>
          <cell r="H156" t="str">
            <v>Compensation / Disruption</v>
          </cell>
          <cell r="I156">
            <v>1187</v>
          </cell>
          <cell r="J156" t="str">
            <v>Oracle</v>
          </cell>
        </row>
        <row r="157">
          <cell r="D157">
            <v>318002</v>
          </cell>
          <cell r="E157" t="str">
            <v>Customer expense claims - provision</v>
          </cell>
          <cell r="F157" t="str">
            <v>Customer experience</v>
          </cell>
          <cell r="G157" t="str">
            <v>Compensation / Disruption</v>
          </cell>
          <cell r="H157" t="str">
            <v>Compensation / Disruption</v>
          </cell>
          <cell r="I157">
            <v>1188</v>
          </cell>
          <cell r="J157" t="str">
            <v>Pacific</v>
          </cell>
        </row>
        <row r="158">
          <cell r="D158">
            <v>318101</v>
          </cell>
          <cell r="E158" t="str">
            <v>Cash refunds - paid</v>
          </cell>
          <cell r="F158" t="str">
            <v>Customer experience</v>
          </cell>
          <cell r="G158" t="str">
            <v>Compensation / Disruption</v>
          </cell>
          <cell r="H158" t="str">
            <v>Compensation / Disruption</v>
          </cell>
          <cell r="I158">
            <v>1189</v>
          </cell>
          <cell r="J158" t="str">
            <v>RTTI</v>
          </cell>
        </row>
        <row r="159">
          <cell r="D159">
            <v>318102</v>
          </cell>
          <cell r="E159" t="str">
            <v>Cash refunds - provision</v>
          </cell>
          <cell r="F159" t="str">
            <v>Customer experience</v>
          </cell>
          <cell r="G159" t="str">
            <v>Compensation / Disruption</v>
          </cell>
          <cell r="H159" t="str">
            <v>Compensation / Disruption</v>
          </cell>
          <cell r="I159">
            <v>1190</v>
          </cell>
          <cell r="J159" t="str">
            <v>Sales Management Database</v>
          </cell>
        </row>
        <row r="160">
          <cell r="D160">
            <v>318201</v>
          </cell>
          <cell r="E160" t="str">
            <v>Vouchers - issued</v>
          </cell>
          <cell r="F160" t="str">
            <v>Customer experience</v>
          </cell>
          <cell r="G160" t="str">
            <v>Compensation / Disruption</v>
          </cell>
          <cell r="H160" t="str">
            <v>Compensation / Disruption</v>
          </cell>
          <cell r="I160">
            <v>1191</v>
          </cell>
          <cell r="J160" t="str">
            <v>SPI ATM</v>
          </cell>
        </row>
        <row r="161">
          <cell r="D161">
            <v>318202</v>
          </cell>
          <cell r="E161" t="str">
            <v>Vouchers - provision</v>
          </cell>
          <cell r="F161" t="str">
            <v>Customer experience</v>
          </cell>
          <cell r="G161" t="str">
            <v>Compensation / Disruption</v>
          </cell>
          <cell r="H161" t="str">
            <v>Compensation / Disruption</v>
          </cell>
          <cell r="I161">
            <v>1192</v>
          </cell>
          <cell r="J161" t="str">
            <v>SPI Bureau</v>
          </cell>
        </row>
        <row r="162">
          <cell r="D162">
            <v>318300</v>
          </cell>
          <cell r="E162" t="str">
            <v>Hotel costs - disruption</v>
          </cell>
          <cell r="F162" t="str">
            <v>Customer experience</v>
          </cell>
          <cell r="G162" t="str">
            <v>Compensation / Disruption</v>
          </cell>
          <cell r="H162" t="str">
            <v>Compensation / Disruption</v>
          </cell>
          <cell r="I162">
            <v>1193</v>
          </cell>
          <cell r="J162" t="str">
            <v>SPI Caffe Nero</v>
          </cell>
        </row>
        <row r="163">
          <cell r="D163">
            <v>318400</v>
          </cell>
          <cell r="E163" t="str">
            <v>Transport costs - disruption</v>
          </cell>
          <cell r="F163" t="str">
            <v>Customer experience</v>
          </cell>
          <cell r="G163" t="str">
            <v>Compensation / Disruption</v>
          </cell>
          <cell r="H163" t="str">
            <v>Compensation / Disruption</v>
          </cell>
          <cell r="I163">
            <v>1195</v>
          </cell>
          <cell r="J163" t="str">
            <v>SPI TRG</v>
          </cell>
        </row>
        <row r="164">
          <cell r="D164">
            <v>318500</v>
          </cell>
          <cell r="E164" t="str">
            <v>Subsistence costs - disruption</v>
          </cell>
          <cell r="F164" t="str">
            <v>Customer experience</v>
          </cell>
          <cell r="G164" t="str">
            <v>Compensation / Disruption</v>
          </cell>
          <cell r="H164" t="str">
            <v>Compensation / Disruption</v>
          </cell>
          <cell r="I164">
            <v>1196</v>
          </cell>
          <cell r="J164" t="str">
            <v>SPI WH Smith</v>
          </cell>
        </row>
        <row r="165">
          <cell r="D165">
            <v>318600</v>
          </cell>
          <cell r="E165" t="str">
            <v>Emergency &amp; crisis support</v>
          </cell>
          <cell r="F165" t="str">
            <v>Customer experience</v>
          </cell>
          <cell r="G165" t="str">
            <v>Compensation / Disruption</v>
          </cell>
          <cell r="H165" t="str">
            <v>Compensation / Disruption</v>
          </cell>
          <cell r="I165">
            <v>1197</v>
          </cell>
          <cell r="J165" t="str">
            <v>SST</v>
          </cell>
        </row>
        <row r="166">
          <cell r="D166">
            <v>320001</v>
          </cell>
          <cell r="E166" t="str">
            <v>On board crew costs</v>
          </cell>
          <cell r="F166" t="str">
            <v>Catering</v>
          </cell>
          <cell r="G166" t="str">
            <v>Catering - On board crew</v>
          </cell>
          <cell r="H166" t="str">
            <v>Catering - On board crew</v>
          </cell>
          <cell r="I166">
            <v>1198</v>
          </cell>
          <cell r="J166" t="str">
            <v>Umbrella</v>
          </cell>
        </row>
        <row r="167">
          <cell r="D167">
            <v>321001</v>
          </cell>
          <cell r="E167" t="str">
            <v>FBD - Business Premier</v>
          </cell>
          <cell r="F167" t="str">
            <v>Catering</v>
          </cell>
          <cell r="G167" t="str">
            <v>Catering - FBD &amp; non-FBD</v>
          </cell>
          <cell r="H167" t="str">
            <v>Catering - FBD &amp; non-FBD</v>
          </cell>
          <cell r="I167">
            <v>1199</v>
          </cell>
          <cell r="J167" t="str">
            <v>Virtual Train</v>
          </cell>
        </row>
        <row r="168">
          <cell r="D168">
            <v>321100</v>
          </cell>
          <cell r="E168" t="str">
            <v>FBD - Standard Premier</v>
          </cell>
          <cell r="F168" t="str">
            <v>Catering</v>
          </cell>
          <cell r="G168" t="str">
            <v>Catering - FBD &amp; non-FBD</v>
          </cell>
          <cell r="H168" t="str">
            <v>Catering - FBD &amp; non-FBD</v>
          </cell>
          <cell r="I168">
            <v>1200</v>
          </cell>
          <cell r="J168" t="str">
            <v>Tread Lightly Sustainability</v>
          </cell>
        </row>
        <row r="169">
          <cell r="D169">
            <v>321200</v>
          </cell>
          <cell r="E169" t="str">
            <v>FBD - Standard</v>
          </cell>
          <cell r="F169" t="str">
            <v>Catering</v>
          </cell>
          <cell r="G169" t="str">
            <v>Catering - FBD &amp; non-FBD</v>
          </cell>
          <cell r="H169" t="str">
            <v>Catering - FBD &amp; non-FBD</v>
          </cell>
          <cell r="I169">
            <v>1201</v>
          </cell>
          <cell r="J169" t="str">
            <v>Brand extension</v>
          </cell>
        </row>
        <row r="170">
          <cell r="D170">
            <v>321300</v>
          </cell>
          <cell r="E170" t="str">
            <v>Non-FBD - Standard</v>
          </cell>
          <cell r="F170" t="str">
            <v>Catering</v>
          </cell>
          <cell r="G170" t="str">
            <v>Catering - FBD &amp; non-FBD</v>
          </cell>
          <cell r="H170" t="str">
            <v>Catering - FBD &amp; non-FBD</v>
          </cell>
          <cell r="I170">
            <v>1202</v>
          </cell>
          <cell r="J170" t="str">
            <v>Fleet Launch - Eurostar 20th anniversary</v>
          </cell>
        </row>
        <row r="171">
          <cell r="D171">
            <v>322001</v>
          </cell>
          <cell r="E171" t="str">
            <v>Catering - business lounges - staff</v>
          </cell>
          <cell r="F171" t="str">
            <v>Catering</v>
          </cell>
          <cell r="G171" t="str">
            <v>Catering - business lounges</v>
          </cell>
          <cell r="H171" t="str">
            <v>Catering - business lounges</v>
          </cell>
          <cell r="I171">
            <v>1203</v>
          </cell>
          <cell r="J171" t="str">
            <v>Tealeaf</v>
          </cell>
        </row>
        <row r="172">
          <cell r="D172">
            <v>322100</v>
          </cell>
          <cell r="E172" t="str">
            <v>Catering - business lounges - FBD</v>
          </cell>
          <cell r="F172" t="str">
            <v>Catering</v>
          </cell>
          <cell r="G172" t="str">
            <v>Catering - business lounges</v>
          </cell>
          <cell r="H172" t="str">
            <v>Catering - business lounges</v>
          </cell>
          <cell r="I172">
            <v>1204</v>
          </cell>
          <cell r="J172" t="str">
            <v>Avancial</v>
          </cell>
        </row>
        <row r="173">
          <cell r="D173">
            <v>322200</v>
          </cell>
          <cell r="E173" t="str">
            <v>Catering - business lounges - other</v>
          </cell>
          <cell r="F173" t="str">
            <v>Catering</v>
          </cell>
          <cell r="G173" t="str">
            <v>Catering - business lounges</v>
          </cell>
          <cell r="H173" t="str">
            <v>Catering - business lounges</v>
          </cell>
          <cell r="I173">
            <v>1205</v>
          </cell>
          <cell r="J173" t="str">
            <v>Noetix</v>
          </cell>
        </row>
        <row r="174">
          <cell r="D174">
            <v>323001</v>
          </cell>
          <cell r="E174" t="str">
            <v>Catering - mgt fee</v>
          </cell>
          <cell r="F174" t="str">
            <v>Catering</v>
          </cell>
          <cell r="G174" t="str">
            <v>Catering - mgt fee</v>
          </cell>
          <cell r="H174" t="str">
            <v>Catering - mgt fee</v>
          </cell>
          <cell r="I174">
            <v>1206</v>
          </cell>
          <cell r="J174" t="str">
            <v>Riteq</v>
          </cell>
        </row>
        <row r="175">
          <cell r="D175">
            <v>323002</v>
          </cell>
          <cell r="E175" t="str">
            <v>Catering - overhead recharge</v>
          </cell>
          <cell r="F175" t="str">
            <v>Catering</v>
          </cell>
          <cell r="G175" t="str">
            <v>Catering - mgt fee</v>
          </cell>
          <cell r="H175" t="str">
            <v>Catering - mgt fee</v>
          </cell>
          <cell r="I175">
            <v>1207</v>
          </cell>
          <cell r="J175" t="str">
            <v>Cognisco</v>
          </cell>
        </row>
        <row r="176">
          <cell r="D176">
            <v>323003</v>
          </cell>
          <cell r="E176" t="str">
            <v>Catering - savings share</v>
          </cell>
          <cell r="F176" t="str">
            <v>Catering</v>
          </cell>
          <cell r="G176" t="str">
            <v>Catering - mgt fee</v>
          </cell>
          <cell r="H176" t="str">
            <v>Catering - mgt fee</v>
          </cell>
          <cell r="I176">
            <v>1208</v>
          </cell>
          <cell r="J176" t="str">
            <v>KALM connections</v>
          </cell>
        </row>
        <row r="177">
          <cell r="D177">
            <v>324001</v>
          </cell>
          <cell r="E177" t="str">
            <v>CAV - BP/SP meal services</v>
          </cell>
          <cell r="F177" t="str">
            <v>Catering</v>
          </cell>
          <cell r="G177" t="str">
            <v>CAV</v>
          </cell>
          <cell r="H177" t="str">
            <v>CAV</v>
          </cell>
          <cell r="I177">
            <v>1210</v>
          </cell>
          <cell r="J177" t="str">
            <v>Web &amp; Mobile</v>
          </cell>
        </row>
        <row r="178">
          <cell r="D178">
            <v>324002</v>
          </cell>
          <cell r="E178" t="str">
            <v>CAV - stores uplifts</v>
          </cell>
          <cell r="F178" t="str">
            <v>Catering</v>
          </cell>
          <cell r="G178" t="str">
            <v>CAV</v>
          </cell>
          <cell r="H178" t="str">
            <v>CAV</v>
          </cell>
          <cell r="I178">
            <v>1211</v>
          </cell>
          <cell r="J178" t="str">
            <v>Non E* Stations</v>
          </cell>
        </row>
        <row r="179">
          <cell r="D179">
            <v>324100</v>
          </cell>
          <cell r="E179" t="str">
            <v>CAV - train loading</v>
          </cell>
          <cell r="F179" t="str">
            <v>Catering</v>
          </cell>
          <cell r="G179" t="str">
            <v>CAV</v>
          </cell>
          <cell r="H179" t="str">
            <v>CAV</v>
          </cell>
          <cell r="I179">
            <v>1212</v>
          </cell>
          <cell r="J179" t="str">
            <v>Call Centre</v>
          </cell>
        </row>
        <row r="180">
          <cell r="D180">
            <v>324101</v>
          </cell>
          <cell r="E180" t="str">
            <v>CAV - business lounge delivery</v>
          </cell>
          <cell r="F180" t="str">
            <v>Catering</v>
          </cell>
          <cell r="G180" t="str">
            <v>CAV</v>
          </cell>
          <cell r="H180" t="str">
            <v>CAV</v>
          </cell>
          <cell r="I180">
            <v>1213</v>
          </cell>
          <cell r="J180" t="str">
            <v>Agents</v>
          </cell>
        </row>
        <row r="181">
          <cell r="D181">
            <v>324102</v>
          </cell>
          <cell r="E181" t="str">
            <v>CAV - additional trolleys</v>
          </cell>
          <cell r="F181" t="str">
            <v>Catering</v>
          </cell>
          <cell r="G181" t="str">
            <v>CAV</v>
          </cell>
          <cell r="H181" t="str">
            <v>CAV</v>
          </cell>
          <cell r="I181">
            <v>1214</v>
          </cell>
          <cell r="J181" t="str">
            <v>Tour Ops</v>
          </cell>
        </row>
        <row r="182">
          <cell r="D182">
            <v>324103</v>
          </cell>
          <cell r="E182" t="str">
            <v>CAV - partial loading services (BP/SP only)</v>
          </cell>
          <cell r="F182" t="str">
            <v>Catering</v>
          </cell>
          <cell r="G182" t="str">
            <v>CAV</v>
          </cell>
          <cell r="H182" t="str">
            <v>CAV</v>
          </cell>
          <cell r="I182">
            <v>1215</v>
          </cell>
          <cell r="J182" t="str">
            <v>Group Sales</v>
          </cell>
        </row>
        <row r="183">
          <cell r="D183">
            <v>324104</v>
          </cell>
          <cell r="E183" t="str">
            <v>CAV - full loading services (BP/SP &amp; Std)</v>
          </cell>
          <cell r="F183" t="str">
            <v>Catering</v>
          </cell>
          <cell r="G183" t="str">
            <v>CAV</v>
          </cell>
          <cell r="H183" t="str">
            <v>CAV</v>
          </cell>
          <cell r="I183">
            <v>1216</v>
          </cell>
          <cell r="J183" t="str">
            <v>Rail Europe - TGV Europe</v>
          </cell>
        </row>
        <row r="184">
          <cell r="D184">
            <v>324200</v>
          </cell>
          <cell r="E184" t="str">
            <v>CAV - set swaps</v>
          </cell>
          <cell r="F184" t="str">
            <v>Catering</v>
          </cell>
          <cell r="G184" t="str">
            <v>CAV</v>
          </cell>
          <cell r="H184" t="str">
            <v>CAV</v>
          </cell>
          <cell r="I184">
            <v>1217</v>
          </cell>
          <cell r="J184" t="str">
            <v>REC</v>
          </cell>
        </row>
        <row r="185">
          <cell r="D185">
            <v>324201</v>
          </cell>
          <cell r="E185" t="str">
            <v>CAV - other services</v>
          </cell>
          <cell r="F185" t="str">
            <v>Catering</v>
          </cell>
          <cell r="G185" t="str">
            <v>CAV</v>
          </cell>
          <cell r="H185" t="str">
            <v>CAV</v>
          </cell>
          <cell r="I185">
            <v>1218</v>
          </cell>
          <cell r="J185" t="str">
            <v>RE4A</v>
          </cell>
        </row>
        <row r="186">
          <cell r="D186">
            <v>324300</v>
          </cell>
          <cell r="E186" t="str">
            <v>CAV - fixed mgt fee</v>
          </cell>
          <cell r="F186" t="str">
            <v>Catering</v>
          </cell>
          <cell r="G186" t="str">
            <v>CAV</v>
          </cell>
          <cell r="H186" t="str">
            <v>CAV</v>
          </cell>
          <cell r="I186">
            <v>1219</v>
          </cell>
          <cell r="J186" t="str">
            <v>REL</v>
          </cell>
        </row>
        <row r="187">
          <cell r="D187">
            <v>324301</v>
          </cell>
          <cell r="E187" t="str">
            <v>CAV - rent</v>
          </cell>
          <cell r="F187" t="str">
            <v>Catering</v>
          </cell>
          <cell r="G187" t="str">
            <v>CAV</v>
          </cell>
          <cell r="H187" t="str">
            <v>CAV</v>
          </cell>
          <cell r="I187">
            <v>1220</v>
          </cell>
          <cell r="J187" t="str">
            <v>REI</v>
          </cell>
        </row>
        <row r="188">
          <cell r="D188">
            <v>324302</v>
          </cell>
          <cell r="E188" t="str">
            <v>CAV - contract set-up costs</v>
          </cell>
          <cell r="F188" t="str">
            <v>Catering</v>
          </cell>
          <cell r="G188" t="str">
            <v>CAV</v>
          </cell>
          <cell r="H188" t="str">
            <v>CAV</v>
          </cell>
          <cell r="I188">
            <v>1221</v>
          </cell>
          <cell r="J188" t="str">
            <v>OSR</v>
          </cell>
        </row>
        <row r="189">
          <cell r="D189">
            <v>324303</v>
          </cell>
          <cell r="E189" t="str">
            <v>CAV - contract exit costs</v>
          </cell>
          <cell r="F189" t="str">
            <v>Catering</v>
          </cell>
          <cell r="G189" t="str">
            <v>CAV</v>
          </cell>
          <cell r="H189" t="str">
            <v>CAV</v>
          </cell>
          <cell r="I189">
            <v>1222</v>
          </cell>
          <cell r="J189" t="str">
            <v>Internal Communications</v>
          </cell>
        </row>
        <row r="190">
          <cell r="D190">
            <v>324304</v>
          </cell>
          <cell r="E190" t="str">
            <v>CAV - contract transition cost</v>
          </cell>
          <cell r="F190" t="str">
            <v>Catering</v>
          </cell>
          <cell r="G190" t="str">
            <v>CAV</v>
          </cell>
          <cell r="H190" t="str">
            <v>CAV</v>
          </cell>
          <cell r="I190">
            <v>1223</v>
          </cell>
          <cell r="J190" t="str">
            <v>Ex-CEIT suppliers</v>
          </cell>
        </row>
        <row r="191">
          <cell r="D191">
            <v>324400</v>
          </cell>
          <cell r="E191" t="str">
            <v>CAV - service fee</v>
          </cell>
          <cell r="F191" t="str">
            <v>Catering</v>
          </cell>
          <cell r="G191" t="str">
            <v>CAV</v>
          </cell>
          <cell r="H191" t="str">
            <v>CAV</v>
          </cell>
          <cell r="I191">
            <v>1224</v>
          </cell>
          <cell r="J191" t="str">
            <v>Contract management costs</v>
          </cell>
        </row>
        <row r="192">
          <cell r="D192">
            <v>324401</v>
          </cell>
          <cell r="E192" t="str">
            <v>CAV - capital investment</v>
          </cell>
          <cell r="F192" t="str">
            <v>Catering</v>
          </cell>
          <cell r="G192" t="str">
            <v>CAV</v>
          </cell>
          <cell r="H192" t="str">
            <v>CAV</v>
          </cell>
          <cell r="I192">
            <v>1225</v>
          </cell>
          <cell r="J192" t="str">
            <v>On Board Wheelchairs &amp; Equipment</v>
          </cell>
        </row>
        <row r="193">
          <cell r="D193">
            <v>324500</v>
          </cell>
          <cell r="E193" t="str">
            <v>CAV - plant maintenance</v>
          </cell>
          <cell r="F193" t="str">
            <v>Catering</v>
          </cell>
          <cell r="G193" t="str">
            <v>CAV</v>
          </cell>
          <cell r="H193" t="str">
            <v>CAV</v>
          </cell>
          <cell r="I193">
            <v>1226</v>
          </cell>
          <cell r="J193" t="str">
            <v>Training Equipment e320</v>
          </cell>
        </row>
        <row r="194">
          <cell r="D194">
            <v>325001</v>
          </cell>
          <cell r="E194" t="str">
            <v>Catering - equipment usage</v>
          </cell>
          <cell r="F194" t="str">
            <v>Catering</v>
          </cell>
          <cell r="G194" t="str">
            <v>Catering - equipment usage</v>
          </cell>
          <cell r="H194" t="str">
            <v>Catering - equipment usage</v>
          </cell>
          <cell r="I194">
            <v>1227</v>
          </cell>
          <cell r="J194" t="str">
            <v>Life extension-Logistics &amp; organisation</v>
          </cell>
        </row>
        <row r="195">
          <cell r="D195">
            <v>330001</v>
          </cell>
          <cell r="E195" t="str">
            <v>Issues for non-modifications</v>
          </cell>
          <cell r="F195" t="str">
            <v>Train maintenance</v>
          </cell>
          <cell r="G195" t="str">
            <v>Consumable parts usage</v>
          </cell>
          <cell r="H195" t="str">
            <v>Consumable parts usage</v>
          </cell>
          <cell r="I195">
            <v>1228</v>
          </cell>
          <cell r="J195" t="str">
            <v>Mi-vie Emergency door modification</v>
          </cell>
        </row>
        <row r="196">
          <cell r="D196">
            <v>330002</v>
          </cell>
          <cell r="E196" t="str">
            <v>Issues for modifications</v>
          </cell>
          <cell r="F196" t="str">
            <v>Train maintenance</v>
          </cell>
          <cell r="G196" t="str">
            <v>Consumable parts usage</v>
          </cell>
          <cell r="H196" t="str">
            <v>Consumable parts usage</v>
          </cell>
          <cell r="I196">
            <v>1229</v>
          </cell>
          <cell r="J196" t="str">
            <v>Mi-vie materials consumables</v>
          </cell>
        </row>
        <row r="197">
          <cell r="D197">
            <v>330100</v>
          </cell>
          <cell r="E197" t="str">
            <v>Freight costs</v>
          </cell>
          <cell r="F197" t="str">
            <v>Train maintenance</v>
          </cell>
          <cell r="G197" t="str">
            <v>Consumable parts usage</v>
          </cell>
          <cell r="H197" t="str">
            <v>Consumable parts usage</v>
          </cell>
          <cell r="I197">
            <v>1230</v>
          </cell>
          <cell r="J197" t="str">
            <v>Mi-vie materials Doors Faiveley</v>
          </cell>
        </row>
        <row r="198">
          <cell r="D198">
            <v>330200</v>
          </cell>
          <cell r="E198" t="str">
            <v>Tools &amp; expendables</v>
          </cell>
          <cell r="F198" t="str">
            <v>Train maintenance</v>
          </cell>
          <cell r="G198" t="str">
            <v>Consumable parts usage</v>
          </cell>
          <cell r="H198" t="str">
            <v>Consumable parts usage</v>
          </cell>
          <cell r="I198">
            <v>1231</v>
          </cell>
          <cell r="J198" t="str">
            <v>Mi-Vie materials Doors Faiveley options</v>
          </cell>
        </row>
        <row r="199">
          <cell r="D199">
            <v>331001</v>
          </cell>
          <cell r="E199" t="str">
            <v>Consumable parts scrapped</v>
          </cell>
          <cell r="F199" t="str">
            <v>Train maintenance</v>
          </cell>
          <cell r="G199" t="str">
            <v>Consumable parts scrappage</v>
          </cell>
          <cell r="H199" t="str">
            <v>Consumable parts scrappage</v>
          </cell>
          <cell r="I199">
            <v>1232</v>
          </cell>
          <cell r="J199" t="str">
            <v>Mi-vie materials modification</v>
          </cell>
        </row>
        <row r="200">
          <cell r="D200">
            <v>331100</v>
          </cell>
          <cell r="E200" t="str">
            <v>Consumable parts adjustment</v>
          </cell>
          <cell r="F200" t="str">
            <v>Train maintenance</v>
          </cell>
          <cell r="G200" t="str">
            <v>Consumable parts scrappage</v>
          </cell>
          <cell r="H200" t="str">
            <v>Consumable parts scrappage</v>
          </cell>
          <cell r="I200">
            <v>1233</v>
          </cell>
          <cell r="J200" t="str">
            <v>Mi-vie materials modification 12015 cab refresh</v>
          </cell>
        </row>
        <row r="201">
          <cell r="D201">
            <v>331200</v>
          </cell>
          <cell r="E201" t="str">
            <v>Consumable parts provision movement</v>
          </cell>
          <cell r="F201" t="str">
            <v>Train maintenance</v>
          </cell>
          <cell r="G201" t="str">
            <v>Consumable parts scrappage</v>
          </cell>
          <cell r="H201" t="str">
            <v>Consumable parts scrappage</v>
          </cell>
          <cell r="I201">
            <v>1234</v>
          </cell>
          <cell r="J201" t="str">
            <v>Mi-Vie materials Overhaul repairables SNCB</v>
          </cell>
        </row>
        <row r="202">
          <cell r="D202">
            <v>332001</v>
          </cell>
          <cell r="E202" t="str">
            <v>LDA chemicals</v>
          </cell>
          <cell r="F202" t="str">
            <v>Train maintenance</v>
          </cell>
          <cell r="G202" t="str">
            <v>Train cleaning</v>
          </cell>
          <cell r="H202" t="str">
            <v>Train cleaning</v>
          </cell>
          <cell r="I202">
            <v>1235</v>
          </cell>
          <cell r="J202" t="str">
            <v>Mi-vie materials repairables Hubner</v>
          </cell>
        </row>
        <row r="203">
          <cell r="D203">
            <v>332100</v>
          </cell>
          <cell r="E203" t="str">
            <v>Train cleaning - contract costs</v>
          </cell>
          <cell r="F203" t="str">
            <v>Train maintenance</v>
          </cell>
          <cell r="G203" t="str">
            <v>Train cleaning</v>
          </cell>
          <cell r="H203" t="str">
            <v>Train cleaning</v>
          </cell>
          <cell r="I203">
            <v>1236</v>
          </cell>
          <cell r="J203" t="str">
            <v>Mi-vie materials repairables Voith</v>
          </cell>
        </row>
        <row r="204">
          <cell r="D204">
            <v>333001</v>
          </cell>
          <cell r="E204" t="str">
            <v>Repair costs - transformers</v>
          </cell>
          <cell r="F204" t="str">
            <v>Train maintenance</v>
          </cell>
          <cell r="G204" t="str">
            <v>Train repairs &amp; maintenance</v>
          </cell>
          <cell r="H204" t="str">
            <v>Train repairs &amp; maintenance</v>
          </cell>
          <cell r="I204">
            <v>1237</v>
          </cell>
          <cell r="J204" t="str">
            <v>Mi-Vie External passenger information display system</v>
          </cell>
        </row>
        <row r="205">
          <cell r="D205">
            <v>333002</v>
          </cell>
          <cell r="E205" t="str">
            <v>Repair costs - non-transformers</v>
          </cell>
          <cell r="F205" t="str">
            <v>Train maintenance</v>
          </cell>
          <cell r="G205" t="str">
            <v>Train repairs &amp; maintenance</v>
          </cell>
          <cell r="H205" t="str">
            <v>Train repairs &amp; maintenance</v>
          </cell>
          <cell r="I205">
            <v>1238</v>
          </cell>
          <cell r="J205" t="str">
            <v>Supplier Variable Costs / Faiveley</v>
          </cell>
        </row>
        <row r="206">
          <cell r="D206">
            <v>333003</v>
          </cell>
          <cell r="E206" t="str">
            <v>Repair costs - provision movement</v>
          </cell>
          <cell r="F206" t="str">
            <v>Train maintenance</v>
          </cell>
          <cell r="G206" t="str">
            <v>Train repairs &amp; maintenance</v>
          </cell>
          <cell r="H206" t="str">
            <v>Train repairs &amp; maintenance</v>
          </cell>
          <cell r="I206">
            <v>1239</v>
          </cell>
          <cell r="J206" t="str">
            <v>Approved supplier variation costs / Faiveley (Fixed Costs)</v>
          </cell>
        </row>
        <row r="207">
          <cell r="D207">
            <v>333100</v>
          </cell>
          <cell r="E207" t="str">
            <v>Maintenance - contract costs</v>
          </cell>
          <cell r="F207" t="str">
            <v>Train maintenance</v>
          </cell>
          <cell r="G207" t="str">
            <v>Train repairs &amp; maintenance</v>
          </cell>
          <cell r="H207" t="str">
            <v>Train repairs &amp; maintenance</v>
          </cell>
          <cell r="I207">
            <v>1240</v>
          </cell>
          <cell r="J207" t="str">
            <v>Approved supplier variation costs / Faiveley (Variable Costs)</v>
          </cell>
        </row>
        <row r="208">
          <cell r="D208">
            <v>333200</v>
          </cell>
          <cell r="E208" t="str">
            <v>Technical services</v>
          </cell>
          <cell r="F208" t="str">
            <v>Train maintenance</v>
          </cell>
          <cell r="G208" t="str">
            <v>Train repairs &amp; maintenance</v>
          </cell>
          <cell r="H208" t="str">
            <v>Train repairs &amp; maintenance</v>
          </cell>
          <cell r="I208">
            <v>1241</v>
          </cell>
          <cell r="J208" t="str">
            <v>Consultancy and Engineering Support</v>
          </cell>
        </row>
        <row r="209">
          <cell r="D209">
            <v>333300</v>
          </cell>
          <cell r="E209" t="str">
            <v>Wheel lathe maintenance</v>
          </cell>
          <cell r="F209" t="str">
            <v>Train maintenance</v>
          </cell>
          <cell r="G209" t="str">
            <v>Train repairs &amp; maintenance</v>
          </cell>
          <cell r="H209" t="str">
            <v>Train repairs &amp; maintenance</v>
          </cell>
          <cell r="I209">
            <v>1242</v>
          </cell>
          <cell r="J209" t="str">
            <v>Expenses and Travel</v>
          </cell>
        </row>
        <row r="210">
          <cell r="D210">
            <v>333400</v>
          </cell>
          <cell r="E210" t="str">
            <v>Maintenance - costs recharged</v>
          </cell>
          <cell r="F210" t="str">
            <v>Train maintenance</v>
          </cell>
          <cell r="G210" t="str">
            <v>Train repairs &amp; maintenance</v>
          </cell>
          <cell r="H210" t="str">
            <v>Train repairs &amp; maintenance</v>
          </cell>
          <cell r="I210">
            <v>1243</v>
          </cell>
          <cell r="J210" t="str">
            <v>Masteris support for PIS Holologation support variable costs</v>
          </cell>
        </row>
        <row r="211">
          <cell r="D211">
            <v>334001</v>
          </cell>
          <cell r="E211" t="str">
            <v>Shunting</v>
          </cell>
          <cell r="F211" t="str">
            <v>Train maintenance</v>
          </cell>
          <cell r="G211" t="str">
            <v>Other train costs</v>
          </cell>
          <cell r="H211" t="str">
            <v>Other train costs</v>
          </cell>
          <cell r="I211">
            <v>1244</v>
          </cell>
          <cell r="J211" t="str">
            <v>Masteris support for PIS Industrialisation contract</v>
          </cell>
          <cell r="K211" t="str">
            <v>OSR Sales Commissions</v>
          </cell>
        </row>
        <row r="212">
          <cell r="D212">
            <v>334002</v>
          </cell>
          <cell r="E212" t="str">
            <v>Train stabling</v>
          </cell>
          <cell r="F212" t="str">
            <v>Train maintenance</v>
          </cell>
          <cell r="G212" t="str">
            <v>Other train costs</v>
          </cell>
          <cell r="H212" t="str">
            <v>Other train costs</v>
          </cell>
          <cell r="I212">
            <v>1245</v>
          </cell>
          <cell r="J212" t="str">
            <v>Mock Up Expenses</v>
          </cell>
        </row>
        <row r="213">
          <cell r="D213">
            <v>334003</v>
          </cell>
          <cell r="E213" t="str">
            <v>Train dismantling</v>
          </cell>
          <cell r="F213" t="str">
            <v>Train maintenance</v>
          </cell>
          <cell r="G213" t="str">
            <v>Other train costs</v>
          </cell>
          <cell r="H213" t="str">
            <v>Other train costs</v>
          </cell>
          <cell r="I213">
            <v>1246</v>
          </cell>
          <cell r="J213" t="str">
            <v>NoBo costs</v>
          </cell>
        </row>
        <row r="214">
          <cell r="D214">
            <v>340001</v>
          </cell>
          <cell r="E214" t="str">
            <v>Local Area Network (LAN)</v>
          </cell>
          <cell r="F214" t="str">
            <v>Information Systems</v>
          </cell>
          <cell r="G214" t="str">
            <v>Hardware Maintenance &amp; Support</v>
          </cell>
          <cell r="H214" t="str">
            <v>Hardware Maintenance &amp; Support</v>
          </cell>
          <cell r="I214">
            <v>1247</v>
          </cell>
          <cell r="J214" t="str">
            <v>PIS contract variable costs</v>
          </cell>
        </row>
        <row r="215">
          <cell r="D215">
            <v>340100</v>
          </cell>
          <cell r="E215" t="str">
            <v>Communication rooms</v>
          </cell>
          <cell r="F215" t="str">
            <v>Information Systems</v>
          </cell>
          <cell r="G215" t="str">
            <v>Hardware Maintenance &amp; Support</v>
          </cell>
          <cell r="H215" t="str">
            <v>Hardware Maintenance &amp; Support</v>
          </cell>
          <cell r="I215">
            <v>1248</v>
          </cell>
          <cell r="J215" t="str">
            <v>Supplier Fixed Costs / Faiveley</v>
          </cell>
        </row>
        <row r="216">
          <cell r="D216">
            <v>340200</v>
          </cell>
          <cell r="E216" t="str">
            <v>Computer / NIIT</v>
          </cell>
          <cell r="F216" t="str">
            <v>Information Systems</v>
          </cell>
          <cell r="G216" t="str">
            <v>Hardware Maintenance &amp; Support</v>
          </cell>
          <cell r="H216" t="str">
            <v>Hardware Maintenance &amp; Support</v>
          </cell>
          <cell r="I216">
            <v>1249</v>
          </cell>
          <cell r="J216" t="str">
            <v>Supplier fixed costs livery</v>
          </cell>
        </row>
        <row r="217">
          <cell r="D217">
            <v>340300</v>
          </cell>
          <cell r="E217" t="str">
            <v>IS consumables</v>
          </cell>
          <cell r="F217" t="str">
            <v>Information Systems</v>
          </cell>
          <cell r="G217" t="str">
            <v>Hardware Maintenance &amp; Support</v>
          </cell>
          <cell r="H217" t="str">
            <v>Hardware Maintenance &amp; Support</v>
          </cell>
          <cell r="I217">
            <v>1250</v>
          </cell>
          <cell r="J217" t="str">
            <v>Supplier fixed costs/coffee machine</v>
          </cell>
        </row>
        <row r="218">
          <cell r="D218">
            <v>341001</v>
          </cell>
          <cell r="E218" t="str">
            <v>Global Wide Area Network (GWAN)</v>
          </cell>
          <cell r="F218" t="str">
            <v>Information Systems</v>
          </cell>
          <cell r="G218" t="str">
            <v>Data Communications</v>
          </cell>
          <cell r="H218" t="str">
            <v>Data Communications</v>
          </cell>
          <cell r="I218">
            <v>1251</v>
          </cell>
          <cell r="J218" t="str">
            <v>Supplier variable costs / Coffee Machine</v>
          </cell>
        </row>
        <row r="219">
          <cell r="D219">
            <v>341100</v>
          </cell>
          <cell r="E219" t="str">
            <v>Non Global Wide Area Network (GWAN)</v>
          </cell>
          <cell r="F219" t="str">
            <v>Information Systems</v>
          </cell>
          <cell r="G219" t="str">
            <v>Data Communications</v>
          </cell>
          <cell r="H219" t="str">
            <v>Data Communications</v>
          </cell>
          <cell r="I219">
            <v>1253</v>
          </cell>
          <cell r="J219" t="str">
            <v>Supplier variable costs / Signage</v>
          </cell>
        </row>
        <row r="220">
          <cell r="D220">
            <v>341200</v>
          </cell>
          <cell r="E220" t="str">
            <v>Internet access</v>
          </cell>
          <cell r="F220" t="str">
            <v>Information Systems</v>
          </cell>
          <cell r="G220" t="str">
            <v>Data Communications</v>
          </cell>
          <cell r="H220" t="str">
            <v>Data Communications</v>
          </cell>
          <cell r="I220">
            <v>1254</v>
          </cell>
          <cell r="J220" t="str">
            <v>Wifi Masteris Mechanical Interfaces Variable costs</v>
          </cell>
        </row>
        <row r="221">
          <cell r="D221">
            <v>342001</v>
          </cell>
          <cell r="E221" t="str">
            <v>Systems support</v>
          </cell>
          <cell r="F221" t="str">
            <v>Information Systems</v>
          </cell>
          <cell r="G221" t="str">
            <v>Systems costs</v>
          </cell>
          <cell r="H221" t="str">
            <v>Systems costs</v>
          </cell>
          <cell r="I221">
            <v>1255</v>
          </cell>
          <cell r="J221" t="str">
            <v>PIS Masteris Mechanical Interfaces Fixed costs</v>
          </cell>
        </row>
        <row r="222">
          <cell r="D222">
            <v>342100</v>
          </cell>
          <cell r="E222" t="str">
            <v>Systems development</v>
          </cell>
          <cell r="F222" t="str">
            <v>Information Systems</v>
          </cell>
          <cell r="G222" t="str">
            <v>Systems costs</v>
          </cell>
          <cell r="H222" t="str">
            <v>Systems costs</v>
          </cell>
          <cell r="I222">
            <v>1256</v>
          </cell>
          <cell r="J222" t="str">
            <v>PIS Masteris Mechanical Interfaces Variable costs</v>
          </cell>
        </row>
        <row r="223">
          <cell r="D223">
            <v>342200</v>
          </cell>
          <cell r="E223" t="str">
            <v>Hosting</v>
          </cell>
          <cell r="F223" t="str">
            <v>Information Systems</v>
          </cell>
          <cell r="G223" t="str">
            <v>Systems costs</v>
          </cell>
          <cell r="H223" t="str">
            <v>Systems costs</v>
          </cell>
          <cell r="I223">
            <v>1257</v>
          </cell>
          <cell r="J223" t="str">
            <v>Faiveley Management System</v>
          </cell>
        </row>
        <row r="224">
          <cell r="D224">
            <v>342300</v>
          </cell>
          <cell r="E224" t="str">
            <v>Software Licences and support</v>
          </cell>
          <cell r="F224" t="str">
            <v>Information Systems</v>
          </cell>
          <cell r="G224" t="str">
            <v>Systems costs</v>
          </cell>
          <cell r="H224" t="str">
            <v>Systems costs</v>
          </cell>
          <cell r="I224">
            <v>1258</v>
          </cell>
          <cell r="J224" t="str">
            <v>Ticket flexibility</v>
          </cell>
        </row>
        <row r="225">
          <cell r="D225">
            <v>350001</v>
          </cell>
          <cell r="E225" t="str">
            <v>Station access costs</v>
          </cell>
          <cell r="F225" t="str">
            <v>Property &amp; utilities</v>
          </cell>
          <cell r="G225" t="str">
            <v>Station costs</v>
          </cell>
          <cell r="H225" t="str">
            <v>Station costs</v>
          </cell>
          <cell r="I225">
            <v>1259</v>
          </cell>
          <cell r="J225" t="str">
            <v>EFT</v>
          </cell>
        </row>
        <row r="226">
          <cell r="D226">
            <v>350100</v>
          </cell>
          <cell r="E226" t="str">
            <v>Station service costs</v>
          </cell>
          <cell r="F226" t="str">
            <v>Property &amp; utilities</v>
          </cell>
          <cell r="G226" t="str">
            <v>Station costs</v>
          </cell>
          <cell r="H226" t="str">
            <v>Station costs</v>
          </cell>
          <cell r="I226">
            <v>1260</v>
          </cell>
          <cell r="J226" t="str">
            <v>Printers and Gate Readers Renewal</v>
          </cell>
        </row>
        <row r="227">
          <cell r="D227">
            <v>350200</v>
          </cell>
          <cell r="E227" t="str">
            <v>Station cash collection</v>
          </cell>
          <cell r="F227" t="str">
            <v>Property &amp; utilities</v>
          </cell>
          <cell r="G227" t="str">
            <v>Station costs</v>
          </cell>
          <cell r="H227" t="str">
            <v>Station costs</v>
          </cell>
          <cell r="I227">
            <v>1261</v>
          </cell>
          <cell r="J227" t="str">
            <v>TMST Improvement Programme</v>
          </cell>
        </row>
        <row r="228">
          <cell r="D228">
            <v>350300</v>
          </cell>
          <cell r="E228" t="str">
            <v>Station long term charge</v>
          </cell>
          <cell r="F228" t="str">
            <v>Property &amp; utilities</v>
          </cell>
          <cell r="G228" t="str">
            <v>Station costs</v>
          </cell>
          <cell r="H228" t="str">
            <v>Station costs</v>
          </cell>
          <cell r="I228">
            <v>1262</v>
          </cell>
          <cell r="J228" t="str">
            <v>Brussels BP Lounge Refurbishment</v>
          </cell>
        </row>
        <row r="229">
          <cell r="D229">
            <v>352001</v>
          </cell>
          <cell r="E229" t="str">
            <v>Security - fixed posts</v>
          </cell>
          <cell r="F229" t="str">
            <v>Property &amp; utilities</v>
          </cell>
          <cell r="G229" t="str">
            <v>Security</v>
          </cell>
          <cell r="H229" t="str">
            <v>Security</v>
          </cell>
          <cell r="I229">
            <v>1263</v>
          </cell>
          <cell r="J229" t="str">
            <v>SMART - company additional pension contribution</v>
          </cell>
        </row>
        <row r="230">
          <cell r="D230">
            <v>352002</v>
          </cell>
          <cell r="E230" t="str">
            <v>Security - passenger screening</v>
          </cell>
          <cell r="F230" t="str">
            <v>Property &amp; utilities</v>
          </cell>
          <cell r="G230" t="str">
            <v>Security</v>
          </cell>
          <cell r="H230" t="str">
            <v>Security</v>
          </cell>
          <cell r="I230">
            <v>1264</v>
          </cell>
          <cell r="J230" t="str">
            <v>SPI Departures entry refurb</v>
          </cell>
        </row>
        <row r="231">
          <cell r="D231">
            <v>352003</v>
          </cell>
          <cell r="E231" t="str">
            <v>Security - mgt fee fixed</v>
          </cell>
          <cell r="F231" t="str">
            <v>Property &amp; utilities</v>
          </cell>
          <cell r="G231" t="str">
            <v>Security</v>
          </cell>
          <cell r="H231" t="str">
            <v>Security</v>
          </cell>
          <cell r="I231">
            <v>1266</v>
          </cell>
          <cell r="J231" t="str">
            <v>Hand bashing</v>
          </cell>
        </row>
        <row r="232">
          <cell r="D232">
            <v>352004</v>
          </cell>
          <cell r="E232" t="str">
            <v>Security - mgt fee variable</v>
          </cell>
          <cell r="F232" t="str">
            <v>Property &amp; utilities</v>
          </cell>
          <cell r="G232" t="str">
            <v>Security</v>
          </cell>
          <cell r="H232" t="str">
            <v>Security</v>
          </cell>
          <cell r="I232">
            <v>1267</v>
          </cell>
          <cell r="J232" t="str">
            <v>Performance regimes - infrastructure</v>
          </cell>
        </row>
        <row r="233">
          <cell r="D233">
            <v>352100</v>
          </cell>
          <cell r="E233" t="str">
            <v>Repatriation costs</v>
          </cell>
          <cell r="F233" t="str">
            <v>Property &amp; utilities</v>
          </cell>
          <cell r="G233" t="str">
            <v>Security</v>
          </cell>
          <cell r="H233" t="str">
            <v>Security</v>
          </cell>
          <cell r="I233">
            <v>1268</v>
          </cell>
          <cell r="J233" t="str">
            <v>Digital Development ¿ Responsive Site</v>
          </cell>
        </row>
        <row r="234">
          <cell r="D234">
            <v>352200</v>
          </cell>
          <cell r="E234" t="str">
            <v>Waste disposal</v>
          </cell>
          <cell r="F234" t="str">
            <v>Property &amp; utilities</v>
          </cell>
          <cell r="G234" t="str">
            <v>Security</v>
          </cell>
          <cell r="H234" t="str">
            <v>Security</v>
          </cell>
          <cell r="I234">
            <v>1269</v>
          </cell>
          <cell r="J234" t="str">
            <v>Mobile application evolutions</v>
          </cell>
        </row>
        <row r="235">
          <cell r="D235">
            <v>352300</v>
          </cell>
          <cell r="E235" t="str">
            <v>Security - overheads</v>
          </cell>
          <cell r="F235" t="str">
            <v>Property &amp; utilities</v>
          </cell>
          <cell r="G235" t="str">
            <v>Security</v>
          </cell>
          <cell r="H235" t="str">
            <v>Security</v>
          </cell>
          <cell r="I235">
            <v>1270</v>
          </cell>
          <cell r="J235" t="str">
            <v>Barat fixed costs</v>
          </cell>
        </row>
        <row r="236">
          <cell r="D236">
            <v>355001</v>
          </cell>
          <cell r="E236" t="str">
            <v>Premises rent</v>
          </cell>
          <cell r="F236" t="str">
            <v>Property &amp; utilities</v>
          </cell>
          <cell r="G236" t="str">
            <v>Rent, rates &amp; service charge</v>
          </cell>
          <cell r="H236" t="str">
            <v>Rent, rates &amp; service charge</v>
          </cell>
          <cell r="I236">
            <v>1271</v>
          </cell>
          <cell r="J236" t="str">
            <v>Barat variable costs (Saloons/Vestibules/Bar /Toilets)</v>
          </cell>
        </row>
        <row r="237">
          <cell r="D237">
            <v>355100</v>
          </cell>
          <cell r="E237" t="str">
            <v>Rates</v>
          </cell>
          <cell r="F237" t="str">
            <v>Property &amp; utilities</v>
          </cell>
          <cell r="G237" t="str">
            <v>Rent, rates &amp; service charge</v>
          </cell>
          <cell r="H237" t="str">
            <v>Rent, rates &amp; service charge</v>
          </cell>
          <cell r="I237">
            <v>1277</v>
          </cell>
          <cell r="J237" t="str">
            <v>Barat Variation Orders Fixed Costs</v>
          </cell>
        </row>
        <row r="238">
          <cell r="D238">
            <v>355200</v>
          </cell>
          <cell r="E238" t="str">
            <v>Service charge</v>
          </cell>
          <cell r="F238" t="str">
            <v>Property &amp; utilities</v>
          </cell>
          <cell r="G238" t="str">
            <v>Rent, rates &amp; service charge</v>
          </cell>
          <cell r="H238" t="str">
            <v>Rent, rates &amp; service charge</v>
          </cell>
          <cell r="I238">
            <v>1278</v>
          </cell>
          <cell r="J238" t="str">
            <v>Barat Variation Orders Variable Costs</v>
          </cell>
        </row>
        <row r="239">
          <cell r="D239">
            <v>356001</v>
          </cell>
          <cell r="E239" t="str">
            <v>Telecomms Maintenance &amp; Support</v>
          </cell>
          <cell r="F239" t="str">
            <v>Property &amp; utilities</v>
          </cell>
          <cell r="G239" t="str">
            <v>Telecomms</v>
          </cell>
          <cell r="H239" t="str">
            <v>Telecomms</v>
          </cell>
          <cell r="I239">
            <v>1279</v>
          </cell>
          <cell r="J239" t="str">
            <v>Non-digital (Integration Platform/Back End Services) development</v>
          </cell>
        </row>
        <row r="240">
          <cell r="D240">
            <v>356100</v>
          </cell>
          <cell r="E240" t="str">
            <v>Audio &amp; Video conferencing</v>
          </cell>
          <cell r="F240" t="str">
            <v>Property &amp; utilities</v>
          </cell>
          <cell r="G240" t="str">
            <v>Telecomms</v>
          </cell>
          <cell r="H240" t="str">
            <v>Telecomms</v>
          </cell>
          <cell r="I240">
            <v>1280</v>
          </cell>
          <cell r="J240" t="str">
            <v>SNCB BMI Business Lounge lease incentive</v>
          </cell>
        </row>
        <row r="241">
          <cell r="D241">
            <v>356101</v>
          </cell>
          <cell r="E241" t="str">
            <v>Fixed Line telephony</v>
          </cell>
          <cell r="F241" t="str">
            <v>Property &amp; utilities</v>
          </cell>
          <cell r="G241" t="str">
            <v>Telecomms</v>
          </cell>
          <cell r="H241" t="str">
            <v>Telecomms</v>
          </cell>
          <cell r="I241">
            <v>1281</v>
          </cell>
          <cell r="J241" t="str">
            <v>BOX Cloud storage and collaboration platform</v>
          </cell>
        </row>
        <row r="242">
          <cell r="D242">
            <v>356200</v>
          </cell>
          <cell r="E242" t="str">
            <v>Non geographical numbers</v>
          </cell>
          <cell r="F242" t="str">
            <v>Property &amp; utilities</v>
          </cell>
          <cell r="G242" t="str">
            <v>Telecomms</v>
          </cell>
          <cell r="H242" t="str">
            <v>Telecomms</v>
          </cell>
          <cell r="I242">
            <v>1282</v>
          </cell>
          <cell r="J242" t="str">
            <v>SCO (Stocking Strategy)</v>
          </cell>
        </row>
        <row r="243">
          <cell r="D243">
            <v>356300</v>
          </cell>
          <cell r="E243" t="str">
            <v>Mobile telephony</v>
          </cell>
          <cell r="F243" t="str">
            <v>Property &amp; utilities</v>
          </cell>
          <cell r="G243" t="str">
            <v>Telecomms</v>
          </cell>
          <cell r="H243" t="str">
            <v>Telecomms</v>
          </cell>
          <cell r="I243">
            <v>1283</v>
          </cell>
          <cell r="J243" t="str">
            <v>Wi-Fi Implementation</v>
          </cell>
        </row>
        <row r="244">
          <cell r="D244">
            <v>356400</v>
          </cell>
          <cell r="E244" t="str">
            <v>Mobile (telephony) licensing</v>
          </cell>
          <cell r="F244" t="str">
            <v>Property &amp; utilities</v>
          </cell>
          <cell r="G244" t="str">
            <v>Telecomms</v>
          </cell>
          <cell r="H244" t="str">
            <v>Telecomms</v>
          </cell>
          <cell r="I244">
            <v>1284</v>
          </cell>
          <cell r="J244" t="str">
            <v>Overbooking Application</v>
          </cell>
        </row>
        <row r="245">
          <cell r="D245">
            <v>357001</v>
          </cell>
          <cell r="E245" t="str">
            <v>Gas</v>
          </cell>
          <cell r="F245" t="str">
            <v>Property &amp; utilities</v>
          </cell>
          <cell r="G245" t="str">
            <v>Utilities</v>
          </cell>
          <cell r="H245" t="str">
            <v>Utilities</v>
          </cell>
          <cell r="I245">
            <v>1285</v>
          </cell>
          <cell r="J245" t="str">
            <v>Sales Activation</v>
          </cell>
        </row>
        <row r="246">
          <cell r="D246">
            <v>357002</v>
          </cell>
          <cell r="E246" t="str">
            <v>Electricity</v>
          </cell>
          <cell r="F246" t="str">
            <v>Property &amp; utilities</v>
          </cell>
          <cell r="G246" t="str">
            <v>Utilities</v>
          </cell>
          <cell r="H246" t="str">
            <v>Utilities</v>
          </cell>
          <cell r="I246">
            <v>1286</v>
          </cell>
          <cell r="J246" t="str">
            <v>Lyon &amp; South of France</v>
          </cell>
        </row>
        <row r="247">
          <cell r="D247">
            <v>357003</v>
          </cell>
          <cell r="E247" t="str">
            <v>Water</v>
          </cell>
          <cell r="F247" t="str">
            <v>Property &amp; utilities</v>
          </cell>
          <cell r="G247" t="str">
            <v>Utilities</v>
          </cell>
          <cell r="H247" t="str">
            <v>Utilities</v>
          </cell>
          <cell r="I247">
            <v>1287</v>
          </cell>
          <cell r="J247" t="str">
            <v>E-mail communications</v>
          </cell>
        </row>
        <row r="248">
          <cell r="D248">
            <v>358001</v>
          </cell>
          <cell r="E248" t="str">
            <v>Property cleaning - contract costs</v>
          </cell>
          <cell r="F248" t="str">
            <v>Property &amp; utilities</v>
          </cell>
          <cell r="G248" t="str">
            <v>Property repairs &amp; maintenance</v>
          </cell>
          <cell r="H248" t="str">
            <v>Property repairs &amp; maintenance</v>
          </cell>
          <cell r="I248">
            <v>1288</v>
          </cell>
          <cell r="J248" t="str">
            <v>Brand communications</v>
          </cell>
        </row>
        <row r="249">
          <cell r="D249">
            <v>358100</v>
          </cell>
          <cell r="E249" t="str">
            <v>Building maintenance</v>
          </cell>
          <cell r="F249" t="str">
            <v>Property &amp; utilities</v>
          </cell>
          <cell r="G249" t="str">
            <v>Property repairs &amp; maintenance</v>
          </cell>
          <cell r="H249" t="str">
            <v>Property repairs &amp; maintenance</v>
          </cell>
          <cell r="I249">
            <v>1289</v>
          </cell>
          <cell r="J249" t="str">
            <v>Social Media</v>
          </cell>
        </row>
        <row r="250">
          <cell r="D250">
            <v>358200</v>
          </cell>
          <cell r="E250" t="str">
            <v>Heating &amp; lighting systems</v>
          </cell>
          <cell r="F250" t="str">
            <v>Property &amp; utilities</v>
          </cell>
          <cell r="G250" t="str">
            <v>Property repairs &amp; maintenance</v>
          </cell>
          <cell r="H250" t="str">
            <v>Property repairs &amp; maintenance</v>
          </cell>
          <cell r="I250">
            <v>1290</v>
          </cell>
          <cell r="J250" t="str">
            <v>Brand Development Support</v>
          </cell>
        </row>
        <row r="251">
          <cell r="D251">
            <v>358300</v>
          </cell>
          <cell r="E251" t="str">
            <v>Equipment</v>
          </cell>
          <cell r="F251" t="str">
            <v>Property &amp; utilities</v>
          </cell>
          <cell r="G251" t="str">
            <v>Property repairs &amp; maintenance</v>
          </cell>
          <cell r="H251" t="str">
            <v>Property repairs &amp; maintenance</v>
          </cell>
          <cell r="I251">
            <v>1291</v>
          </cell>
          <cell r="J251" t="str">
            <v>International Markets</v>
          </cell>
        </row>
        <row r="252">
          <cell r="D252">
            <v>358301</v>
          </cell>
          <cell r="E252" t="str">
            <v>Equipment - operating lease</v>
          </cell>
          <cell r="F252" t="str">
            <v>Property &amp; utilities</v>
          </cell>
          <cell r="G252" t="str">
            <v>Property repairs &amp; maintenance</v>
          </cell>
          <cell r="H252" t="str">
            <v>Property repairs &amp; maintenance</v>
          </cell>
          <cell r="I252">
            <v>1292</v>
          </cell>
          <cell r="J252" t="str">
            <v>New Markets</v>
          </cell>
        </row>
        <row r="253">
          <cell r="D253">
            <v>358400</v>
          </cell>
          <cell r="E253" t="str">
            <v>Minor site expenses</v>
          </cell>
          <cell r="F253" t="str">
            <v>Property &amp; utilities</v>
          </cell>
          <cell r="G253" t="str">
            <v>Property repairs &amp; maintenance</v>
          </cell>
          <cell r="H253" t="str">
            <v>Property repairs &amp; maintenance</v>
          </cell>
          <cell r="I253">
            <v>1293</v>
          </cell>
          <cell r="J253" t="str">
            <v>Search Engine Optimisation</v>
          </cell>
        </row>
        <row r="254">
          <cell r="D254">
            <v>360001</v>
          </cell>
          <cell r="E254" t="str">
            <v>Insurance - premiums</v>
          </cell>
          <cell r="F254" t="str">
            <v>General &amp; admin</v>
          </cell>
          <cell r="G254" t="str">
            <v>Insurance</v>
          </cell>
          <cell r="H254" t="str">
            <v>Insurance</v>
          </cell>
          <cell r="I254">
            <v>1294</v>
          </cell>
          <cell r="J254" t="str">
            <v>Eurostar Plus Points</v>
          </cell>
        </row>
        <row r="255">
          <cell r="D255">
            <v>360002</v>
          </cell>
          <cell r="E255" t="str">
            <v>Insurance - settlements</v>
          </cell>
          <cell r="F255" t="str">
            <v>General &amp; admin</v>
          </cell>
          <cell r="G255" t="str">
            <v>Insurance</v>
          </cell>
          <cell r="H255" t="str">
            <v>Insurance</v>
          </cell>
          <cell r="I255">
            <v>1295</v>
          </cell>
          <cell r="J255" t="str">
            <v>Digital Content</v>
          </cell>
        </row>
        <row r="256">
          <cell r="D256">
            <v>360012</v>
          </cell>
          <cell r="E256" t="str">
            <v>Insurance - premiums (casualty)</v>
          </cell>
          <cell r="F256" t="str">
            <v>General &amp; admin</v>
          </cell>
          <cell r="G256" t="str">
            <v>Insurance</v>
          </cell>
          <cell r="H256" t="str">
            <v>Insurance</v>
          </cell>
          <cell r="I256">
            <v>1296</v>
          </cell>
          <cell r="J256" t="str">
            <v>BP &amp; Carte Blanche</v>
          </cell>
        </row>
        <row r="257">
          <cell r="D257">
            <v>360010</v>
          </cell>
          <cell r="E257" t="str">
            <v>Insurance - brokerage</v>
          </cell>
          <cell r="F257" t="str">
            <v>General &amp; admin</v>
          </cell>
          <cell r="G257" t="str">
            <v>Insurance</v>
          </cell>
          <cell r="H257" t="str">
            <v>Insurance</v>
          </cell>
          <cell r="I257">
            <v>1297</v>
          </cell>
          <cell r="J257" t="str">
            <v>Product Development</v>
          </cell>
        </row>
        <row r="258">
          <cell r="D258">
            <v>360011</v>
          </cell>
          <cell r="E258" t="str">
            <v>Insurance - premiums (property &amp; terrorism)</v>
          </cell>
          <cell r="F258" t="str">
            <v>General &amp; admin</v>
          </cell>
          <cell r="G258" t="str">
            <v>Insurance</v>
          </cell>
          <cell r="H258" t="str">
            <v>Insurance</v>
          </cell>
          <cell r="I258">
            <v>1298</v>
          </cell>
          <cell r="J258" t="str">
            <v>Connections Development</v>
          </cell>
        </row>
        <row r="259">
          <cell r="D259">
            <v>360013</v>
          </cell>
          <cell r="E259" t="str">
            <v>Insurance - premiums (other)</v>
          </cell>
          <cell r="F259" t="str">
            <v>General &amp; admin</v>
          </cell>
          <cell r="G259" t="str">
            <v>Insurance</v>
          </cell>
          <cell r="H259" t="str">
            <v>Insurance</v>
          </cell>
          <cell r="I259">
            <v>1299</v>
          </cell>
          <cell r="J259" t="str">
            <v>Train Appearance Project</v>
          </cell>
        </row>
        <row r="260">
          <cell r="D260">
            <v>361001</v>
          </cell>
          <cell r="E260" t="str">
            <v>Consultants</v>
          </cell>
          <cell r="F260" t="str">
            <v>General &amp; admin</v>
          </cell>
          <cell r="G260" t="str">
            <v>Professional fees</v>
          </cell>
          <cell r="H260" t="str">
            <v>Professional fees</v>
          </cell>
          <cell r="I260">
            <v>1300</v>
          </cell>
          <cell r="J260" t="str">
            <v>Lille ticket office</v>
          </cell>
        </row>
        <row r="261">
          <cell r="D261">
            <v>361002</v>
          </cell>
          <cell r="E261" t="str">
            <v>Management consultancy</v>
          </cell>
          <cell r="F261" t="str">
            <v>General &amp; admin</v>
          </cell>
          <cell r="G261" t="str">
            <v>Professional fees</v>
          </cell>
          <cell r="H261" t="str">
            <v>Professional fees</v>
          </cell>
          <cell r="I261">
            <v>1301</v>
          </cell>
          <cell r="J261" t="str">
            <v>E300 Float creation spares</v>
          </cell>
        </row>
        <row r="262">
          <cell r="D262">
            <v>361003</v>
          </cell>
          <cell r="E262" t="str">
            <v>IS consultancy</v>
          </cell>
          <cell r="F262" t="str">
            <v>General &amp; admin</v>
          </cell>
          <cell r="G262" t="str">
            <v>Professional fees</v>
          </cell>
          <cell r="H262" t="str">
            <v>Professional fees</v>
          </cell>
          <cell r="I262">
            <v>1302</v>
          </cell>
          <cell r="J262" t="str">
            <v>E320 option sets</v>
          </cell>
        </row>
        <row r="263">
          <cell r="D263">
            <v>361004</v>
          </cell>
          <cell r="E263" t="str">
            <v>Property consultancy/agents</v>
          </cell>
          <cell r="F263" t="str">
            <v>General &amp; admin</v>
          </cell>
          <cell r="G263" t="str">
            <v>Professional fees</v>
          </cell>
          <cell r="H263" t="str">
            <v>Professional fees</v>
          </cell>
          <cell r="I263">
            <v>1303</v>
          </cell>
          <cell r="J263" t="str">
            <v>Liquidated Damages</v>
          </cell>
        </row>
        <row r="264">
          <cell r="D264">
            <v>361005</v>
          </cell>
          <cell r="E264" t="str">
            <v>HR consultancy</v>
          </cell>
          <cell r="F264" t="str">
            <v>General &amp; admin</v>
          </cell>
          <cell r="G264" t="str">
            <v>Professional fees</v>
          </cell>
          <cell r="H264" t="str">
            <v>Professional fees</v>
          </cell>
          <cell r="I264">
            <v>1307</v>
          </cell>
          <cell r="J264" t="str">
            <v>Train energy metering</v>
          </cell>
        </row>
        <row r="265">
          <cell r="D265">
            <v>361006</v>
          </cell>
          <cell r="E265" t="str">
            <v>Rail consultancy</v>
          </cell>
          <cell r="F265" t="str">
            <v>General &amp; admin</v>
          </cell>
          <cell r="G265" t="str">
            <v>Professional fees</v>
          </cell>
          <cell r="H265" t="str">
            <v>Professional fees</v>
          </cell>
          <cell r="I265">
            <v>1309</v>
          </cell>
          <cell r="J265" t="str">
            <v>Paris Nord BP Lounge Refurbishment</v>
          </cell>
        </row>
        <row r="266">
          <cell r="D266">
            <v>361100</v>
          </cell>
          <cell r="E266" t="str">
            <v>Accountancy services</v>
          </cell>
          <cell r="F266" t="str">
            <v>General &amp; admin</v>
          </cell>
          <cell r="G266" t="str">
            <v>Professional fees</v>
          </cell>
          <cell r="H266" t="str">
            <v>Professional fees</v>
          </cell>
          <cell r="I266">
            <v>1310</v>
          </cell>
          <cell r="J266" t="str">
            <v>London St Pancras BP Lounge Refurbishment</v>
          </cell>
        </row>
        <row r="267">
          <cell r="D267">
            <v>361101</v>
          </cell>
          <cell r="E267" t="str">
            <v>Audit fees</v>
          </cell>
          <cell r="F267" t="str">
            <v>General &amp; admin</v>
          </cell>
          <cell r="G267" t="str">
            <v>Professional fees</v>
          </cell>
          <cell r="H267" t="str">
            <v>Professional fees</v>
          </cell>
          <cell r="I267">
            <v>1311</v>
          </cell>
          <cell r="J267" t="str">
            <v>GSMR Radios</v>
          </cell>
        </row>
        <row r="268">
          <cell r="D268">
            <v>361102</v>
          </cell>
          <cell r="E268" t="str">
            <v>Internal audit fees</v>
          </cell>
          <cell r="F268" t="str">
            <v>General &amp; admin</v>
          </cell>
          <cell r="G268" t="str">
            <v>Professional fees</v>
          </cell>
          <cell r="H268" t="str">
            <v>Professional fees</v>
          </cell>
          <cell r="I268">
            <v>1312</v>
          </cell>
          <cell r="J268" t="str">
            <v>Fleet Retirement</v>
          </cell>
        </row>
        <row r="269">
          <cell r="D269">
            <v>361103</v>
          </cell>
          <cell r="E269" t="str">
            <v>Actuarial fees</v>
          </cell>
          <cell r="F269" t="str">
            <v>General &amp; admin</v>
          </cell>
          <cell r="G269" t="str">
            <v>Professional fees</v>
          </cell>
          <cell r="H269" t="str">
            <v>Professional fees</v>
          </cell>
          <cell r="I269">
            <v>1313</v>
          </cell>
          <cell r="J269" t="str">
            <v>E300 ¿ SNCF Variations Fixed Costs</v>
          </cell>
        </row>
        <row r="270">
          <cell r="D270">
            <v>361105</v>
          </cell>
          <cell r="E270" t="str">
            <v>Payroll services</v>
          </cell>
          <cell r="F270" t="str">
            <v>General &amp; admin</v>
          </cell>
          <cell r="G270" t="str">
            <v>Professional fees</v>
          </cell>
          <cell r="H270" t="str">
            <v>Professional fees</v>
          </cell>
          <cell r="I270">
            <v>1314</v>
          </cell>
          <cell r="J270" t="str">
            <v>E300 ¿ SNCF Variations Variable Costs</v>
          </cell>
        </row>
        <row r="271">
          <cell r="D271">
            <v>361106</v>
          </cell>
          <cell r="E271" t="str">
            <v>Tax consultancy</v>
          </cell>
          <cell r="F271" t="str">
            <v>General &amp; admin</v>
          </cell>
          <cell r="G271" t="str">
            <v>Professional fees</v>
          </cell>
          <cell r="H271" t="str">
            <v>Professional fees</v>
          </cell>
          <cell r="I271">
            <v>1315</v>
          </cell>
          <cell r="J271" t="str">
            <v>Disruption</v>
          </cell>
        </row>
        <row r="272">
          <cell r="D272">
            <v>361200</v>
          </cell>
          <cell r="E272" t="str">
            <v>Legal fees - general</v>
          </cell>
          <cell r="F272" t="str">
            <v>General &amp; admin</v>
          </cell>
          <cell r="G272" t="str">
            <v>Professional fees</v>
          </cell>
          <cell r="H272" t="str">
            <v>Professional fees</v>
          </cell>
          <cell r="I272">
            <v>1316</v>
          </cell>
          <cell r="J272" t="str">
            <v>TMI Locotractor</v>
          </cell>
        </row>
        <row r="273">
          <cell r="D273">
            <v>361201</v>
          </cell>
          <cell r="E273" t="str">
            <v>Legal fees - trademark</v>
          </cell>
          <cell r="F273" t="str">
            <v>General &amp; admin</v>
          </cell>
          <cell r="G273" t="str">
            <v>Professional fees</v>
          </cell>
          <cell r="H273" t="str">
            <v>Professional fees</v>
          </cell>
          <cell r="I273">
            <v>1317</v>
          </cell>
          <cell r="J273" t="str">
            <v>Infotainment system</v>
          </cell>
        </row>
        <row r="274">
          <cell r="D274">
            <v>361202</v>
          </cell>
          <cell r="E274" t="str">
            <v>Legal fees - property</v>
          </cell>
          <cell r="F274" t="str">
            <v>General &amp; admin</v>
          </cell>
          <cell r="G274" t="str">
            <v>Professional fees</v>
          </cell>
          <cell r="H274" t="str">
            <v>Professional fees</v>
          </cell>
          <cell r="I274">
            <v>1318</v>
          </cell>
          <cell r="J274" t="str">
            <v>Exit checks</v>
          </cell>
        </row>
        <row r="275">
          <cell r="D275">
            <v>361203</v>
          </cell>
          <cell r="E275" t="str">
            <v>Legal fees - regulatory</v>
          </cell>
          <cell r="F275" t="str">
            <v>General &amp; admin</v>
          </cell>
          <cell r="G275" t="str">
            <v>Professional fees</v>
          </cell>
          <cell r="H275" t="str">
            <v>Professional fees</v>
          </cell>
          <cell r="I275">
            <v>1319</v>
          </cell>
          <cell r="J275" t="str">
            <v>Customer 360 Analytics</v>
          </cell>
        </row>
        <row r="276">
          <cell r="D276">
            <v>361204</v>
          </cell>
          <cell r="E276" t="str">
            <v>Legal fees - monitoring trustee</v>
          </cell>
          <cell r="F276" t="str">
            <v>General &amp; admin</v>
          </cell>
          <cell r="G276" t="str">
            <v>Professional fees</v>
          </cell>
          <cell r="H276" t="str">
            <v>Professional fees</v>
          </cell>
          <cell r="I276">
            <v>1320</v>
          </cell>
          <cell r="J276" t="str">
            <v>Steel Gearboxes</v>
          </cell>
        </row>
        <row r="277">
          <cell r="D277">
            <v>361205</v>
          </cell>
          <cell r="E277" t="str">
            <v>Legal fees - employee</v>
          </cell>
          <cell r="F277" t="str">
            <v>General &amp; admin</v>
          </cell>
          <cell r="G277" t="str">
            <v>Professional fees</v>
          </cell>
          <cell r="H277" t="str">
            <v>Professional fees</v>
          </cell>
          <cell r="I277">
            <v>1321</v>
          </cell>
          <cell r="J277" t="str">
            <v>Passenger Information System</v>
          </cell>
        </row>
        <row r="278">
          <cell r="D278">
            <v>361300</v>
          </cell>
          <cell r="E278" t="str">
            <v>Translation services</v>
          </cell>
          <cell r="F278" t="str">
            <v>General &amp; admin</v>
          </cell>
          <cell r="G278" t="str">
            <v>Professional fees</v>
          </cell>
          <cell r="H278" t="str">
            <v>Professional fees</v>
          </cell>
          <cell r="I278">
            <v>1322</v>
          </cell>
          <cell r="J278" t="str">
            <v>Phase 2 Depot Mods</v>
          </cell>
        </row>
        <row r="279">
          <cell r="D279">
            <v>361400</v>
          </cell>
          <cell r="E279" t="str">
            <v>Director fees</v>
          </cell>
          <cell r="F279" t="str">
            <v>General &amp; admin</v>
          </cell>
          <cell r="G279" t="str">
            <v>Professional fees</v>
          </cell>
          <cell r="H279" t="str">
            <v>Professional fees</v>
          </cell>
          <cell r="I279">
            <v>1323</v>
          </cell>
          <cell r="J279" t="str">
            <v>Online Compensation</v>
          </cell>
        </row>
        <row r="280">
          <cell r="D280">
            <v>362001</v>
          </cell>
          <cell r="E280" t="str">
            <v>Travel costs</v>
          </cell>
          <cell r="F280" t="str">
            <v>General &amp; admin</v>
          </cell>
          <cell r="G280" t="str">
            <v>Travel and entertainment</v>
          </cell>
          <cell r="H280" t="str">
            <v>Travel and entertainment</v>
          </cell>
          <cell r="I280">
            <v>1324</v>
          </cell>
          <cell r="J280" t="str">
            <v>F.A. Module Migration</v>
          </cell>
        </row>
        <row r="281">
          <cell r="D281">
            <v>362002</v>
          </cell>
          <cell r="E281" t="str">
            <v>Hotels</v>
          </cell>
          <cell r="F281" t="str">
            <v>General &amp; admin</v>
          </cell>
          <cell r="G281" t="str">
            <v>Travel and entertainment</v>
          </cell>
          <cell r="H281" t="str">
            <v>Travel and entertainment</v>
          </cell>
          <cell r="I281">
            <v>1325</v>
          </cell>
          <cell r="J281" t="str">
            <v>Intranet</v>
          </cell>
        </row>
        <row r="282">
          <cell r="D282">
            <v>362003</v>
          </cell>
          <cell r="E282" t="str">
            <v>Subsistence costs</v>
          </cell>
          <cell r="F282" t="str">
            <v>General &amp; admin</v>
          </cell>
          <cell r="G282" t="str">
            <v>Travel and entertainment</v>
          </cell>
          <cell r="H282" t="str">
            <v>Travel and entertainment</v>
          </cell>
          <cell r="I282">
            <v>1326</v>
          </cell>
          <cell r="J282" t="str">
            <v>TVM signalling</v>
          </cell>
        </row>
        <row r="283">
          <cell r="D283">
            <v>362004</v>
          </cell>
          <cell r="E283" t="str">
            <v>Conference and meeting costs</v>
          </cell>
          <cell r="F283" t="str">
            <v>General &amp; admin</v>
          </cell>
          <cell r="G283" t="str">
            <v>Travel and entertainment</v>
          </cell>
          <cell r="H283" t="str">
            <v>Travel and entertainment</v>
          </cell>
          <cell r="I283">
            <v>1327</v>
          </cell>
          <cell r="J283" t="str">
            <v>TSSSA Recognition</v>
          </cell>
        </row>
        <row r="284">
          <cell r="D284">
            <v>362005</v>
          </cell>
          <cell r="E284" t="str">
            <v>Client entertainment</v>
          </cell>
          <cell r="F284" t="str">
            <v>General &amp; admin</v>
          </cell>
          <cell r="G284" t="str">
            <v>Travel and entertainment</v>
          </cell>
          <cell r="H284" t="str">
            <v>Travel and entertainment</v>
          </cell>
          <cell r="I284">
            <v>1328</v>
          </cell>
          <cell r="J284" t="str">
            <v>Mobile Replacements</v>
          </cell>
        </row>
        <row r="285">
          <cell r="D285">
            <v>362006</v>
          </cell>
          <cell r="E285" t="str">
            <v>Client gifts</v>
          </cell>
          <cell r="F285" t="str">
            <v>General &amp; admin</v>
          </cell>
          <cell r="G285" t="str">
            <v>Travel and entertainment</v>
          </cell>
          <cell r="H285" t="str">
            <v>Travel and entertainment</v>
          </cell>
          <cell r="I285">
            <v>1329</v>
          </cell>
          <cell r="J285" t="str">
            <v>eGates</v>
          </cell>
        </row>
        <row r="286">
          <cell r="D286">
            <v>362007</v>
          </cell>
          <cell r="E286" t="str">
            <v>Taxi (early / late)</v>
          </cell>
          <cell r="F286" t="str">
            <v>General &amp; admin</v>
          </cell>
          <cell r="G286" t="str">
            <v>Travel and entertainment</v>
          </cell>
          <cell r="H286" t="str">
            <v>Travel and entertainment</v>
          </cell>
          <cell r="I286">
            <v>1330</v>
          </cell>
          <cell r="J286" t="str">
            <v>Etap project</v>
          </cell>
        </row>
        <row r="287">
          <cell r="D287">
            <v>362008</v>
          </cell>
          <cell r="E287" t="str">
            <v>Car park fees</v>
          </cell>
          <cell r="F287" t="str">
            <v>General &amp; admin</v>
          </cell>
          <cell r="G287" t="str">
            <v>Travel and entertainment</v>
          </cell>
          <cell r="H287" t="str">
            <v>Travel and entertainment</v>
          </cell>
          <cell r="I287">
            <v>1331</v>
          </cell>
          <cell r="J287" t="str">
            <v>TM carriages rental (SNCF)</v>
          </cell>
        </row>
        <row r="288">
          <cell r="D288">
            <v>362100</v>
          </cell>
          <cell r="E288" t="str">
            <v>Duty travel control account</v>
          </cell>
          <cell r="F288" t="str">
            <v>General &amp; admin</v>
          </cell>
          <cell r="G288" t="str">
            <v>Travel and entertainment</v>
          </cell>
          <cell r="H288" t="str">
            <v>Travel and entertainment</v>
          </cell>
          <cell r="I288">
            <v>1332</v>
          </cell>
          <cell r="J288" t="str">
            <v>Calais - security zone</v>
          </cell>
        </row>
        <row r="289">
          <cell r="D289">
            <v>363001</v>
          </cell>
          <cell r="E289" t="str">
            <v>Printing and paper</v>
          </cell>
          <cell r="F289" t="str">
            <v>General &amp; admin</v>
          </cell>
          <cell r="G289" t="str">
            <v>Printing, publications &amp; stationery</v>
          </cell>
          <cell r="H289" t="str">
            <v>Printing, publications &amp; stationery</v>
          </cell>
          <cell r="I289">
            <v>1333</v>
          </cell>
          <cell r="J289" t="str">
            <v>Ride to work</v>
          </cell>
        </row>
        <row r="290">
          <cell r="D290">
            <v>363002</v>
          </cell>
          <cell r="E290" t="str">
            <v>Publications</v>
          </cell>
          <cell r="F290" t="str">
            <v>General &amp; admin</v>
          </cell>
          <cell r="G290" t="str">
            <v>Printing, publications &amp; stationery</v>
          </cell>
          <cell r="H290" t="str">
            <v>Printing, publications &amp; stationery</v>
          </cell>
          <cell r="I290">
            <v>1334</v>
          </cell>
          <cell r="J290" t="str">
            <v>Le Landy - depot modifications</v>
          </cell>
        </row>
        <row r="291">
          <cell r="D291">
            <v>363003</v>
          </cell>
          <cell r="E291" t="str">
            <v>Corporate memberships and subscriptions</v>
          </cell>
          <cell r="F291" t="str">
            <v>General &amp; admin</v>
          </cell>
          <cell r="G291" t="str">
            <v>Printing, publications &amp; stationery</v>
          </cell>
          <cell r="H291" t="str">
            <v>Printing, publications &amp; stationery</v>
          </cell>
          <cell r="I291">
            <v>1335</v>
          </cell>
          <cell r="J291" t="str">
            <v>Wifi Masteris fit-out variable costs</v>
          </cell>
        </row>
        <row r="292">
          <cell r="D292">
            <v>363004</v>
          </cell>
          <cell r="E292" t="str">
            <v>Stationery</v>
          </cell>
          <cell r="F292" t="str">
            <v>General &amp; admin</v>
          </cell>
          <cell r="G292" t="str">
            <v>Printing, publications &amp; stationery</v>
          </cell>
          <cell r="H292" t="str">
            <v>Printing, publications &amp; stationery</v>
          </cell>
          <cell r="I292">
            <v>1336</v>
          </cell>
          <cell r="J292" t="str">
            <v>PIS Masteris fit-out variable costs</v>
          </cell>
        </row>
        <row r="293">
          <cell r="D293">
            <v>363005</v>
          </cell>
          <cell r="E293" t="str">
            <v>Archiving and storage</v>
          </cell>
          <cell r="F293" t="str">
            <v>General &amp; admin</v>
          </cell>
          <cell r="G293" t="str">
            <v>Printing, publications &amp; stationery</v>
          </cell>
          <cell r="H293" t="str">
            <v>Printing, publications &amp; stationery</v>
          </cell>
          <cell r="I293">
            <v>1337</v>
          </cell>
          <cell r="J293" t="str">
            <v>Masteris fit-out variations</v>
          </cell>
        </row>
        <row r="294">
          <cell r="D294">
            <v>363006</v>
          </cell>
          <cell r="E294" t="str">
            <v>Postage</v>
          </cell>
          <cell r="F294" t="str">
            <v>General &amp; admin</v>
          </cell>
          <cell r="G294" t="str">
            <v>Printing, publications &amp; stationery</v>
          </cell>
          <cell r="H294" t="str">
            <v>Printing, publications &amp; stationery</v>
          </cell>
          <cell r="I294">
            <v>1338</v>
          </cell>
          <cell r="J294" t="str">
            <v>e300 Asbestos fixed costs</v>
          </cell>
        </row>
        <row r="295">
          <cell r="D295">
            <v>363007</v>
          </cell>
          <cell r="E295" t="str">
            <v>Freight and courier</v>
          </cell>
          <cell r="F295" t="str">
            <v>General &amp; admin</v>
          </cell>
          <cell r="G295" t="str">
            <v>Printing, publications &amp; stationery</v>
          </cell>
          <cell r="H295" t="str">
            <v>Printing, publications &amp; stationery</v>
          </cell>
          <cell r="I295">
            <v>1339</v>
          </cell>
          <cell r="J295" t="str">
            <v>e300 Asbestos variable costs</v>
          </cell>
        </row>
        <row r="296">
          <cell r="D296">
            <v>364001</v>
          </cell>
          <cell r="E296" t="str">
            <v>Penalties and fines</v>
          </cell>
          <cell r="F296" t="str">
            <v>General &amp; admin</v>
          </cell>
          <cell r="G296" t="str">
            <v>General costs</v>
          </cell>
          <cell r="H296" t="str">
            <v>General costs</v>
          </cell>
          <cell r="I296">
            <v>1340</v>
          </cell>
          <cell r="J296" t="str">
            <v>Incident Care Team</v>
          </cell>
        </row>
        <row r="297">
          <cell r="D297">
            <v>364999</v>
          </cell>
          <cell r="E297" t="str">
            <v>Budget contingency/(task)</v>
          </cell>
          <cell r="F297" t="str">
            <v>General &amp; admin</v>
          </cell>
          <cell r="G297" t="str">
            <v>General costs</v>
          </cell>
          <cell r="H297" t="str">
            <v>General costs</v>
          </cell>
          <cell r="I297">
            <v>1341</v>
          </cell>
          <cell r="J297" t="str">
            <v>TMI enhancements</v>
          </cell>
        </row>
        <row r="298">
          <cell r="D298">
            <v>371001</v>
          </cell>
          <cell r="E298" t="str">
            <v>Track access - OP charge</v>
          </cell>
          <cell r="F298" t="str">
            <v>Track access &amp; energy</v>
          </cell>
          <cell r="G298" t="str">
            <v>Track access</v>
          </cell>
          <cell r="H298" t="str">
            <v>Track access</v>
          </cell>
          <cell r="I298">
            <v>1344</v>
          </cell>
          <cell r="J298" t="str">
            <v>Online duty travel tool</v>
          </cell>
        </row>
        <row r="299">
          <cell r="D299">
            <v>371002</v>
          </cell>
          <cell r="E299" t="str">
            <v>Track access - RES charge</v>
          </cell>
          <cell r="F299" t="str">
            <v>Track access &amp; energy</v>
          </cell>
          <cell r="G299" t="str">
            <v>Track access</v>
          </cell>
          <cell r="H299" t="str">
            <v>Track access</v>
          </cell>
          <cell r="I299">
            <v>1345</v>
          </cell>
          <cell r="J299" t="str">
            <v>Snap</v>
          </cell>
        </row>
        <row r="300">
          <cell r="D300">
            <v>371003</v>
          </cell>
          <cell r="E300" t="str">
            <v>Track access - IRC charge</v>
          </cell>
          <cell r="F300" t="str">
            <v>Track access &amp; energy</v>
          </cell>
          <cell r="G300" t="str">
            <v>Track access</v>
          </cell>
          <cell r="H300" t="str">
            <v>Track access</v>
          </cell>
          <cell r="I300">
            <v>1346</v>
          </cell>
          <cell r="J300" t="str">
            <v>Lifeguard modification (REP)</v>
          </cell>
        </row>
        <row r="301">
          <cell r="D301">
            <v>371004</v>
          </cell>
          <cell r="E301" t="str">
            <v>Track access - other</v>
          </cell>
          <cell r="F301" t="str">
            <v>Track access &amp; energy</v>
          </cell>
          <cell r="G301" t="str">
            <v>Track access</v>
          </cell>
          <cell r="H301" t="str">
            <v>Track access</v>
          </cell>
          <cell r="I301">
            <v>1347</v>
          </cell>
          <cell r="J301" t="str">
            <v>REP - 51801004 - BRAKE UNIT TREAD NOT PARKINGRH</v>
          </cell>
        </row>
        <row r="302">
          <cell r="D302">
            <v>374001</v>
          </cell>
          <cell r="E302" t="str">
            <v>Traction energy</v>
          </cell>
          <cell r="F302" t="str">
            <v>Track access &amp; energy</v>
          </cell>
          <cell r="G302" t="str">
            <v>Traction energy</v>
          </cell>
          <cell r="H302" t="str">
            <v>Traction energy</v>
          </cell>
          <cell r="I302">
            <v>1348</v>
          </cell>
          <cell r="J302" t="str">
            <v>REP - 51581011 - DAMPER KONI LOWER BODY-BODY</v>
          </cell>
        </row>
        <row r="303">
          <cell r="D303">
            <v>375001</v>
          </cell>
          <cell r="E303" t="str">
            <v>ET - fixed</v>
          </cell>
          <cell r="F303" t="str">
            <v>Eurotunnel</v>
          </cell>
          <cell r="G303" t="str">
            <v>ET - fixed</v>
          </cell>
          <cell r="H303" t="str">
            <v>ET - fixed</v>
          </cell>
          <cell r="I303">
            <v>1349</v>
          </cell>
          <cell r="J303" t="str">
            <v>REP - 51500111 - 51500244 - DAMPER KONI PRIMARY VERTICAL</v>
          </cell>
        </row>
        <row r="304">
          <cell r="D304">
            <v>376001</v>
          </cell>
          <cell r="E304" t="str">
            <v>ET - variable</v>
          </cell>
          <cell r="F304" t="str">
            <v>Eurotunnel</v>
          </cell>
          <cell r="G304" t="str">
            <v>ET - variable</v>
          </cell>
          <cell r="H304" t="str">
            <v>ET - variable</v>
          </cell>
          <cell r="I304">
            <v>1350</v>
          </cell>
          <cell r="J304" t="str">
            <v>REP - 51581017 - DAMPER KONI UPPER BODY-BODY</v>
          </cell>
        </row>
        <row r="305">
          <cell r="D305">
            <v>377001</v>
          </cell>
          <cell r="E305" t="str">
            <v>ET - opex &amp; capex renewals</v>
          </cell>
          <cell r="F305" t="str">
            <v>Eurotunnel</v>
          </cell>
          <cell r="G305" t="str">
            <v>ET - opex &amp; capex renewals</v>
          </cell>
          <cell r="H305" t="str">
            <v>ET - opex &amp; capex renewals</v>
          </cell>
          <cell r="I305">
            <v>1351</v>
          </cell>
          <cell r="J305" t="str">
            <v>REP - 51581008 - DAMPER YAW TRLR BOGIE KONI</v>
          </cell>
        </row>
        <row r="306">
          <cell r="D306">
            <v>377002</v>
          </cell>
          <cell r="E306" t="str">
            <v>ET - offcharge to capex</v>
          </cell>
          <cell r="F306" t="str">
            <v>Eurotunnel</v>
          </cell>
          <cell r="G306" t="str">
            <v>ET - opex &amp; capex renewals</v>
          </cell>
          <cell r="H306" t="str">
            <v>ET - opex &amp; capex renewals</v>
          </cell>
          <cell r="I306">
            <v>1352</v>
          </cell>
          <cell r="J306" t="str">
            <v>REP - 51502004 - WHEELSET ASSY TRAILERS</v>
          </cell>
        </row>
        <row r="307">
          <cell r="D307">
            <v>380001</v>
          </cell>
          <cell r="E307" t="str">
            <v>Train operating leases</v>
          </cell>
          <cell r="F307" t="str">
            <v>Train operating leases</v>
          </cell>
          <cell r="G307" t="str">
            <v>Train operating leases</v>
          </cell>
          <cell r="H307" t="str">
            <v>Train operating leases</v>
          </cell>
          <cell r="I307">
            <v>1353</v>
          </cell>
          <cell r="J307" t="str">
            <v>Digital acquisition</v>
          </cell>
        </row>
        <row r="308">
          <cell r="D308">
            <v>381001</v>
          </cell>
          <cell r="E308" t="str">
            <v>Rolling stock tax (IFER)</v>
          </cell>
          <cell r="F308" t="str">
            <v>Operational taxes</v>
          </cell>
          <cell r="G308" t="str">
            <v>Operational taxes</v>
          </cell>
          <cell r="H308" t="str">
            <v>Operational taxes</v>
          </cell>
          <cell r="I308">
            <v>1354</v>
          </cell>
          <cell r="J308" t="str">
            <v>Stand-out campagins</v>
          </cell>
        </row>
        <row r="309">
          <cell r="D309">
            <v>381002</v>
          </cell>
          <cell r="E309" t="str">
            <v>Organic tax</v>
          </cell>
          <cell r="F309" t="str">
            <v>Operational taxes</v>
          </cell>
          <cell r="G309" t="str">
            <v>Operational taxes</v>
          </cell>
          <cell r="H309" t="str">
            <v>Operational taxes</v>
          </cell>
          <cell r="I309">
            <v>1355</v>
          </cell>
          <cell r="J309" t="str">
            <v>Customer Relationship Management</v>
          </cell>
        </row>
        <row r="310">
          <cell r="D310">
            <v>381003</v>
          </cell>
          <cell r="E310" t="str">
            <v>CVAE</v>
          </cell>
          <cell r="F310" t="str">
            <v>Operational taxes</v>
          </cell>
          <cell r="G310" t="str">
            <v>Operational taxes</v>
          </cell>
          <cell r="H310" t="str">
            <v>Operational taxes</v>
          </cell>
          <cell r="I310">
            <v>1356</v>
          </cell>
          <cell r="J310" t="str">
            <v>Content marketing</v>
          </cell>
        </row>
        <row r="311">
          <cell r="D311">
            <v>381004</v>
          </cell>
          <cell r="E311" t="str">
            <v>IFA</v>
          </cell>
          <cell r="F311" t="str">
            <v>Operational taxes</v>
          </cell>
          <cell r="G311" t="str">
            <v>Operational taxes</v>
          </cell>
          <cell r="H311" t="str">
            <v>Operational taxes</v>
          </cell>
          <cell r="I311">
            <v>1357</v>
          </cell>
          <cell r="J311" t="str">
            <v>Creative services</v>
          </cell>
        </row>
        <row r="312">
          <cell r="D312">
            <v>381005</v>
          </cell>
          <cell r="E312" t="str">
            <v>Carbon Reduction Commitment (CRC)</v>
          </cell>
          <cell r="F312" t="str">
            <v>Operational taxes</v>
          </cell>
          <cell r="G312" t="str">
            <v>Operational taxes</v>
          </cell>
          <cell r="H312" t="str">
            <v>Operational taxes</v>
          </cell>
          <cell r="I312">
            <v>1358</v>
          </cell>
          <cell r="J312" t="str">
            <v>Ancillary train cleaning</v>
          </cell>
        </row>
        <row r="313">
          <cell r="D313">
            <v>381100</v>
          </cell>
          <cell r="E313" t="str">
            <v>Regulatory fees &amp; levies</v>
          </cell>
          <cell r="F313" t="str">
            <v>Operational taxes</v>
          </cell>
          <cell r="G313" t="str">
            <v>Operational taxes</v>
          </cell>
          <cell r="H313" t="str">
            <v>Operational taxes</v>
          </cell>
          <cell r="I313">
            <v>1359</v>
          </cell>
          <cell r="J313" t="str">
            <v>Service Recovery eVouchers</v>
          </cell>
        </row>
        <row r="314">
          <cell r="D314">
            <v>382001</v>
          </cell>
          <cell r="E314" t="str">
            <v>FX gains/(losses) - operating - realised</v>
          </cell>
          <cell r="F314" t="str">
            <v>Foreign exchange gain/(loss)</v>
          </cell>
          <cell r="G314" t="str">
            <v>Foreign exchange gains/(losses) - operating costs</v>
          </cell>
          <cell r="H314" t="str">
            <v>Foreign exchange gains/(losses) - operating costs</v>
          </cell>
          <cell r="I314">
            <v>1360</v>
          </cell>
          <cell r="J314" t="str">
            <v>TMST parts salvaging</v>
          </cell>
        </row>
        <row r="315">
          <cell r="D315">
            <v>382002</v>
          </cell>
          <cell r="E315" t="str">
            <v>FX gains/(losses) - operating - unrealised</v>
          </cell>
          <cell r="F315" t="str">
            <v>Foreign exchange gain/(loss)</v>
          </cell>
          <cell r="G315" t="str">
            <v>Foreign exchange gains/(losses) - operating costs</v>
          </cell>
          <cell r="H315" t="str">
            <v>Foreign exchange gains/(losses) - operating costs</v>
          </cell>
          <cell r="I315">
            <v>1361</v>
          </cell>
          <cell r="J315" t="str">
            <v>e300 contract variation ¿ reduced order</v>
          </cell>
        </row>
        <row r="316">
          <cell r="D316">
            <v>390001</v>
          </cell>
          <cell r="E316" t="str">
            <v>Profit/(loss) on PPE</v>
          </cell>
          <cell r="F316" t="str">
            <v>Profit/(loss) on PPE</v>
          </cell>
          <cell r="G316" t="str">
            <v>Profit/(loss) on PPE</v>
          </cell>
          <cell r="H316" t="str">
            <v>Profit/(loss) on PPE</v>
          </cell>
          <cell r="I316">
            <v>1362</v>
          </cell>
          <cell r="J316" t="str">
            <v>Lounge access</v>
          </cell>
        </row>
        <row r="317">
          <cell r="D317">
            <v>401001</v>
          </cell>
          <cell r="E317" t="str">
            <v>Depreciation - RS</v>
          </cell>
          <cell r="F317" t="str">
            <v>Dep, Am &amp; Imp</v>
          </cell>
          <cell r="G317" t="str">
            <v>Depreciation</v>
          </cell>
          <cell r="H317" t="str">
            <v>Depreciation</v>
          </cell>
          <cell r="I317">
            <v>1363</v>
          </cell>
          <cell r="J317" t="str">
            <v>Meet and greet</v>
          </cell>
        </row>
        <row r="318">
          <cell r="D318">
            <v>401002</v>
          </cell>
          <cell r="E318" t="str">
            <v>Depreciation - FB</v>
          </cell>
          <cell r="F318" t="str">
            <v>Dep, Am &amp; Imp</v>
          </cell>
          <cell r="G318" t="str">
            <v>Depreciation</v>
          </cell>
          <cell r="H318" t="str">
            <v>Depreciation</v>
          </cell>
          <cell r="I318">
            <v>1364</v>
          </cell>
          <cell r="J318" t="str">
            <v>New Loyalty Programme</v>
          </cell>
        </row>
        <row r="319">
          <cell r="D319">
            <v>401003</v>
          </cell>
          <cell r="E319" t="str">
            <v>Depreciation - LB</v>
          </cell>
          <cell r="F319" t="str">
            <v>Dep, Am &amp; Imp</v>
          </cell>
          <cell r="G319" t="str">
            <v>Depreciation</v>
          </cell>
          <cell r="H319" t="str">
            <v>Depreciation</v>
          </cell>
          <cell r="I319">
            <v>1365</v>
          </cell>
          <cell r="J319" t="str">
            <v>Le Landy TSSSA Mobilisation</v>
          </cell>
        </row>
        <row r="320">
          <cell r="D320">
            <v>401004</v>
          </cell>
          <cell r="E320" t="str">
            <v>Depreciation - P&amp;M</v>
          </cell>
          <cell r="F320" t="str">
            <v>Dep, Am &amp; Imp</v>
          </cell>
          <cell r="G320" t="str">
            <v>Depreciation</v>
          </cell>
          <cell r="H320" t="str">
            <v>Depreciation</v>
          </cell>
          <cell r="I320">
            <v>1366</v>
          </cell>
          <cell r="J320" t="str">
            <v>Le Landy TSSSA Technical Support</v>
          </cell>
        </row>
        <row r="321">
          <cell r="D321">
            <v>401005</v>
          </cell>
          <cell r="E321" t="str">
            <v>Depreciation - REP</v>
          </cell>
          <cell r="F321" t="str">
            <v>Dep, Am &amp; Imp</v>
          </cell>
          <cell r="G321" t="str">
            <v>Depreciation</v>
          </cell>
          <cell r="H321" t="str">
            <v>Depreciation</v>
          </cell>
          <cell r="I321">
            <v>1369</v>
          </cell>
          <cell r="J321" t="str">
            <v>TSSSA additional services ¿ Consumables</v>
          </cell>
        </row>
        <row r="322">
          <cell r="D322">
            <v>401006</v>
          </cell>
          <cell r="E322" t="str">
            <v>Depreciation - IT Equipment</v>
          </cell>
          <cell r="F322" t="str">
            <v>Dep, Am &amp; Imp</v>
          </cell>
          <cell r="G322" t="str">
            <v>Depreciation</v>
          </cell>
          <cell r="H322" t="str">
            <v>Depreciation</v>
          </cell>
          <cell r="I322">
            <v>1370</v>
          </cell>
          <cell r="J322" t="str">
            <v>TSSSA additional services ¿ Repairs</v>
          </cell>
        </row>
        <row r="323">
          <cell r="D323">
            <v>401007</v>
          </cell>
          <cell r="E323" t="str">
            <v>Depreciation - F&amp;F</v>
          </cell>
          <cell r="F323" t="str">
            <v>Dep, Am &amp; Imp</v>
          </cell>
          <cell r="G323" t="str">
            <v>Depreciation</v>
          </cell>
          <cell r="H323" t="str">
            <v>Depreciation</v>
          </cell>
          <cell r="I323">
            <v>1371</v>
          </cell>
          <cell r="J323" t="str">
            <v>IS Infrastructure Cloud Migration</v>
          </cell>
        </row>
        <row r="324">
          <cell r="D324">
            <v>402001</v>
          </cell>
          <cell r="E324" t="str">
            <v>Amortisation - software</v>
          </cell>
          <cell r="F324" t="str">
            <v>Dep, Am &amp; Imp</v>
          </cell>
          <cell r="G324" t="str">
            <v>Amortisation</v>
          </cell>
          <cell r="H324" t="str">
            <v>Amortisation</v>
          </cell>
          <cell r="I324">
            <v>1372</v>
          </cell>
          <cell r="J324" t="str">
            <v>Eurotunnel - renewals account</v>
          </cell>
        </row>
        <row r="325">
          <cell r="D325">
            <v>402002</v>
          </cell>
          <cell r="E325" t="str">
            <v>Amortisation Brand &amp; CIP ¿ should be 0, system chk</v>
          </cell>
          <cell r="F325" t="str">
            <v>Dep, Am &amp; Imp</v>
          </cell>
          <cell r="G325" t="str">
            <v>Amortisation</v>
          </cell>
          <cell r="H325" t="str">
            <v>Amortisation</v>
          </cell>
          <cell r="I325">
            <v>1373</v>
          </cell>
          <cell r="J325" t="str">
            <v>WiFi On Board</v>
          </cell>
        </row>
        <row r="326">
          <cell r="D326">
            <v>403001</v>
          </cell>
          <cell r="E326" t="str">
            <v>Impairment - RS</v>
          </cell>
          <cell r="F326" t="str">
            <v>Dep, Am &amp; Imp</v>
          </cell>
          <cell r="G326" t="str">
            <v>Impairment</v>
          </cell>
          <cell r="H326" t="str">
            <v>Impairment</v>
          </cell>
          <cell r="I326">
            <v>1374</v>
          </cell>
          <cell r="J326" t="str">
            <v>ET - Re-railing (C15)</v>
          </cell>
        </row>
        <row r="327">
          <cell r="D327">
            <v>403002</v>
          </cell>
          <cell r="E327" t="str">
            <v>Impairment - FB</v>
          </cell>
          <cell r="F327" t="str">
            <v>Dep, Am &amp; Imp</v>
          </cell>
          <cell r="G327" t="str">
            <v>Impairment</v>
          </cell>
          <cell r="H327" t="str">
            <v>Impairment</v>
          </cell>
          <cell r="I327">
            <v>1375</v>
          </cell>
          <cell r="J327" t="str">
            <v>ET - Tunnel cooling units (G8)</v>
          </cell>
        </row>
        <row r="328">
          <cell r="D328">
            <v>403003</v>
          </cell>
          <cell r="E328" t="str">
            <v>Impairment - LB</v>
          </cell>
          <cell r="F328" t="str">
            <v>Dep, Am &amp; Imp</v>
          </cell>
          <cell r="G328" t="str">
            <v>Impairment</v>
          </cell>
          <cell r="H328" t="str">
            <v>Impairment</v>
          </cell>
          <cell r="I328">
            <v>1376</v>
          </cell>
          <cell r="J328" t="str">
            <v>Missed departure sundries</v>
          </cell>
        </row>
        <row r="329">
          <cell r="D329">
            <v>403004</v>
          </cell>
          <cell r="E329" t="str">
            <v>Impairment - P&amp;M</v>
          </cell>
          <cell r="F329" t="str">
            <v>Dep, Am &amp; Imp</v>
          </cell>
          <cell r="G329" t="str">
            <v>Impairment</v>
          </cell>
          <cell r="H329" t="str">
            <v>Impairment</v>
          </cell>
          <cell r="I329">
            <v>1377</v>
          </cell>
          <cell r="J329" t="str">
            <v>EIL summated fares</v>
          </cell>
        </row>
        <row r="330">
          <cell r="D330">
            <v>403005</v>
          </cell>
          <cell r="E330" t="str">
            <v>Impairment - REP</v>
          </cell>
          <cell r="F330" t="str">
            <v>Dep, Am &amp; Imp</v>
          </cell>
          <cell r="G330" t="str">
            <v>Impairment</v>
          </cell>
          <cell r="H330" t="str">
            <v>Impairment</v>
          </cell>
          <cell r="I330">
            <v>1378</v>
          </cell>
          <cell r="J330" t="str">
            <v>Times House - 2016 refurbishment</v>
          </cell>
        </row>
        <row r="331">
          <cell r="D331">
            <v>403007</v>
          </cell>
          <cell r="E331" t="str">
            <v>Impairment - F&amp;F</v>
          </cell>
          <cell r="F331" t="str">
            <v>Dep, Am &amp; Imp</v>
          </cell>
          <cell r="G331" t="str">
            <v>Impairment</v>
          </cell>
          <cell r="H331" t="str">
            <v>Impairment</v>
          </cell>
          <cell r="I331">
            <v>1379</v>
          </cell>
          <cell r="J331" t="str">
            <v>Digital Mobilisation - TMI</v>
          </cell>
        </row>
        <row r="332">
          <cell r="D332">
            <v>403008</v>
          </cell>
          <cell r="E332" t="str">
            <v>Impairment - CIP Tangible</v>
          </cell>
          <cell r="F332" t="str">
            <v>Dep, Am &amp; Imp</v>
          </cell>
          <cell r="G332" t="str">
            <v>Impairment</v>
          </cell>
          <cell r="H332" t="str">
            <v>Impairment</v>
          </cell>
          <cell r="I332">
            <v>1380</v>
          </cell>
          <cell r="J332" t="str">
            <v>Pop-up stores</v>
          </cell>
        </row>
        <row r="333">
          <cell r="D333">
            <v>403100</v>
          </cell>
          <cell r="E333" t="str">
            <v>Impairment - CIP Intangible</v>
          </cell>
          <cell r="F333" t="str">
            <v>Dep, Am &amp; Imp</v>
          </cell>
          <cell r="G333" t="str">
            <v>Impairment</v>
          </cell>
          <cell r="H333" t="str">
            <v>Impairment</v>
          </cell>
          <cell r="I333">
            <v>1381</v>
          </cell>
          <cell r="J333" t="str">
            <v>Package aggregator ¿ lifestyle project</v>
          </cell>
        </row>
        <row r="334">
          <cell r="D334">
            <v>403101</v>
          </cell>
          <cell r="E334" t="str">
            <v>Impairment - Software</v>
          </cell>
          <cell r="F334" t="str">
            <v>Dep, Am &amp; Imp</v>
          </cell>
          <cell r="G334" t="str">
            <v>Impairment</v>
          </cell>
          <cell r="H334" t="str">
            <v>Impairment</v>
          </cell>
          <cell r="I334">
            <v>1383</v>
          </cell>
          <cell r="J334" t="str">
            <v>IRS Hedge ineffectiveness</v>
          </cell>
        </row>
        <row r="335">
          <cell r="D335">
            <v>403102</v>
          </cell>
          <cell r="E335" t="str">
            <v>Impairment - Brand</v>
          </cell>
          <cell r="F335" t="str">
            <v>Dep, Am &amp; Imp</v>
          </cell>
          <cell r="G335" t="str">
            <v>Impairment</v>
          </cell>
          <cell r="H335" t="str">
            <v>Impairment</v>
          </cell>
          <cell r="I335">
            <v>1384</v>
          </cell>
          <cell r="J335" t="str">
            <v>FX Forward Hedge ineffectiveness</v>
          </cell>
        </row>
        <row r="336">
          <cell r="D336">
            <v>410001</v>
          </cell>
          <cell r="E336" t="str">
            <v>Bank interest received</v>
          </cell>
          <cell r="F336" t="str">
            <v>Finance income/costs</v>
          </cell>
          <cell r="G336" t="str">
            <v>Interest received</v>
          </cell>
          <cell r="H336" t="str">
            <v>Interest received</v>
          </cell>
        </row>
        <row r="337">
          <cell r="D337">
            <v>410002</v>
          </cell>
          <cell r="E337" t="str">
            <v>Finance lease interest received</v>
          </cell>
          <cell r="F337" t="str">
            <v>Finance income/costs</v>
          </cell>
          <cell r="G337" t="str">
            <v>Interest received</v>
          </cell>
          <cell r="H337" t="str">
            <v>Interest received</v>
          </cell>
        </row>
        <row r="338">
          <cell r="D338">
            <v>411001</v>
          </cell>
          <cell r="E338" t="str">
            <v>Expected return on pension assets</v>
          </cell>
          <cell r="F338" t="str">
            <v>Finance income/costs</v>
          </cell>
          <cell r="G338" t="str">
            <v>Other Finance costs</v>
          </cell>
          <cell r="H338" t="str">
            <v>Other Finance costs</v>
          </cell>
        </row>
        <row r="339">
          <cell r="D339">
            <v>414001</v>
          </cell>
          <cell r="E339" t="str">
            <v>Expected interest on pension assets</v>
          </cell>
          <cell r="F339" t="str">
            <v>Finance income/costs</v>
          </cell>
          <cell r="G339" t="str">
            <v>Other Finance costs</v>
          </cell>
          <cell r="H339" t="str">
            <v>Other Finance costs</v>
          </cell>
        </row>
        <row r="340">
          <cell r="D340">
            <v>411101</v>
          </cell>
          <cell r="E340" t="str">
            <v>CVA adjustment - Interest rate swap</v>
          </cell>
          <cell r="F340" t="str">
            <v>Finance income/costs</v>
          </cell>
          <cell r="G340" t="str">
            <v>Other Finance costs</v>
          </cell>
          <cell r="H340" t="str">
            <v>Other Finance costs</v>
          </cell>
        </row>
        <row r="341">
          <cell r="D341">
            <v>412001</v>
          </cell>
          <cell r="E341" t="str">
            <v>Bank interest paid</v>
          </cell>
          <cell r="F341" t="str">
            <v>Finance income/costs</v>
          </cell>
          <cell r="G341" t="str">
            <v>Interest paid</v>
          </cell>
          <cell r="H341" t="str">
            <v>Interest paid</v>
          </cell>
        </row>
        <row r="342">
          <cell r="D342">
            <v>412002</v>
          </cell>
          <cell r="E342" t="str">
            <v>Finance lease interest paid</v>
          </cell>
          <cell r="F342" t="str">
            <v>Finance income/costs</v>
          </cell>
          <cell r="G342" t="str">
            <v>Interest paid</v>
          </cell>
          <cell r="H342" t="str">
            <v>Interest paid</v>
          </cell>
        </row>
        <row r="343">
          <cell r="D343">
            <v>412003</v>
          </cell>
          <cell r="E343" t="str">
            <v>Preference share interest paid</v>
          </cell>
          <cell r="F343" t="str">
            <v>Finance income/costs</v>
          </cell>
          <cell r="G343" t="str">
            <v>Interest paid</v>
          </cell>
          <cell r="H343" t="str">
            <v>Interest paid</v>
          </cell>
        </row>
        <row r="344">
          <cell r="D344">
            <v>413001</v>
          </cell>
          <cell r="E344" t="str">
            <v>Bank charges</v>
          </cell>
          <cell r="F344" t="str">
            <v>Finance income/costs</v>
          </cell>
          <cell r="G344" t="str">
            <v>Finance fees &amp; charges</v>
          </cell>
          <cell r="H344" t="str">
            <v>Finance fees &amp; charges</v>
          </cell>
        </row>
        <row r="345">
          <cell r="D345">
            <v>413002</v>
          </cell>
          <cell r="E345" t="str">
            <v>Loan facility fees</v>
          </cell>
          <cell r="F345" t="str">
            <v>Finance income/costs</v>
          </cell>
          <cell r="G345" t="str">
            <v>Finance fees &amp; charges</v>
          </cell>
          <cell r="H345" t="str">
            <v>Finance fees &amp; charges</v>
          </cell>
        </row>
        <row r="346">
          <cell r="D346">
            <v>413003</v>
          </cell>
          <cell r="E346" t="str">
            <v>Effective interest</v>
          </cell>
          <cell r="F346" t="str">
            <v>Finance income/costs</v>
          </cell>
          <cell r="G346" t="str">
            <v>Finance fees &amp; charges</v>
          </cell>
          <cell r="H346" t="str">
            <v>Finance fees &amp; charges</v>
          </cell>
        </row>
        <row r="347">
          <cell r="D347">
            <v>414002</v>
          </cell>
          <cell r="E347" t="str">
            <v>Operating lease prepayment - NPV release</v>
          </cell>
          <cell r="F347" t="str">
            <v>Finance income/costs</v>
          </cell>
          <cell r="G347" t="str">
            <v>Other Finance costs</v>
          </cell>
          <cell r="H347" t="str">
            <v>Other Finance costs</v>
          </cell>
        </row>
        <row r="348">
          <cell r="D348">
            <v>414003</v>
          </cell>
          <cell r="E348" t="str">
            <v>Hedge ineffectiveness - Interest rate swap</v>
          </cell>
          <cell r="F348" t="str">
            <v>Finance income/costs</v>
          </cell>
          <cell r="G348" t="str">
            <v>Other Finance costs</v>
          </cell>
          <cell r="H348" t="str">
            <v>Other Finance costs</v>
          </cell>
        </row>
        <row r="349">
          <cell r="D349">
            <v>415002</v>
          </cell>
          <cell r="E349" t="str">
            <v>FX gains/(losses) - financing - unrealised</v>
          </cell>
          <cell r="F349" t="str">
            <v>Finance income/costs</v>
          </cell>
          <cell r="G349" t="str">
            <v>Other Finance costs</v>
          </cell>
          <cell r="H349" t="str">
            <v>Other Finance costs</v>
          </cell>
        </row>
        <row r="350">
          <cell r="D350">
            <v>420001</v>
          </cell>
          <cell r="E350" t="str">
            <v>UK Corporation tax - current</v>
          </cell>
          <cell r="F350" t="str">
            <v>Tax</v>
          </cell>
          <cell r="G350" t="str">
            <v>Corporation tax - current</v>
          </cell>
          <cell r="H350" t="str">
            <v>Corporation tax - current</v>
          </cell>
        </row>
        <row r="351">
          <cell r="D351">
            <v>420002</v>
          </cell>
          <cell r="E351" t="str">
            <v>UK Corporation tax - adjustment to prior years</v>
          </cell>
          <cell r="F351" t="str">
            <v>Tax</v>
          </cell>
          <cell r="G351" t="str">
            <v>Corporation tax - current</v>
          </cell>
          <cell r="H351" t="str">
            <v>Corporation tax - current</v>
          </cell>
        </row>
        <row r="352">
          <cell r="D352">
            <v>420003</v>
          </cell>
          <cell r="E352" t="str">
            <v>FR Corporation tax - current</v>
          </cell>
          <cell r="F352" t="str">
            <v>Tax</v>
          </cell>
          <cell r="G352" t="str">
            <v>Corporation tax - current</v>
          </cell>
          <cell r="H352" t="str">
            <v>Corporation tax - current</v>
          </cell>
        </row>
        <row r="353">
          <cell r="D353">
            <v>420004</v>
          </cell>
          <cell r="E353" t="str">
            <v>FR Corporation tax - adjustment to prior years</v>
          </cell>
          <cell r="F353" t="str">
            <v>Tax</v>
          </cell>
          <cell r="G353" t="str">
            <v>Corporation tax - current</v>
          </cell>
          <cell r="H353" t="str">
            <v>Corporation tax - current</v>
          </cell>
        </row>
        <row r="354">
          <cell r="D354">
            <v>420005</v>
          </cell>
          <cell r="E354" t="str">
            <v>BE Corporation tax - current</v>
          </cell>
          <cell r="F354" t="str">
            <v>Tax</v>
          </cell>
          <cell r="G354" t="str">
            <v>Corporation tax - current</v>
          </cell>
          <cell r="H354" t="str">
            <v>Corporation tax - current</v>
          </cell>
        </row>
        <row r="355">
          <cell r="D355">
            <v>420006</v>
          </cell>
          <cell r="E355" t="str">
            <v>BE Corporation tax - adjustment to prior years</v>
          </cell>
          <cell r="F355" t="str">
            <v>Tax</v>
          </cell>
          <cell r="G355" t="str">
            <v>Corporation tax - current</v>
          </cell>
          <cell r="H355" t="str">
            <v>Corporation tax - current</v>
          </cell>
        </row>
        <row r="356">
          <cell r="D356">
            <v>420101</v>
          </cell>
          <cell r="E356" t="str">
            <v>Deferred tax (P&amp;L) - current</v>
          </cell>
          <cell r="F356" t="str">
            <v>Tax</v>
          </cell>
          <cell r="G356" t="str">
            <v>Corporation tax - deferred</v>
          </cell>
          <cell r="H356" t="str">
            <v>Corporation tax - deferred</v>
          </cell>
        </row>
        <row r="357">
          <cell r="D357">
            <v>420102</v>
          </cell>
          <cell r="E357" t="str">
            <v>Deferred tax (P&amp;L) - adjustment to prior years</v>
          </cell>
          <cell r="F357" t="str">
            <v>Tax</v>
          </cell>
          <cell r="G357" t="str">
            <v>Corporation tax - deferred</v>
          </cell>
          <cell r="H357" t="str">
            <v>Corporation tax - deferred</v>
          </cell>
        </row>
        <row r="358">
          <cell r="D358">
            <v>430001</v>
          </cell>
          <cell r="E358" t="str">
            <v>Dividends paid</v>
          </cell>
          <cell r="F358" t="str">
            <v>Dividends paid</v>
          </cell>
          <cell r="G358" t="str">
            <v>Dividends paid</v>
          </cell>
          <cell r="H358" t="str">
            <v>Dividends paid</v>
          </cell>
        </row>
        <row r="359">
          <cell r="D359">
            <v>431001</v>
          </cell>
          <cell r="E359" t="str">
            <v>Dividends received</v>
          </cell>
          <cell r="F359" t="str">
            <v>Dividends received</v>
          </cell>
          <cell r="G359" t="str">
            <v>Dividends received</v>
          </cell>
          <cell r="H359" t="str">
            <v>Dividends received</v>
          </cell>
        </row>
        <row r="360">
          <cell r="D360">
            <v>499001</v>
          </cell>
          <cell r="E360" t="str">
            <v>Inventory expense</v>
          </cell>
          <cell r="F360" t="str">
            <v>not identified</v>
          </cell>
          <cell r="G360" t="str">
            <v>not identified</v>
          </cell>
          <cell r="H360" t="str">
            <v>not identified</v>
          </cell>
        </row>
        <row r="361">
          <cell r="D361">
            <v>499002</v>
          </cell>
          <cell r="E361" t="str">
            <v>Inventory sales</v>
          </cell>
          <cell r="F361" t="str">
            <v>not identified</v>
          </cell>
          <cell r="G361" t="str">
            <v>not identified</v>
          </cell>
          <cell r="H361" t="str">
            <v>not identified</v>
          </cell>
        </row>
        <row r="362">
          <cell r="D362">
            <v>499003</v>
          </cell>
          <cell r="E362" t="str">
            <v>Inventory COGS</v>
          </cell>
          <cell r="F362" t="str">
            <v>not identified</v>
          </cell>
          <cell r="G362" t="str">
            <v>not identified</v>
          </cell>
          <cell r="H362" t="str">
            <v>not identified</v>
          </cell>
        </row>
        <row r="363">
          <cell r="D363">
            <v>499004</v>
          </cell>
          <cell r="E363" t="str">
            <v>Purchase price variance</v>
          </cell>
          <cell r="F363" t="str">
            <v>not identified</v>
          </cell>
          <cell r="G363" t="str">
            <v>not identified</v>
          </cell>
          <cell r="H363" t="str">
            <v>not identified</v>
          </cell>
        </row>
        <row r="364">
          <cell r="D364">
            <v>499005</v>
          </cell>
          <cell r="E364" t="str">
            <v>Invoice price variance</v>
          </cell>
          <cell r="F364" t="str">
            <v>not identified</v>
          </cell>
          <cell r="G364" t="str">
            <v>not identified</v>
          </cell>
          <cell r="H364" t="str">
            <v>not identified</v>
          </cell>
        </row>
        <row r="365">
          <cell r="D365">
            <v>499006</v>
          </cell>
          <cell r="E365" t="str">
            <v>Discount taken</v>
          </cell>
          <cell r="F365" t="str">
            <v>not identified</v>
          </cell>
          <cell r="G365" t="str">
            <v>not identified</v>
          </cell>
          <cell r="H365" t="str">
            <v>not identified</v>
          </cell>
        </row>
        <row r="366">
          <cell r="D366">
            <v>499007</v>
          </cell>
          <cell r="E366" t="str">
            <v>AP rounding</v>
          </cell>
          <cell r="F366" t="str">
            <v>Finance income/costs</v>
          </cell>
          <cell r="G366" t="str">
            <v>Other Finance costs</v>
          </cell>
          <cell r="H366" t="str">
            <v>Other Finance costs</v>
          </cell>
        </row>
        <row r="367">
          <cell r="D367">
            <v>499009</v>
          </cell>
          <cell r="E367" t="str">
            <v>Bonus Depreciation Expense</v>
          </cell>
          <cell r="F367" t="str">
            <v>not identified</v>
          </cell>
          <cell r="G367" t="str">
            <v>not identified</v>
          </cell>
          <cell r="H367" t="str">
            <v>not identified</v>
          </cell>
        </row>
        <row r="368">
          <cell r="D368">
            <v>499010</v>
          </cell>
          <cell r="E368" t="str">
            <v>AR Discount</v>
          </cell>
          <cell r="F368" t="str">
            <v>not identified</v>
          </cell>
          <cell r="G368" t="str">
            <v>not identified</v>
          </cell>
          <cell r="H368" t="str">
            <v>not identified</v>
          </cell>
        </row>
        <row r="369">
          <cell r="D369">
            <v>510002</v>
          </cell>
          <cell r="E369" t="str">
            <v>Additions - FB</v>
          </cell>
          <cell r="F369" t="str">
            <v>not identified</v>
          </cell>
          <cell r="G369" t="str">
            <v>not identified</v>
          </cell>
          <cell r="H369" t="str">
            <v>not identified</v>
          </cell>
        </row>
        <row r="370">
          <cell r="D370">
            <v>510004</v>
          </cell>
          <cell r="E370" t="str">
            <v>Impairment - FB</v>
          </cell>
          <cell r="F370" t="str">
            <v>not identified</v>
          </cell>
          <cell r="G370" t="str">
            <v>not identified</v>
          </cell>
          <cell r="H370" t="str">
            <v>not identified</v>
          </cell>
        </row>
        <row r="371">
          <cell r="D371">
            <v>511002</v>
          </cell>
          <cell r="E371" t="str">
            <v>Additions - LB</v>
          </cell>
          <cell r="F371" t="str">
            <v>not identified</v>
          </cell>
          <cell r="G371" t="str">
            <v>not identified</v>
          </cell>
          <cell r="H371" t="str">
            <v>not identified</v>
          </cell>
        </row>
        <row r="372">
          <cell r="D372">
            <v>511004</v>
          </cell>
          <cell r="E372" t="str">
            <v>Impairment - LB</v>
          </cell>
          <cell r="F372" t="str">
            <v>not identified</v>
          </cell>
          <cell r="G372" t="str">
            <v>not identified</v>
          </cell>
          <cell r="H372" t="str">
            <v>not identified</v>
          </cell>
        </row>
        <row r="373">
          <cell r="D373">
            <v>512002</v>
          </cell>
          <cell r="E373" t="str">
            <v>Additions - P&amp;M</v>
          </cell>
          <cell r="F373" t="str">
            <v>not identified</v>
          </cell>
          <cell r="G373" t="str">
            <v>not identified</v>
          </cell>
          <cell r="H373" t="str">
            <v>not identified</v>
          </cell>
        </row>
        <row r="374">
          <cell r="D374">
            <v>512004</v>
          </cell>
          <cell r="E374" t="str">
            <v>Impairment - P&amp;M</v>
          </cell>
          <cell r="F374" t="str">
            <v>not identified</v>
          </cell>
          <cell r="G374" t="str">
            <v>not identified</v>
          </cell>
          <cell r="H374" t="str">
            <v>not identified</v>
          </cell>
        </row>
        <row r="375">
          <cell r="D375">
            <v>513002</v>
          </cell>
          <cell r="E375" t="str">
            <v>Additions - RS</v>
          </cell>
          <cell r="F375" t="str">
            <v>not identified</v>
          </cell>
          <cell r="G375" t="str">
            <v>not identified</v>
          </cell>
          <cell r="H375" t="str">
            <v>not identified</v>
          </cell>
        </row>
        <row r="376">
          <cell r="D376">
            <v>513004</v>
          </cell>
          <cell r="E376" t="str">
            <v>Impairment - RS</v>
          </cell>
          <cell r="F376" t="str">
            <v>not identified</v>
          </cell>
          <cell r="G376" t="str">
            <v>not identified</v>
          </cell>
          <cell r="H376" t="str">
            <v>not identified</v>
          </cell>
        </row>
        <row r="377">
          <cell r="D377">
            <v>514002</v>
          </cell>
          <cell r="E377" t="str">
            <v>Additions - REP</v>
          </cell>
          <cell r="F377" t="str">
            <v>not identified</v>
          </cell>
          <cell r="G377" t="str">
            <v>not identified</v>
          </cell>
          <cell r="H377" t="str">
            <v>not identified</v>
          </cell>
        </row>
        <row r="378">
          <cell r="D378">
            <v>514004</v>
          </cell>
          <cell r="E378" t="str">
            <v>Impairment - REP</v>
          </cell>
          <cell r="F378" t="str">
            <v>not identified</v>
          </cell>
          <cell r="G378" t="str">
            <v>not identified</v>
          </cell>
          <cell r="H378" t="str">
            <v>not identified</v>
          </cell>
        </row>
        <row r="379">
          <cell r="D379">
            <v>515002</v>
          </cell>
          <cell r="E379" t="str">
            <v>Additions - IT</v>
          </cell>
          <cell r="F379" t="str">
            <v>not identified</v>
          </cell>
          <cell r="G379" t="str">
            <v>not identified</v>
          </cell>
          <cell r="H379" t="str">
            <v>not identified</v>
          </cell>
        </row>
        <row r="380">
          <cell r="D380">
            <v>515004</v>
          </cell>
          <cell r="E380" t="str">
            <v>Impairment - IT</v>
          </cell>
          <cell r="F380" t="str">
            <v>not identified</v>
          </cell>
          <cell r="G380" t="str">
            <v>not identified</v>
          </cell>
          <cell r="H380" t="str">
            <v>not identified</v>
          </cell>
        </row>
        <row r="381">
          <cell r="D381">
            <v>516002</v>
          </cell>
          <cell r="E381" t="str">
            <v>Additions - F&amp;F</v>
          </cell>
          <cell r="F381" t="str">
            <v>not identified</v>
          </cell>
          <cell r="G381" t="str">
            <v>not identified</v>
          </cell>
          <cell r="H381" t="str">
            <v>not identified</v>
          </cell>
        </row>
        <row r="382">
          <cell r="D382">
            <v>516004</v>
          </cell>
          <cell r="E382" t="str">
            <v>Impairment - F&amp;F</v>
          </cell>
          <cell r="F382" t="str">
            <v>not identified</v>
          </cell>
          <cell r="G382" t="str">
            <v>not identified</v>
          </cell>
          <cell r="H382" t="str">
            <v>not identified</v>
          </cell>
        </row>
        <row r="383">
          <cell r="D383">
            <v>519002</v>
          </cell>
          <cell r="E383" t="str">
            <v>Additions - CIP tang</v>
          </cell>
          <cell r="F383" t="str">
            <v>not identified</v>
          </cell>
          <cell r="G383" t="str">
            <v>not identified</v>
          </cell>
          <cell r="H383" t="str">
            <v>not identified</v>
          </cell>
        </row>
        <row r="384">
          <cell r="D384">
            <v>519004</v>
          </cell>
          <cell r="E384" t="str">
            <v>Impairment - CIP tang</v>
          </cell>
          <cell r="F384" t="str">
            <v>not identified</v>
          </cell>
          <cell r="G384" t="str">
            <v>not identified</v>
          </cell>
          <cell r="H384" t="str">
            <v>not identified</v>
          </cell>
        </row>
        <row r="385">
          <cell r="D385">
            <v>520002</v>
          </cell>
          <cell r="E385" t="str">
            <v>Depreciation in the period - FB</v>
          </cell>
          <cell r="F385" t="str">
            <v>not identified</v>
          </cell>
          <cell r="G385" t="str">
            <v>not identified</v>
          </cell>
          <cell r="H385" t="str">
            <v>not identified</v>
          </cell>
        </row>
        <row r="386">
          <cell r="D386">
            <v>521002</v>
          </cell>
          <cell r="E386" t="str">
            <v>Depreciation in the period - LB</v>
          </cell>
          <cell r="F386" t="str">
            <v>not identified</v>
          </cell>
          <cell r="G386" t="str">
            <v>not identified</v>
          </cell>
          <cell r="H386" t="str">
            <v>not identified</v>
          </cell>
        </row>
        <row r="387">
          <cell r="D387">
            <v>522001</v>
          </cell>
          <cell r="E387" t="str">
            <v>B/f accumulated depreciation - P&amp;M</v>
          </cell>
          <cell r="F387" t="str">
            <v>not identified</v>
          </cell>
          <cell r="G387" t="str">
            <v>not identified</v>
          </cell>
          <cell r="H387" t="str">
            <v>not identified</v>
          </cell>
        </row>
        <row r="388">
          <cell r="D388">
            <v>522002</v>
          </cell>
          <cell r="E388" t="str">
            <v>Depreciation in the period - P&amp;M</v>
          </cell>
          <cell r="F388" t="str">
            <v>not identified</v>
          </cell>
          <cell r="G388" t="str">
            <v>not identified</v>
          </cell>
          <cell r="H388" t="str">
            <v>not identified</v>
          </cell>
        </row>
        <row r="389">
          <cell r="D389">
            <v>523002</v>
          </cell>
          <cell r="E389" t="str">
            <v>Depreciation in the period - RS</v>
          </cell>
          <cell r="F389" t="str">
            <v>not identified</v>
          </cell>
          <cell r="G389" t="str">
            <v>not identified</v>
          </cell>
          <cell r="H389" t="str">
            <v>not identified</v>
          </cell>
        </row>
        <row r="390">
          <cell r="D390">
            <v>524002</v>
          </cell>
          <cell r="E390" t="str">
            <v>Depreciation in the period - REP</v>
          </cell>
          <cell r="F390" t="str">
            <v>not identified</v>
          </cell>
          <cell r="G390" t="str">
            <v>not identified</v>
          </cell>
          <cell r="H390" t="str">
            <v>not identified</v>
          </cell>
        </row>
        <row r="391">
          <cell r="D391">
            <v>526002</v>
          </cell>
          <cell r="E391" t="str">
            <v>Depreciation in the period - F&amp;F</v>
          </cell>
          <cell r="F391" t="str">
            <v>not identified</v>
          </cell>
          <cell r="G391" t="str">
            <v>not identified</v>
          </cell>
          <cell r="H391" t="str">
            <v>not identified</v>
          </cell>
        </row>
        <row r="392">
          <cell r="D392">
            <v>530002</v>
          </cell>
          <cell r="E392" t="str">
            <v>Additions - Brand</v>
          </cell>
          <cell r="F392" t="str">
            <v>not identified</v>
          </cell>
          <cell r="G392" t="str">
            <v>not identified</v>
          </cell>
          <cell r="H392" t="str">
            <v>not identified</v>
          </cell>
        </row>
        <row r="393">
          <cell r="D393">
            <v>530004</v>
          </cell>
          <cell r="E393" t="str">
            <v>Impairment - Brand</v>
          </cell>
          <cell r="F393" t="str">
            <v>not identified</v>
          </cell>
          <cell r="G393" t="str">
            <v>not identified</v>
          </cell>
          <cell r="H393" t="str">
            <v>not identified</v>
          </cell>
        </row>
        <row r="394">
          <cell r="D394">
            <v>531002</v>
          </cell>
          <cell r="E394" t="str">
            <v>Additions - Software</v>
          </cell>
          <cell r="F394" t="str">
            <v>not identified</v>
          </cell>
          <cell r="G394" t="str">
            <v>not identified</v>
          </cell>
          <cell r="H394" t="str">
            <v>not identified</v>
          </cell>
        </row>
        <row r="395">
          <cell r="D395">
            <v>531004</v>
          </cell>
          <cell r="E395" t="str">
            <v>Impairment - Software</v>
          </cell>
          <cell r="F395" t="str">
            <v>not identified</v>
          </cell>
          <cell r="G395" t="str">
            <v>not identified</v>
          </cell>
          <cell r="H395" t="str">
            <v>not identified</v>
          </cell>
        </row>
        <row r="396">
          <cell r="D396">
            <v>539002</v>
          </cell>
          <cell r="E396" t="str">
            <v>Additions - CIP intang</v>
          </cell>
          <cell r="F396" t="str">
            <v>not identified</v>
          </cell>
          <cell r="G396" t="str">
            <v>not identified</v>
          </cell>
          <cell r="H396" t="str">
            <v>not identified</v>
          </cell>
        </row>
        <row r="397">
          <cell r="D397">
            <v>539004</v>
          </cell>
          <cell r="E397" t="str">
            <v>Impairment - CIP intang</v>
          </cell>
          <cell r="F397" t="str">
            <v>not identified</v>
          </cell>
          <cell r="G397" t="str">
            <v>not identified</v>
          </cell>
          <cell r="H397" t="str">
            <v>not identified</v>
          </cell>
        </row>
        <row r="398">
          <cell r="D398">
            <v>540002</v>
          </cell>
          <cell r="E398" t="str">
            <v>Amortisation in the period Brand &amp; CIP ¿ should be 0, system chk</v>
          </cell>
          <cell r="F398" t="str">
            <v>not identified</v>
          </cell>
          <cell r="G398" t="str">
            <v>not identified</v>
          </cell>
          <cell r="H398" t="str">
            <v>not identified</v>
          </cell>
        </row>
        <row r="399">
          <cell r="D399">
            <v>541002</v>
          </cell>
          <cell r="E399" t="str">
            <v>Amortisation in the period - Software</v>
          </cell>
          <cell r="F399" t="str">
            <v>not identified</v>
          </cell>
          <cell r="G399" t="str">
            <v>not identified</v>
          </cell>
          <cell r="H399" t="str">
            <v>not identified</v>
          </cell>
        </row>
        <row r="400">
          <cell r="D400">
            <v>541998</v>
          </cell>
          <cell r="E400" t="str">
            <v>REP migration</v>
          </cell>
          <cell r="F400" t="str">
            <v>not identified</v>
          </cell>
          <cell r="G400" t="str">
            <v>not identified</v>
          </cell>
          <cell r="H400" t="str">
            <v>not identified</v>
          </cell>
        </row>
        <row r="401">
          <cell r="D401">
            <v>541999</v>
          </cell>
          <cell r="E401" t="str">
            <v>FA migration</v>
          </cell>
          <cell r="F401" t="str">
            <v>not identified</v>
          </cell>
          <cell r="G401" t="str">
            <v>not identified</v>
          </cell>
          <cell r="H401" t="str">
            <v>not identified</v>
          </cell>
        </row>
        <row r="402">
          <cell r="D402">
            <v>550001</v>
          </cell>
          <cell r="E402" t="str">
            <v>Finance lease receivable - non-current - AIT</v>
          </cell>
          <cell r="F402" t="str">
            <v>not identified</v>
          </cell>
          <cell r="G402" t="str">
            <v>not identified</v>
          </cell>
          <cell r="H402" t="str">
            <v>not identified</v>
          </cell>
        </row>
        <row r="403">
          <cell r="D403">
            <v>551001</v>
          </cell>
          <cell r="E403" t="str">
            <v>Prepayments - non-current - GSMR</v>
          </cell>
          <cell r="F403" t="str">
            <v>not identified</v>
          </cell>
          <cell r="G403" t="str">
            <v>not identified</v>
          </cell>
          <cell r="H403" t="str">
            <v>not identified</v>
          </cell>
        </row>
        <row r="404">
          <cell r="D404">
            <v>551002</v>
          </cell>
          <cell r="E404" t="str">
            <v>Prepayments - non-current - TSSSA</v>
          </cell>
          <cell r="F404" t="str">
            <v>not identified</v>
          </cell>
          <cell r="G404" t="str">
            <v>not identified</v>
          </cell>
          <cell r="H404" t="str">
            <v>not identified</v>
          </cell>
        </row>
        <row r="405">
          <cell r="D405">
            <v>551003</v>
          </cell>
          <cell r="E405" t="str">
            <v>Prepayments - non-current - SNCF Operating Lease</v>
          </cell>
          <cell r="F405" t="str">
            <v>not identified</v>
          </cell>
          <cell r="G405" t="str">
            <v>not identified</v>
          </cell>
          <cell r="H405" t="str">
            <v>not identified</v>
          </cell>
        </row>
        <row r="406">
          <cell r="D406">
            <v>551004</v>
          </cell>
          <cell r="E406" t="str">
            <v>Prepayments - non-current - ET projects</v>
          </cell>
          <cell r="F406" t="str">
            <v>not identified</v>
          </cell>
          <cell r="G406" t="str">
            <v>not identified</v>
          </cell>
          <cell r="H406" t="str">
            <v>not identified</v>
          </cell>
        </row>
        <row r="407">
          <cell r="D407">
            <v>560001</v>
          </cell>
          <cell r="E407" t="str">
            <v>Deferred Tax Asset - non-current - losses b/f</v>
          </cell>
          <cell r="F407" t="str">
            <v>not identified</v>
          </cell>
          <cell r="G407" t="str">
            <v>not identified</v>
          </cell>
          <cell r="H407" t="str">
            <v>not identified</v>
          </cell>
        </row>
        <row r="408">
          <cell r="D408">
            <v>560003</v>
          </cell>
          <cell r="E408" t="str">
            <v>Deferred Tax Asset - non-current - pension</v>
          </cell>
          <cell r="F408" t="str">
            <v>not identified</v>
          </cell>
          <cell r="G408" t="str">
            <v>not identified</v>
          </cell>
          <cell r="H408" t="str">
            <v>not identified</v>
          </cell>
        </row>
        <row r="409">
          <cell r="D409">
            <v>560004</v>
          </cell>
          <cell r="E409" t="str">
            <v>Deferred Tax Asset - non-current - hedging</v>
          </cell>
          <cell r="F409" t="str">
            <v>not identified</v>
          </cell>
          <cell r="G409" t="str">
            <v>not identified</v>
          </cell>
          <cell r="H409" t="str">
            <v>not identified</v>
          </cell>
        </row>
        <row r="410">
          <cell r="D410">
            <v>570001</v>
          </cell>
          <cell r="E410" t="str">
            <v>Investments - Subsidiaries - EGL</v>
          </cell>
          <cell r="F410" t="str">
            <v>not identified</v>
          </cell>
          <cell r="G410" t="str">
            <v>not identified</v>
          </cell>
          <cell r="H410" t="str">
            <v>not identified</v>
          </cell>
        </row>
        <row r="411">
          <cell r="D411">
            <v>570003</v>
          </cell>
          <cell r="E411" t="str">
            <v>Investments - Subsidiaries - EISAS</v>
          </cell>
          <cell r="F411" t="str">
            <v>not identified</v>
          </cell>
          <cell r="G411" t="str">
            <v>not identified</v>
          </cell>
          <cell r="H411" t="str">
            <v>not identified</v>
          </cell>
        </row>
        <row r="412">
          <cell r="D412">
            <v>570004</v>
          </cell>
          <cell r="E412" t="str">
            <v>Investments - Subsidiaries - EISPRL</v>
          </cell>
          <cell r="F412" t="str">
            <v>not identified</v>
          </cell>
          <cell r="G412" t="str">
            <v>not identified</v>
          </cell>
          <cell r="H412" t="str">
            <v>not identified</v>
          </cell>
        </row>
        <row r="413">
          <cell r="D413">
            <v>570005</v>
          </cell>
          <cell r="E413" t="str">
            <v>Investments - Subsidiaries - EEL</v>
          </cell>
          <cell r="F413" t="str">
            <v>not identified</v>
          </cell>
          <cell r="G413" t="str">
            <v>not identified</v>
          </cell>
          <cell r="H413" t="str">
            <v>not identified</v>
          </cell>
        </row>
        <row r="414">
          <cell r="D414">
            <v>570006</v>
          </cell>
          <cell r="E414" t="str">
            <v>Investments - Subsidiaries - EPSL</v>
          </cell>
          <cell r="F414" t="str">
            <v>not identified</v>
          </cell>
          <cell r="G414" t="str">
            <v>not identified</v>
          </cell>
          <cell r="H414" t="str">
            <v>not identified</v>
          </cell>
        </row>
        <row r="415">
          <cell r="D415">
            <v>570007</v>
          </cell>
          <cell r="E415" t="str">
            <v>Investments - Subsidiaries - EHOUSE</v>
          </cell>
          <cell r="F415" t="str">
            <v>not identified</v>
          </cell>
          <cell r="G415" t="str">
            <v>not identified</v>
          </cell>
          <cell r="H415" t="str">
            <v>not identified</v>
          </cell>
        </row>
        <row r="416">
          <cell r="D416">
            <v>572001</v>
          </cell>
          <cell r="E416" t="str">
            <v>Investments - Associates - KEECL</v>
          </cell>
          <cell r="F416" t="str">
            <v>not identified</v>
          </cell>
          <cell r="G416" t="str">
            <v>not identified</v>
          </cell>
          <cell r="H416" t="str">
            <v>not identified</v>
          </cell>
        </row>
        <row r="417">
          <cell r="D417">
            <v>573001</v>
          </cell>
          <cell r="E417" t="str">
            <v>Investments - Trade</v>
          </cell>
          <cell r="F417" t="str">
            <v>not identified</v>
          </cell>
          <cell r="G417" t="str">
            <v>not identified</v>
          </cell>
          <cell r="H417" t="str">
            <v>not identified</v>
          </cell>
        </row>
        <row r="418">
          <cell r="D418">
            <v>575001</v>
          </cell>
          <cell r="E418" t="str">
            <v>Provision - Investments - Subsidiaries - EGL</v>
          </cell>
          <cell r="F418" t="str">
            <v>not identified</v>
          </cell>
          <cell r="G418" t="str">
            <v>not identified</v>
          </cell>
          <cell r="H418" t="str">
            <v>not identified</v>
          </cell>
        </row>
        <row r="419">
          <cell r="D419">
            <v>599001</v>
          </cell>
          <cell r="E419" t="str">
            <v>Asset clearing</v>
          </cell>
          <cell r="F419" t="str">
            <v>not identified</v>
          </cell>
          <cell r="G419" t="str">
            <v>not identified</v>
          </cell>
          <cell r="H419" t="str">
            <v>not identified</v>
          </cell>
        </row>
        <row r="420">
          <cell r="D420">
            <v>599100</v>
          </cell>
          <cell r="E420" t="str">
            <v>Equinox control account (Repairables)</v>
          </cell>
          <cell r="F420" t="str">
            <v>not identified</v>
          </cell>
          <cell r="G420" t="str">
            <v>not identified</v>
          </cell>
          <cell r="H420" t="str">
            <v>not identified</v>
          </cell>
        </row>
        <row r="421">
          <cell r="D421">
            <v>599901</v>
          </cell>
          <cell r="E421" t="str">
            <v>Asset Bonus Reserve</v>
          </cell>
          <cell r="F421" t="str">
            <v>not identified</v>
          </cell>
          <cell r="G421" t="str">
            <v>not identified</v>
          </cell>
          <cell r="H421" t="str">
            <v>not identified</v>
          </cell>
        </row>
        <row r="422">
          <cell r="D422">
            <v>599921</v>
          </cell>
          <cell r="E422" t="str">
            <v>Proceeds of Sale Account Suspense</v>
          </cell>
          <cell r="F422" t="str">
            <v>not identified</v>
          </cell>
          <cell r="G422" t="str">
            <v>not identified</v>
          </cell>
          <cell r="H422" t="str">
            <v>not identified</v>
          </cell>
        </row>
        <row r="423">
          <cell r="D423">
            <v>599922</v>
          </cell>
          <cell r="E423" t="str">
            <v>Cost of Asset Removal Suspense</v>
          </cell>
          <cell r="F423" t="str">
            <v>not identified</v>
          </cell>
          <cell r="G423" t="str">
            <v>not identified</v>
          </cell>
          <cell r="H423" t="str">
            <v>not identified</v>
          </cell>
        </row>
        <row r="424">
          <cell r="D424">
            <v>599923</v>
          </cell>
          <cell r="E424" t="str">
            <v>NBV Retired Suspense</v>
          </cell>
          <cell r="F424" t="str">
            <v>not identified</v>
          </cell>
          <cell r="G424" t="str">
            <v>not identified</v>
          </cell>
          <cell r="H424" t="str">
            <v>not identified</v>
          </cell>
        </row>
        <row r="425">
          <cell r="D425">
            <v>599924</v>
          </cell>
          <cell r="E425" t="str">
            <v>Reval Reserve Retired Suspense</v>
          </cell>
          <cell r="F425" t="str">
            <v>not identified</v>
          </cell>
          <cell r="G425" t="str">
            <v>not identified</v>
          </cell>
          <cell r="H425" t="str">
            <v>not identified</v>
          </cell>
        </row>
        <row r="426">
          <cell r="D426">
            <v>599927</v>
          </cell>
          <cell r="E426" t="str">
            <v>Deferred Depreciation Suspense</v>
          </cell>
          <cell r="F426" t="str">
            <v>not identified</v>
          </cell>
          <cell r="G426" t="str">
            <v>not identified</v>
          </cell>
          <cell r="H426" t="str">
            <v>not identified</v>
          </cell>
        </row>
        <row r="427">
          <cell r="D427">
            <v>600001</v>
          </cell>
          <cell r="E427" t="str">
            <v>Consumable Stock - train maintenance</v>
          </cell>
          <cell r="F427" t="str">
            <v>not identified</v>
          </cell>
          <cell r="G427" t="str">
            <v>not identified</v>
          </cell>
          <cell r="H427" t="str">
            <v>not identified</v>
          </cell>
        </row>
        <row r="428">
          <cell r="D428">
            <v>600002</v>
          </cell>
          <cell r="E428" t="str">
            <v>Consumable Stock - catering</v>
          </cell>
          <cell r="F428" t="str">
            <v>not identified</v>
          </cell>
          <cell r="G428" t="str">
            <v>not identified</v>
          </cell>
          <cell r="H428" t="str">
            <v>not identified</v>
          </cell>
        </row>
        <row r="429">
          <cell r="D429">
            <v>600003</v>
          </cell>
          <cell r="E429" t="str">
            <v>Consumable Stock - gift vouchers</v>
          </cell>
          <cell r="F429" t="str">
            <v>not identified</v>
          </cell>
          <cell r="G429" t="str">
            <v>not identified</v>
          </cell>
          <cell r="H429" t="str">
            <v>not identified</v>
          </cell>
        </row>
        <row r="430">
          <cell r="D430">
            <v>600004</v>
          </cell>
          <cell r="E430" t="str">
            <v>Consumable Stock - museum passes</v>
          </cell>
          <cell r="F430" t="str">
            <v>not identified</v>
          </cell>
          <cell r="G430" t="str">
            <v>not identified</v>
          </cell>
          <cell r="H430" t="str">
            <v>not identified</v>
          </cell>
        </row>
        <row r="431">
          <cell r="D431">
            <v>600005</v>
          </cell>
          <cell r="E431" t="str">
            <v>Consumable Stock - Paris carnets</v>
          </cell>
          <cell r="F431" t="str">
            <v>not identified</v>
          </cell>
          <cell r="G431" t="str">
            <v>not identified</v>
          </cell>
          <cell r="H431" t="str">
            <v>not identified</v>
          </cell>
        </row>
        <row r="432">
          <cell r="D432">
            <v>605001</v>
          </cell>
          <cell r="E432" t="str">
            <v>Provision - Consumable Stock - train maintenance</v>
          </cell>
          <cell r="F432" t="str">
            <v>not identified</v>
          </cell>
          <cell r="G432" t="str">
            <v>not identified</v>
          </cell>
          <cell r="H432" t="str">
            <v>not identified</v>
          </cell>
        </row>
        <row r="433">
          <cell r="D433">
            <v>609001</v>
          </cell>
          <cell r="E433" t="str">
            <v>Oracle receiving Inventory</v>
          </cell>
          <cell r="F433" t="str">
            <v>not identified</v>
          </cell>
          <cell r="G433" t="str">
            <v>not identified</v>
          </cell>
          <cell r="H433" t="str">
            <v>not identified</v>
          </cell>
        </row>
        <row r="434">
          <cell r="D434">
            <v>609002</v>
          </cell>
          <cell r="E434" t="str">
            <v>Oracle Inventory clearing</v>
          </cell>
          <cell r="F434" t="str">
            <v>not identified</v>
          </cell>
          <cell r="G434" t="str">
            <v>not identified</v>
          </cell>
          <cell r="H434" t="str">
            <v>not identified</v>
          </cell>
        </row>
        <row r="435">
          <cell r="D435">
            <v>609003</v>
          </cell>
          <cell r="E435" t="str">
            <v>Oracle Inventory material</v>
          </cell>
          <cell r="F435" t="str">
            <v>not identified</v>
          </cell>
          <cell r="G435" t="str">
            <v>not identified</v>
          </cell>
          <cell r="H435" t="str">
            <v>not identified</v>
          </cell>
        </row>
        <row r="436">
          <cell r="D436">
            <v>609004</v>
          </cell>
          <cell r="E436" t="str">
            <v>Oracle Inventory AP accrual</v>
          </cell>
          <cell r="F436" t="str">
            <v>not identified</v>
          </cell>
          <cell r="G436" t="str">
            <v>not identified</v>
          </cell>
          <cell r="H436" t="str">
            <v>not identified</v>
          </cell>
        </row>
        <row r="437">
          <cell r="D437">
            <v>610002</v>
          </cell>
          <cell r="E437" t="str">
            <v>Manual Trade Receivables Control - SNCF</v>
          </cell>
          <cell r="F437" t="str">
            <v>not identified</v>
          </cell>
          <cell r="G437" t="str">
            <v>not identified</v>
          </cell>
          <cell r="H437" t="str">
            <v>not identified</v>
          </cell>
        </row>
        <row r="438">
          <cell r="D438">
            <v>615001</v>
          </cell>
          <cell r="E438" t="str">
            <v>Revenue settlement - SNCF EUR</v>
          </cell>
          <cell r="F438" t="str">
            <v>not identified</v>
          </cell>
          <cell r="G438" t="str">
            <v>not identified</v>
          </cell>
          <cell r="H438" t="str">
            <v>not identified</v>
          </cell>
        </row>
        <row r="439">
          <cell r="D439">
            <v>615002</v>
          </cell>
          <cell r="E439" t="str">
            <v>Revenue settlement - SNCF GBP</v>
          </cell>
          <cell r="F439" t="str">
            <v>not identified</v>
          </cell>
          <cell r="G439" t="str">
            <v>not identified</v>
          </cell>
          <cell r="H439" t="str">
            <v>not identified</v>
          </cell>
        </row>
        <row r="440">
          <cell r="D440">
            <v>615003</v>
          </cell>
          <cell r="E440" t="str">
            <v>Revenue settlement - SNCF USD</v>
          </cell>
          <cell r="F440" t="str">
            <v>not identified</v>
          </cell>
          <cell r="G440" t="str">
            <v>not identified</v>
          </cell>
          <cell r="H440" t="str">
            <v>not identified</v>
          </cell>
        </row>
        <row r="441">
          <cell r="D441">
            <v>620001</v>
          </cell>
          <cell r="E441" t="str">
            <v>Trade Receivables Control - HQ</v>
          </cell>
          <cell r="F441" t="str">
            <v>not identified</v>
          </cell>
          <cell r="G441" t="str">
            <v>not identified</v>
          </cell>
          <cell r="H441" t="str">
            <v>not identified</v>
          </cell>
        </row>
        <row r="442">
          <cell r="D442">
            <v>620002</v>
          </cell>
          <cell r="E442" t="str">
            <v>Trade Receivables Control - Logistics</v>
          </cell>
          <cell r="F442" t="str">
            <v>not identified</v>
          </cell>
          <cell r="G442" t="str">
            <v>not identified</v>
          </cell>
          <cell r="H442" t="str">
            <v>not identified</v>
          </cell>
        </row>
        <row r="443">
          <cell r="D443">
            <v>620003</v>
          </cell>
          <cell r="E443" t="str">
            <v>Trade Receivables Control - Agents</v>
          </cell>
          <cell r="F443" t="str">
            <v>not identified</v>
          </cell>
          <cell r="G443" t="str">
            <v>not identified</v>
          </cell>
          <cell r="H443" t="str">
            <v>not identified</v>
          </cell>
        </row>
        <row r="444">
          <cell r="D444">
            <v>620999</v>
          </cell>
          <cell r="E444" t="str">
            <v>AR migration</v>
          </cell>
          <cell r="F444" t="str">
            <v>not identified</v>
          </cell>
          <cell r="G444" t="str">
            <v>not identified</v>
          </cell>
          <cell r="H444" t="str">
            <v>not identified</v>
          </cell>
        </row>
        <row r="445">
          <cell r="D445">
            <v>621001</v>
          </cell>
          <cell r="E445" t="str">
            <v>Intercompany Trade Receivables - EGL</v>
          </cell>
          <cell r="F445" t="str">
            <v>not identified</v>
          </cell>
          <cell r="G445" t="str">
            <v>not identified</v>
          </cell>
          <cell r="H445" t="str">
            <v>not identified</v>
          </cell>
        </row>
        <row r="446">
          <cell r="D446">
            <v>621004</v>
          </cell>
          <cell r="E446" t="str">
            <v>Intercompany Trade Receivables - EISPRL</v>
          </cell>
          <cell r="F446" t="str">
            <v>not identified</v>
          </cell>
          <cell r="G446" t="str">
            <v>not identified</v>
          </cell>
          <cell r="H446" t="str">
            <v>not identified</v>
          </cell>
        </row>
        <row r="447">
          <cell r="D447">
            <v>621005</v>
          </cell>
          <cell r="E447" t="str">
            <v>Intercompany Trade Receivables - EIL</v>
          </cell>
          <cell r="F447" t="str">
            <v>not identified</v>
          </cell>
          <cell r="G447" t="str">
            <v>not identified</v>
          </cell>
          <cell r="H447" t="str">
            <v>not identified</v>
          </cell>
        </row>
        <row r="448">
          <cell r="D448">
            <v>622001</v>
          </cell>
          <cell r="E448" t="str">
            <v>Provision - Bad Debts - HQ</v>
          </cell>
          <cell r="F448" t="str">
            <v>not identified</v>
          </cell>
          <cell r="G448" t="str">
            <v>not identified</v>
          </cell>
          <cell r="H448" t="str">
            <v>not identified</v>
          </cell>
        </row>
        <row r="449">
          <cell r="D449">
            <v>622003</v>
          </cell>
          <cell r="E449" t="str">
            <v>Provision - Bad Debts - Agents</v>
          </cell>
          <cell r="F449" t="str">
            <v>not identified</v>
          </cell>
          <cell r="G449" t="str">
            <v>not identified</v>
          </cell>
          <cell r="H449" t="str">
            <v>not identified</v>
          </cell>
        </row>
        <row r="450">
          <cell r="D450">
            <v>624102</v>
          </cell>
          <cell r="E450" t="str">
            <v>SNCB Receivable</v>
          </cell>
          <cell r="F450" t="str">
            <v>not identified</v>
          </cell>
          <cell r="G450" t="str">
            <v>not identified</v>
          </cell>
          <cell r="H450" t="str">
            <v>not identified</v>
          </cell>
        </row>
        <row r="451">
          <cell r="D451">
            <v>624103</v>
          </cell>
          <cell r="E451" t="str">
            <v>OSR Receivable</v>
          </cell>
          <cell r="F451" t="str">
            <v>not identified</v>
          </cell>
          <cell r="G451" t="str">
            <v>not identified</v>
          </cell>
          <cell r="H451" t="str">
            <v>not identified</v>
          </cell>
        </row>
        <row r="452">
          <cell r="D452">
            <v>624201</v>
          </cell>
          <cell r="E452" t="str">
            <v>ECC Streamline GBP</v>
          </cell>
          <cell r="F452" t="str">
            <v>not identified</v>
          </cell>
          <cell r="G452" t="str">
            <v>not identified</v>
          </cell>
          <cell r="H452" t="str">
            <v>not identified</v>
          </cell>
        </row>
        <row r="453">
          <cell r="D453">
            <v>624202</v>
          </cell>
          <cell r="E453" t="str">
            <v>ECC Amex GBP</v>
          </cell>
          <cell r="F453" t="str">
            <v>not identified</v>
          </cell>
          <cell r="G453" t="str">
            <v>not identified</v>
          </cell>
          <cell r="H453" t="str">
            <v>not identified</v>
          </cell>
        </row>
        <row r="454">
          <cell r="D454">
            <v>624203</v>
          </cell>
          <cell r="E454" t="str">
            <v>ECC BACS GBP</v>
          </cell>
          <cell r="F454" t="str">
            <v>not identified</v>
          </cell>
          <cell r="G454" t="str">
            <v>not identified</v>
          </cell>
          <cell r="H454" t="str">
            <v>not identified</v>
          </cell>
        </row>
        <row r="455">
          <cell r="D455">
            <v>624220</v>
          </cell>
          <cell r="E455" t="str">
            <v>ECC AMEX membership rewards GBP</v>
          </cell>
          <cell r="F455" t="str">
            <v>not identified</v>
          </cell>
          <cell r="G455" t="str">
            <v>not identified</v>
          </cell>
          <cell r="H455" t="str">
            <v>not identified</v>
          </cell>
        </row>
        <row r="456">
          <cell r="D456">
            <v>624221</v>
          </cell>
          <cell r="E456" t="str">
            <v>ECC Other GBP</v>
          </cell>
          <cell r="F456" t="str">
            <v>not identified</v>
          </cell>
          <cell r="G456" t="str">
            <v>not identified</v>
          </cell>
          <cell r="H456" t="str">
            <v>not identified</v>
          </cell>
        </row>
        <row r="457">
          <cell r="D457">
            <v>624222</v>
          </cell>
          <cell r="E457" t="str">
            <v>ECC Streamline EUR</v>
          </cell>
          <cell r="F457" t="str">
            <v>not identified</v>
          </cell>
          <cell r="G457" t="str">
            <v>not identified</v>
          </cell>
          <cell r="H457" t="str">
            <v>not identified</v>
          </cell>
        </row>
        <row r="458">
          <cell r="D458">
            <v>624231</v>
          </cell>
          <cell r="E458" t="str">
            <v>ECC Streamline USD</v>
          </cell>
          <cell r="F458" t="str">
            <v>not identified</v>
          </cell>
          <cell r="G458" t="str">
            <v>not identified</v>
          </cell>
          <cell r="H458" t="str">
            <v>not identified</v>
          </cell>
        </row>
        <row r="459">
          <cell r="D459">
            <v>624232</v>
          </cell>
          <cell r="E459" t="str">
            <v>ECC Amex USD</v>
          </cell>
          <cell r="F459" t="str">
            <v>not identified</v>
          </cell>
          <cell r="G459" t="str">
            <v>not identified</v>
          </cell>
          <cell r="H459" t="str">
            <v>not identified</v>
          </cell>
        </row>
        <row r="460">
          <cell r="D460">
            <v>624298</v>
          </cell>
          <cell r="E460" t="str">
            <v>ECC Amex EUR</v>
          </cell>
          <cell r="F460" t="str">
            <v>not identified</v>
          </cell>
          <cell r="G460" t="str">
            <v>not identified</v>
          </cell>
          <cell r="H460" t="str">
            <v>not identified</v>
          </cell>
        </row>
        <row r="461">
          <cell r="D461">
            <v>624299</v>
          </cell>
          <cell r="E461" t="str">
            <v>ECC Other EUR</v>
          </cell>
          <cell r="F461" t="str">
            <v>not identified</v>
          </cell>
          <cell r="G461" t="str">
            <v>not identified</v>
          </cell>
          <cell r="H461" t="str">
            <v>not identified</v>
          </cell>
        </row>
        <row r="462">
          <cell r="D462">
            <v>624301</v>
          </cell>
          <cell r="E462" t="str">
            <v>Eurostar.com UK Streamline GBP</v>
          </cell>
          <cell r="F462" t="str">
            <v>not identified</v>
          </cell>
          <cell r="G462" t="str">
            <v>not identified</v>
          </cell>
          <cell r="H462" t="str">
            <v>not identified</v>
          </cell>
        </row>
        <row r="463">
          <cell r="D463">
            <v>624302</v>
          </cell>
          <cell r="E463" t="str">
            <v>Eurostar.com UK Amex GBP</v>
          </cell>
          <cell r="F463" t="str">
            <v>not identified</v>
          </cell>
          <cell r="G463" t="str">
            <v>not identified</v>
          </cell>
          <cell r="H463" t="str">
            <v>not identified</v>
          </cell>
        </row>
        <row r="464">
          <cell r="D464">
            <v>624321</v>
          </cell>
          <cell r="E464" t="str">
            <v>Eurostar.com FR Streamline EUR</v>
          </cell>
          <cell r="F464" t="str">
            <v>not identified</v>
          </cell>
          <cell r="G464" t="str">
            <v>not identified</v>
          </cell>
          <cell r="H464" t="str">
            <v>not identified</v>
          </cell>
        </row>
        <row r="465">
          <cell r="D465">
            <v>624322</v>
          </cell>
          <cell r="E465" t="str">
            <v>Eurostar.com FR Amex EUR</v>
          </cell>
          <cell r="F465" t="str">
            <v>not identified</v>
          </cell>
          <cell r="G465" t="str">
            <v>not identified</v>
          </cell>
          <cell r="H465" t="str">
            <v>not identified</v>
          </cell>
        </row>
        <row r="466">
          <cell r="D466">
            <v>624341</v>
          </cell>
          <cell r="E466" t="str">
            <v>Eurostar.com BE Streamline EUR</v>
          </cell>
          <cell r="F466" t="str">
            <v>not identified</v>
          </cell>
          <cell r="G466" t="str">
            <v>not identified</v>
          </cell>
          <cell r="H466" t="str">
            <v>not identified</v>
          </cell>
        </row>
        <row r="467">
          <cell r="D467">
            <v>624342</v>
          </cell>
          <cell r="E467" t="str">
            <v>Eurostar.com BE Amex EUR</v>
          </cell>
          <cell r="F467" t="str">
            <v>not identified</v>
          </cell>
          <cell r="G467" t="str">
            <v>not identified</v>
          </cell>
          <cell r="H467" t="str">
            <v>not identified</v>
          </cell>
        </row>
        <row r="468">
          <cell r="D468">
            <v>624351</v>
          </cell>
          <cell r="E468" t="str">
            <v>Eurostar.com NL Streamline EUR</v>
          </cell>
          <cell r="F468" t="str">
            <v>not identified</v>
          </cell>
          <cell r="G468" t="str">
            <v>not identified</v>
          </cell>
          <cell r="H468" t="str">
            <v>not identified</v>
          </cell>
        </row>
        <row r="469">
          <cell r="D469">
            <v>624352</v>
          </cell>
          <cell r="E469" t="str">
            <v>Eurostar.com NL Amex EUR</v>
          </cell>
          <cell r="F469" t="str">
            <v>not identified</v>
          </cell>
          <cell r="G469" t="str">
            <v>not identified</v>
          </cell>
          <cell r="H469" t="str">
            <v>not identified</v>
          </cell>
        </row>
        <row r="470">
          <cell r="D470">
            <v>624361</v>
          </cell>
          <cell r="E470" t="str">
            <v>Eurostar.com ROW Streamline EUR</v>
          </cell>
          <cell r="F470" t="str">
            <v>not identified</v>
          </cell>
          <cell r="G470" t="str">
            <v>not identified</v>
          </cell>
          <cell r="H470" t="str">
            <v>not identified</v>
          </cell>
        </row>
        <row r="471">
          <cell r="D471">
            <v>624362</v>
          </cell>
          <cell r="E471" t="str">
            <v>Eurostar.com ROW Amex EUR</v>
          </cell>
          <cell r="F471" t="str">
            <v>not identified</v>
          </cell>
          <cell r="G471" t="str">
            <v>not identified</v>
          </cell>
          <cell r="H471" t="str">
            <v>not identified</v>
          </cell>
        </row>
        <row r="472">
          <cell r="D472">
            <v>624381</v>
          </cell>
          <cell r="E472" t="str">
            <v>Eurostar.com US Streamline USD</v>
          </cell>
          <cell r="F472" t="str">
            <v>not identified</v>
          </cell>
          <cell r="G472" t="str">
            <v>not identified</v>
          </cell>
          <cell r="H472" t="str">
            <v>not identified</v>
          </cell>
        </row>
        <row r="473">
          <cell r="D473">
            <v>624382</v>
          </cell>
          <cell r="E473" t="str">
            <v>Eurostar.com US Amex USD</v>
          </cell>
          <cell r="F473" t="str">
            <v>not identified</v>
          </cell>
          <cell r="G473" t="str">
            <v>not identified</v>
          </cell>
          <cell r="H473" t="str">
            <v>not identified</v>
          </cell>
        </row>
        <row r="474">
          <cell r="D474">
            <v>624391</v>
          </cell>
          <cell r="E474" t="str">
            <v>Staff booking tool Streamline GBP</v>
          </cell>
          <cell r="F474" t="str">
            <v>not identified</v>
          </cell>
          <cell r="G474" t="str">
            <v>not identified</v>
          </cell>
          <cell r="H474" t="str">
            <v>not identified</v>
          </cell>
        </row>
        <row r="475">
          <cell r="D475">
            <v>624392</v>
          </cell>
          <cell r="E475" t="str">
            <v>Staff booking tool Streamline EUR</v>
          </cell>
          <cell r="F475" t="str">
            <v>not identified</v>
          </cell>
          <cell r="G475" t="str">
            <v>not identified</v>
          </cell>
          <cell r="H475" t="str">
            <v>not identified</v>
          </cell>
        </row>
        <row r="476">
          <cell r="D476">
            <v>624393</v>
          </cell>
          <cell r="E476" t="str">
            <v>Staff booking tool Amex GBP</v>
          </cell>
          <cell r="F476" t="str">
            <v>not identified</v>
          </cell>
          <cell r="G476" t="str">
            <v>not identified</v>
          </cell>
          <cell r="H476" t="str">
            <v>not identified</v>
          </cell>
        </row>
        <row r="477">
          <cell r="D477">
            <v>624394</v>
          </cell>
          <cell r="E477" t="str">
            <v>Staff booking tool Amex EUR</v>
          </cell>
          <cell r="F477" t="str">
            <v>not identified</v>
          </cell>
          <cell r="G477" t="str">
            <v>not identified</v>
          </cell>
          <cell r="H477" t="str">
            <v>not identified</v>
          </cell>
        </row>
        <row r="478">
          <cell r="D478">
            <v>624395</v>
          </cell>
          <cell r="E478" t="str">
            <v>Eurostar.env UK GBP</v>
          </cell>
          <cell r="F478" t="str">
            <v>not identified</v>
          </cell>
          <cell r="G478" t="str">
            <v>not identified</v>
          </cell>
          <cell r="H478" t="str">
            <v>not identified</v>
          </cell>
        </row>
        <row r="479">
          <cell r="D479">
            <v>624396</v>
          </cell>
          <cell r="E479" t="str">
            <v>Eurostar.env FR EUR</v>
          </cell>
          <cell r="F479" t="str">
            <v>not identified</v>
          </cell>
          <cell r="G479" t="str">
            <v>not identified</v>
          </cell>
          <cell r="H479" t="str">
            <v>not identified</v>
          </cell>
        </row>
        <row r="480">
          <cell r="D480">
            <v>624397</v>
          </cell>
          <cell r="E480" t="str">
            <v>Eurostar.env BE EUR</v>
          </cell>
          <cell r="F480" t="str">
            <v>not identified</v>
          </cell>
          <cell r="G480" t="str">
            <v>not identified</v>
          </cell>
          <cell r="H480" t="str">
            <v>not identified</v>
          </cell>
        </row>
        <row r="481">
          <cell r="D481">
            <v>624401</v>
          </cell>
          <cell r="E481" t="str">
            <v>St Pancras Streamline GBP</v>
          </cell>
          <cell r="F481" t="str">
            <v>not identified</v>
          </cell>
          <cell r="G481" t="str">
            <v>not identified</v>
          </cell>
          <cell r="H481" t="str">
            <v>not identified</v>
          </cell>
        </row>
        <row r="482">
          <cell r="D482">
            <v>624402</v>
          </cell>
          <cell r="E482" t="str">
            <v>St Pancras Amex GBP</v>
          </cell>
          <cell r="F482" t="str">
            <v>not identified</v>
          </cell>
          <cell r="G482" t="str">
            <v>not identified</v>
          </cell>
          <cell r="H482" t="str">
            <v>not identified</v>
          </cell>
        </row>
        <row r="483">
          <cell r="D483">
            <v>624403</v>
          </cell>
          <cell r="E483" t="str">
            <v>St Pancras Cash GBP</v>
          </cell>
          <cell r="F483" t="str">
            <v>not identified</v>
          </cell>
          <cell r="G483" t="str">
            <v>not identified</v>
          </cell>
          <cell r="H483" t="str">
            <v>not identified</v>
          </cell>
        </row>
        <row r="484">
          <cell r="D484">
            <v>624411</v>
          </cell>
          <cell r="E484" t="str">
            <v>St Pancras other</v>
          </cell>
          <cell r="F484" t="str">
            <v>not identified</v>
          </cell>
          <cell r="G484" t="str">
            <v>not identified</v>
          </cell>
          <cell r="H484" t="str">
            <v>not identified</v>
          </cell>
        </row>
        <row r="485">
          <cell r="D485">
            <v>624412</v>
          </cell>
          <cell r="E485" t="str">
            <v>AIT Streamline</v>
          </cell>
          <cell r="F485" t="str">
            <v>not identified</v>
          </cell>
          <cell r="G485" t="str">
            <v>not identified</v>
          </cell>
          <cell r="H485" t="str">
            <v>not identified</v>
          </cell>
        </row>
        <row r="486">
          <cell r="D486">
            <v>624413</v>
          </cell>
          <cell r="E486" t="str">
            <v>AIT Amex</v>
          </cell>
          <cell r="F486" t="str">
            <v>not identified</v>
          </cell>
          <cell r="G486" t="str">
            <v>not identified</v>
          </cell>
          <cell r="H486" t="str">
            <v>not identified</v>
          </cell>
        </row>
        <row r="487">
          <cell r="D487">
            <v>624421</v>
          </cell>
          <cell r="E487" t="str">
            <v>AIT Cash</v>
          </cell>
          <cell r="F487" t="str">
            <v>not identified</v>
          </cell>
          <cell r="G487" t="str">
            <v>not identified</v>
          </cell>
          <cell r="H487" t="str">
            <v>not identified</v>
          </cell>
        </row>
        <row r="488">
          <cell r="D488">
            <v>624422</v>
          </cell>
          <cell r="E488" t="str">
            <v>AIT Other</v>
          </cell>
          <cell r="F488" t="str">
            <v>not identified</v>
          </cell>
          <cell r="G488" t="str">
            <v>not identified</v>
          </cell>
          <cell r="H488" t="str">
            <v>not identified</v>
          </cell>
        </row>
        <row r="489">
          <cell r="D489">
            <v>624423</v>
          </cell>
          <cell r="E489" t="str">
            <v>EIT Streamline</v>
          </cell>
          <cell r="F489" t="str">
            <v>not identified</v>
          </cell>
          <cell r="G489" t="str">
            <v>not identified</v>
          </cell>
          <cell r="H489" t="str">
            <v>not identified</v>
          </cell>
        </row>
        <row r="490">
          <cell r="D490">
            <v>624497</v>
          </cell>
          <cell r="E490" t="str">
            <v>EIT Amex</v>
          </cell>
          <cell r="F490" t="str">
            <v>not identified</v>
          </cell>
          <cell r="G490" t="str">
            <v>not identified</v>
          </cell>
          <cell r="H490" t="str">
            <v>not identified</v>
          </cell>
        </row>
        <row r="491">
          <cell r="D491">
            <v>624498</v>
          </cell>
          <cell r="E491" t="str">
            <v>EIT Cash</v>
          </cell>
          <cell r="F491" t="str">
            <v>not identified</v>
          </cell>
          <cell r="G491" t="str">
            <v>not identified</v>
          </cell>
          <cell r="H491" t="str">
            <v>not identified</v>
          </cell>
        </row>
        <row r="492">
          <cell r="D492">
            <v>624499</v>
          </cell>
          <cell r="E492" t="str">
            <v>EIT Other</v>
          </cell>
          <cell r="F492" t="str">
            <v>not identified</v>
          </cell>
          <cell r="G492" t="str">
            <v>not identified</v>
          </cell>
          <cell r="H492" t="str">
            <v>not identified</v>
          </cell>
        </row>
        <row r="493">
          <cell r="D493">
            <v>624521</v>
          </cell>
          <cell r="E493" t="str">
            <v>PNO Streamline</v>
          </cell>
          <cell r="F493" t="str">
            <v>not identified</v>
          </cell>
          <cell r="G493" t="str">
            <v>not identified</v>
          </cell>
          <cell r="H493" t="str">
            <v>not identified</v>
          </cell>
        </row>
        <row r="494">
          <cell r="D494">
            <v>624522</v>
          </cell>
          <cell r="E494" t="str">
            <v>PNO Amex</v>
          </cell>
          <cell r="F494" t="str">
            <v>not identified</v>
          </cell>
          <cell r="G494" t="str">
            <v>not identified</v>
          </cell>
          <cell r="H494" t="str">
            <v>not identified</v>
          </cell>
        </row>
        <row r="495">
          <cell r="D495">
            <v>624523</v>
          </cell>
          <cell r="E495" t="str">
            <v>PNO Cash</v>
          </cell>
          <cell r="F495" t="str">
            <v>not identified</v>
          </cell>
          <cell r="G495" t="str">
            <v>not identified</v>
          </cell>
          <cell r="H495" t="str">
            <v>not identified</v>
          </cell>
        </row>
        <row r="496">
          <cell r="D496">
            <v>624531</v>
          </cell>
          <cell r="E496" t="str">
            <v>BXS Streamline</v>
          </cell>
          <cell r="F496" t="str">
            <v>not identified</v>
          </cell>
          <cell r="G496" t="str">
            <v>not identified</v>
          </cell>
          <cell r="H496" t="str">
            <v>not identified</v>
          </cell>
        </row>
        <row r="497">
          <cell r="D497">
            <v>624532</v>
          </cell>
          <cell r="E497" t="str">
            <v>BXS AMEX</v>
          </cell>
          <cell r="F497" t="str">
            <v>not identified</v>
          </cell>
          <cell r="G497" t="str">
            <v>not identified</v>
          </cell>
          <cell r="H497" t="str">
            <v>not identified</v>
          </cell>
        </row>
        <row r="498">
          <cell r="D498">
            <v>624533</v>
          </cell>
          <cell r="E498" t="str">
            <v>BXS Cash</v>
          </cell>
          <cell r="F498" t="str">
            <v>not identified</v>
          </cell>
          <cell r="G498" t="str">
            <v>not identified</v>
          </cell>
          <cell r="H498" t="str">
            <v>not identified</v>
          </cell>
        </row>
        <row r="499">
          <cell r="D499">
            <v>624539</v>
          </cell>
          <cell r="E499" t="str">
            <v>BXS Other</v>
          </cell>
          <cell r="F499" t="str">
            <v>not identified</v>
          </cell>
          <cell r="G499" t="str">
            <v>not identified</v>
          </cell>
          <cell r="H499" t="str">
            <v>not identified</v>
          </cell>
        </row>
        <row r="500">
          <cell r="D500">
            <v>624541</v>
          </cell>
          <cell r="E500" t="str">
            <v>Lille Streamline</v>
          </cell>
          <cell r="F500" t="str">
            <v>not identified</v>
          </cell>
          <cell r="G500" t="str">
            <v>not identified</v>
          </cell>
          <cell r="H500" t="str">
            <v>not identified</v>
          </cell>
        </row>
        <row r="501">
          <cell r="D501">
            <v>624542</v>
          </cell>
          <cell r="E501" t="str">
            <v>Lille Amex</v>
          </cell>
          <cell r="F501" t="str">
            <v>not identified</v>
          </cell>
          <cell r="G501" t="str">
            <v>not identified</v>
          </cell>
          <cell r="H501" t="str">
            <v>not identified</v>
          </cell>
        </row>
        <row r="502">
          <cell r="D502">
            <v>624543</v>
          </cell>
          <cell r="E502" t="str">
            <v>Lille Cash</v>
          </cell>
          <cell r="F502" t="str">
            <v>not identified</v>
          </cell>
          <cell r="G502" t="str">
            <v>not identified</v>
          </cell>
          <cell r="H502" t="str">
            <v>not identified</v>
          </cell>
        </row>
        <row r="503">
          <cell r="D503">
            <v>624549</v>
          </cell>
          <cell r="E503" t="str">
            <v>Lille Other</v>
          </cell>
          <cell r="F503" t="str">
            <v>not identified</v>
          </cell>
          <cell r="G503" t="str">
            <v>not identified</v>
          </cell>
          <cell r="H503" t="str">
            <v>not identified</v>
          </cell>
        </row>
        <row r="504">
          <cell r="D504">
            <v>624599</v>
          </cell>
          <cell r="E504" t="str">
            <v>PNO Other</v>
          </cell>
          <cell r="F504" t="str">
            <v>not identified</v>
          </cell>
          <cell r="G504" t="str">
            <v>not identified</v>
          </cell>
          <cell r="H504" t="str">
            <v>not identified</v>
          </cell>
        </row>
        <row r="505">
          <cell r="D505">
            <v>624601</v>
          </cell>
          <cell r="E505" t="str">
            <v>BSP Streamline GBP</v>
          </cell>
          <cell r="F505" t="str">
            <v>not identified</v>
          </cell>
          <cell r="G505" t="str">
            <v>not identified</v>
          </cell>
          <cell r="H505" t="str">
            <v>not identified</v>
          </cell>
        </row>
        <row r="506">
          <cell r="D506">
            <v>624602</v>
          </cell>
          <cell r="E506" t="str">
            <v>BSP Amex GBP</v>
          </cell>
          <cell r="F506" t="str">
            <v>not identified</v>
          </cell>
          <cell r="G506" t="str">
            <v>not identified</v>
          </cell>
          <cell r="H506" t="str">
            <v>not identified</v>
          </cell>
        </row>
        <row r="507">
          <cell r="D507">
            <v>624603</v>
          </cell>
          <cell r="E507" t="str">
            <v>BSP Settlement</v>
          </cell>
          <cell r="F507" t="str">
            <v>not identified</v>
          </cell>
          <cell r="G507" t="str">
            <v>not identified</v>
          </cell>
          <cell r="H507" t="str">
            <v>not identified</v>
          </cell>
        </row>
        <row r="508">
          <cell r="D508">
            <v>624681</v>
          </cell>
          <cell r="E508" t="str">
            <v>BSP Other</v>
          </cell>
          <cell r="F508" t="str">
            <v>not identified</v>
          </cell>
          <cell r="G508" t="str">
            <v>not identified</v>
          </cell>
          <cell r="H508" t="str">
            <v>not identified</v>
          </cell>
        </row>
        <row r="509">
          <cell r="D509">
            <v>624682</v>
          </cell>
          <cell r="E509" t="str">
            <v>ARC Visa/Master USD</v>
          </cell>
          <cell r="F509" t="str">
            <v>not identified</v>
          </cell>
          <cell r="G509" t="str">
            <v>not identified</v>
          </cell>
          <cell r="H509" t="str">
            <v>not identified</v>
          </cell>
        </row>
        <row r="510">
          <cell r="D510">
            <v>624683</v>
          </cell>
          <cell r="E510" t="str">
            <v>ARC Settlement</v>
          </cell>
          <cell r="F510" t="str">
            <v>not identified</v>
          </cell>
          <cell r="G510" t="str">
            <v>not identified</v>
          </cell>
          <cell r="H510" t="str">
            <v>not identified</v>
          </cell>
        </row>
        <row r="511">
          <cell r="D511">
            <v>624698</v>
          </cell>
          <cell r="E511" t="str">
            <v>ARC Amex</v>
          </cell>
          <cell r="F511" t="str">
            <v>not identified</v>
          </cell>
          <cell r="G511" t="str">
            <v>not identified</v>
          </cell>
          <cell r="H511" t="str">
            <v>not identified</v>
          </cell>
        </row>
        <row r="512">
          <cell r="D512">
            <v>624699</v>
          </cell>
          <cell r="E512" t="str">
            <v>ARC Other</v>
          </cell>
          <cell r="F512" t="str">
            <v>not identified</v>
          </cell>
          <cell r="G512" t="str">
            <v>not identified</v>
          </cell>
          <cell r="H512" t="str">
            <v>not identified</v>
          </cell>
        </row>
        <row r="513">
          <cell r="D513">
            <v>629001</v>
          </cell>
          <cell r="E513" t="str">
            <v>Interbank control - GBP</v>
          </cell>
          <cell r="F513" t="str">
            <v>not identified</v>
          </cell>
          <cell r="G513" t="str">
            <v>not identified</v>
          </cell>
          <cell r="H513" t="str">
            <v>not identified</v>
          </cell>
        </row>
        <row r="514">
          <cell r="D514">
            <v>629002</v>
          </cell>
          <cell r="E514" t="str">
            <v>Interbank control - EUR</v>
          </cell>
          <cell r="F514" t="str">
            <v>not identified</v>
          </cell>
          <cell r="G514" t="str">
            <v>not identified</v>
          </cell>
          <cell r="H514" t="str">
            <v>not identified</v>
          </cell>
        </row>
        <row r="515">
          <cell r="D515">
            <v>629003</v>
          </cell>
          <cell r="E515" t="str">
            <v>Interbank control - USD</v>
          </cell>
          <cell r="F515" t="str">
            <v>not identified</v>
          </cell>
          <cell r="G515" t="str">
            <v>not identified</v>
          </cell>
          <cell r="H515" t="str">
            <v>not identified</v>
          </cell>
        </row>
        <row r="516">
          <cell r="D516">
            <v>629101</v>
          </cell>
          <cell r="E516" t="str">
            <v>OASSIS/AR control</v>
          </cell>
          <cell r="F516" t="str">
            <v>not identified</v>
          </cell>
          <cell r="G516" t="str">
            <v>not identified</v>
          </cell>
          <cell r="H516" t="str">
            <v>not identified</v>
          </cell>
        </row>
        <row r="517">
          <cell r="D517">
            <v>629102</v>
          </cell>
          <cell r="E517" t="str">
            <v>Unapplied AR receipts</v>
          </cell>
          <cell r="F517" t="str">
            <v>not identified</v>
          </cell>
          <cell r="G517" t="str">
            <v>not identified</v>
          </cell>
          <cell r="H517" t="str">
            <v>not identified</v>
          </cell>
        </row>
        <row r="518">
          <cell r="D518">
            <v>629103</v>
          </cell>
          <cell r="E518" t="str">
            <v>Unidentified AR receipts</v>
          </cell>
          <cell r="F518" t="str">
            <v>not identified</v>
          </cell>
          <cell r="G518" t="str">
            <v>not identified</v>
          </cell>
          <cell r="H518" t="str">
            <v>not identified</v>
          </cell>
        </row>
        <row r="519">
          <cell r="D519">
            <v>629104</v>
          </cell>
          <cell r="E519" t="str">
            <v>On Account AR receipts</v>
          </cell>
          <cell r="F519" t="str">
            <v>not identified</v>
          </cell>
          <cell r="G519" t="str">
            <v>not identified</v>
          </cell>
          <cell r="H519" t="str">
            <v>not identified</v>
          </cell>
        </row>
        <row r="520">
          <cell r="D520">
            <v>629106</v>
          </cell>
          <cell r="E520" t="str">
            <v>Oracle AR System Bank Error</v>
          </cell>
          <cell r="F520" t="str">
            <v>not identified</v>
          </cell>
          <cell r="G520" t="str">
            <v>not identified</v>
          </cell>
          <cell r="H520" t="str">
            <v>not identified</v>
          </cell>
        </row>
        <row r="521">
          <cell r="D521">
            <v>629107</v>
          </cell>
          <cell r="E521" t="str">
            <v>Oracle AR System Refunds Clearing</v>
          </cell>
          <cell r="F521" t="str">
            <v>not identified</v>
          </cell>
          <cell r="G521" t="str">
            <v>not identified</v>
          </cell>
          <cell r="H521" t="str">
            <v>not identified</v>
          </cell>
        </row>
        <row r="522">
          <cell r="D522">
            <v>629108</v>
          </cell>
          <cell r="E522" t="str">
            <v>Oracle AR/AP Netting</v>
          </cell>
          <cell r="F522" t="str">
            <v>not identified</v>
          </cell>
          <cell r="G522" t="str">
            <v>not identified</v>
          </cell>
          <cell r="H522" t="str">
            <v>not identified</v>
          </cell>
        </row>
        <row r="523">
          <cell r="D523">
            <v>630001</v>
          </cell>
          <cell r="E523" t="str">
            <v>Interest Receivable</v>
          </cell>
          <cell r="F523" t="str">
            <v>not identified</v>
          </cell>
          <cell r="G523" t="str">
            <v>not identified</v>
          </cell>
          <cell r="H523" t="str">
            <v>not identified</v>
          </cell>
        </row>
        <row r="524">
          <cell r="D524">
            <v>640001</v>
          </cell>
          <cell r="E524" t="str">
            <v>Prepayments - manual (reversing)</v>
          </cell>
          <cell r="F524" t="str">
            <v>not identified</v>
          </cell>
          <cell r="G524" t="str">
            <v>not identified</v>
          </cell>
          <cell r="H524" t="str">
            <v>not identified</v>
          </cell>
        </row>
        <row r="525">
          <cell r="D525">
            <v>640002</v>
          </cell>
          <cell r="E525" t="str">
            <v>Prepayments - manual (non-reversing)</v>
          </cell>
          <cell r="F525" t="str">
            <v>not identified</v>
          </cell>
          <cell r="G525" t="str">
            <v>not identified</v>
          </cell>
          <cell r="H525" t="str">
            <v>not identified</v>
          </cell>
        </row>
        <row r="526">
          <cell r="D526">
            <v>640003</v>
          </cell>
          <cell r="E526" t="str">
            <v>Prepayments - AP multi-period accounting</v>
          </cell>
          <cell r="F526" t="str">
            <v>not identified</v>
          </cell>
          <cell r="G526" t="str">
            <v>not identified</v>
          </cell>
          <cell r="H526" t="str">
            <v>not identified</v>
          </cell>
        </row>
        <row r="527">
          <cell r="D527">
            <v>640004</v>
          </cell>
          <cell r="E527" t="str">
            <v>Prepayments - AP advances</v>
          </cell>
          <cell r="F527" t="str">
            <v>not identified</v>
          </cell>
          <cell r="G527" t="str">
            <v>not identified</v>
          </cell>
          <cell r="H527" t="str">
            <v>not identified</v>
          </cell>
        </row>
        <row r="528">
          <cell r="D528">
            <v>641001</v>
          </cell>
          <cell r="E528" t="str">
            <v>Prepayments - SNCF Operating Lease</v>
          </cell>
          <cell r="F528" t="str">
            <v>not identified</v>
          </cell>
          <cell r="G528" t="str">
            <v>not identified</v>
          </cell>
          <cell r="H528" t="str">
            <v>not identified</v>
          </cell>
        </row>
        <row r="529">
          <cell r="D529">
            <v>642001</v>
          </cell>
          <cell r="E529" t="str">
            <v>Accrued revenue - manual (reversing)</v>
          </cell>
          <cell r="F529" t="str">
            <v>not identified</v>
          </cell>
          <cell r="G529" t="str">
            <v>not identified</v>
          </cell>
          <cell r="H529" t="str">
            <v>not identified</v>
          </cell>
        </row>
        <row r="530">
          <cell r="D530">
            <v>642002</v>
          </cell>
          <cell r="E530" t="str">
            <v>Accrued revenue - manual (non-reversing)</v>
          </cell>
          <cell r="F530" t="str">
            <v>not identified</v>
          </cell>
          <cell r="G530" t="str">
            <v>not identified</v>
          </cell>
          <cell r="H530" t="str">
            <v>not identified</v>
          </cell>
        </row>
        <row r="531">
          <cell r="D531">
            <v>650001</v>
          </cell>
          <cell r="E531" t="str">
            <v>Pension Asset</v>
          </cell>
          <cell r="F531" t="str">
            <v>not identified</v>
          </cell>
          <cell r="G531" t="str">
            <v>not identified</v>
          </cell>
          <cell r="H531" t="str">
            <v>not identified</v>
          </cell>
        </row>
        <row r="532">
          <cell r="D532">
            <v>660001</v>
          </cell>
          <cell r="E532" t="str">
            <v>Deposits - utilities</v>
          </cell>
          <cell r="F532" t="str">
            <v>not identified</v>
          </cell>
          <cell r="G532" t="str">
            <v>not identified</v>
          </cell>
          <cell r="H532" t="str">
            <v>not identified</v>
          </cell>
        </row>
        <row r="533">
          <cell r="D533">
            <v>660002</v>
          </cell>
          <cell r="E533" t="str">
            <v>Deposits - rental</v>
          </cell>
          <cell r="F533" t="str">
            <v>not identified</v>
          </cell>
          <cell r="G533" t="str">
            <v>not identified</v>
          </cell>
          <cell r="H533" t="str">
            <v>not identified</v>
          </cell>
        </row>
        <row r="534">
          <cell r="D534">
            <v>661001</v>
          </cell>
          <cell r="E534" t="str">
            <v>Other receivables - RMF payroll</v>
          </cell>
          <cell r="F534" t="str">
            <v>not identified</v>
          </cell>
          <cell r="G534" t="str">
            <v>not identified</v>
          </cell>
          <cell r="H534" t="str">
            <v>not identified</v>
          </cell>
        </row>
        <row r="535">
          <cell r="D535">
            <v>661002</v>
          </cell>
          <cell r="E535" t="str">
            <v>Other receivables - Ride2work</v>
          </cell>
          <cell r="F535" t="str">
            <v>not identified</v>
          </cell>
          <cell r="G535" t="str">
            <v>not identified</v>
          </cell>
          <cell r="H535" t="str">
            <v>not identified</v>
          </cell>
        </row>
        <row r="536">
          <cell r="D536">
            <v>661003</v>
          </cell>
          <cell r="E536" t="str">
            <v>Other receivables - insurance claims</v>
          </cell>
          <cell r="F536" t="str">
            <v>not identified</v>
          </cell>
          <cell r="G536" t="str">
            <v>not identified</v>
          </cell>
          <cell r="H536" t="str">
            <v>not identified</v>
          </cell>
        </row>
        <row r="537">
          <cell r="D537">
            <v>661004</v>
          </cell>
          <cell r="E537" t="str">
            <v>Other receivables - Eurotunnel</v>
          </cell>
          <cell r="F537" t="str">
            <v>not identified</v>
          </cell>
          <cell r="G537" t="str">
            <v>not identified</v>
          </cell>
          <cell r="H537" t="str">
            <v>not identified</v>
          </cell>
        </row>
        <row r="538">
          <cell r="D538">
            <v>661005</v>
          </cell>
          <cell r="E538" t="str">
            <v>Other receivables - SNCB BMI BPL lease incentive recoverable</v>
          </cell>
          <cell r="F538" t="str">
            <v>not identified</v>
          </cell>
          <cell r="G538" t="str">
            <v>not identified</v>
          </cell>
          <cell r="H538" t="str">
            <v>not identified</v>
          </cell>
        </row>
        <row r="539">
          <cell r="D539">
            <v>661006</v>
          </cell>
          <cell r="E539" t="str">
            <v>Other receivables - Siemens liquidated damages</v>
          </cell>
          <cell r="F539" t="str">
            <v>not identified</v>
          </cell>
          <cell r="G539" t="str">
            <v>not identified</v>
          </cell>
          <cell r="H539" t="str">
            <v>not identified</v>
          </cell>
        </row>
        <row r="540">
          <cell r="D540">
            <v>662001</v>
          </cell>
          <cell r="E540" t="str">
            <v>Advance payments</v>
          </cell>
          <cell r="F540" t="str">
            <v>not identified</v>
          </cell>
          <cell r="G540" t="str">
            <v>not identified</v>
          </cell>
          <cell r="H540" t="str">
            <v>not identified</v>
          </cell>
        </row>
        <row r="541">
          <cell r="D541">
            <v>662002</v>
          </cell>
          <cell r="E541" t="str">
            <v>Advance payments - maternity, paternity, adoption</v>
          </cell>
          <cell r="F541" t="str">
            <v>not identified</v>
          </cell>
          <cell r="G541" t="str">
            <v>not identified</v>
          </cell>
          <cell r="H541" t="str">
            <v>not identified</v>
          </cell>
        </row>
        <row r="542">
          <cell r="D542">
            <v>662003</v>
          </cell>
          <cell r="E542" t="str">
            <v>Staff house Loans</v>
          </cell>
          <cell r="F542" t="str">
            <v>not identified</v>
          </cell>
          <cell r="G542" t="str">
            <v>not identified</v>
          </cell>
          <cell r="H542" t="str">
            <v>not identified</v>
          </cell>
        </row>
        <row r="543">
          <cell r="D543">
            <v>662004</v>
          </cell>
          <cell r="E543" t="str">
            <v>Staff HSI Loan</v>
          </cell>
          <cell r="F543" t="str">
            <v>not identified</v>
          </cell>
          <cell r="G543" t="str">
            <v>not identified</v>
          </cell>
          <cell r="H543" t="str">
            <v>not identified</v>
          </cell>
        </row>
        <row r="544">
          <cell r="D544">
            <v>662005</v>
          </cell>
          <cell r="E544" t="str">
            <v>Staff Loan</v>
          </cell>
          <cell r="F544" t="str">
            <v>not identified</v>
          </cell>
          <cell r="G544" t="str">
            <v>not identified</v>
          </cell>
          <cell r="H544" t="str">
            <v>not identified</v>
          </cell>
        </row>
        <row r="545">
          <cell r="D545">
            <v>662006</v>
          </cell>
          <cell r="E545" t="str">
            <v>Season Ticket Loan</v>
          </cell>
          <cell r="F545" t="str">
            <v>not identified</v>
          </cell>
          <cell r="G545" t="str">
            <v>not identified</v>
          </cell>
          <cell r="H545" t="str">
            <v>not identified</v>
          </cell>
        </row>
        <row r="546">
          <cell r="D546">
            <v>663001</v>
          </cell>
          <cell r="E546" t="str">
            <v>Finance lease receivable - current - Ashford</v>
          </cell>
          <cell r="F546" t="str">
            <v>not identified</v>
          </cell>
          <cell r="G546" t="str">
            <v>not identified</v>
          </cell>
          <cell r="H546" t="str">
            <v>not identified</v>
          </cell>
        </row>
        <row r="547">
          <cell r="D547">
            <v>664001</v>
          </cell>
          <cell r="E547" t="str">
            <v>VAT Input - UK</v>
          </cell>
          <cell r="F547" t="str">
            <v>not identified</v>
          </cell>
          <cell r="G547" t="str">
            <v>not identified</v>
          </cell>
          <cell r="H547" t="str">
            <v>not identified</v>
          </cell>
        </row>
        <row r="548">
          <cell r="D548">
            <v>664002</v>
          </cell>
          <cell r="E548" t="str">
            <v>VAT Output - UK</v>
          </cell>
          <cell r="F548" t="str">
            <v>not identified</v>
          </cell>
          <cell r="G548" t="str">
            <v>not identified</v>
          </cell>
          <cell r="H548" t="str">
            <v>not identified</v>
          </cell>
        </row>
        <row r="549">
          <cell r="D549">
            <v>664004</v>
          </cell>
          <cell r="E549" t="str">
            <v>VAT Output - OASSIS</v>
          </cell>
          <cell r="F549" t="str">
            <v>not identified</v>
          </cell>
          <cell r="G549" t="str">
            <v>not identified</v>
          </cell>
          <cell r="H549" t="str">
            <v>not identified</v>
          </cell>
        </row>
        <row r="550">
          <cell r="D550">
            <v>664005</v>
          </cell>
          <cell r="E550" t="str">
            <v>VAT Control - UK</v>
          </cell>
          <cell r="F550" t="str">
            <v>not identified</v>
          </cell>
          <cell r="G550" t="str">
            <v>not identified</v>
          </cell>
          <cell r="H550" t="str">
            <v>not identified</v>
          </cell>
        </row>
        <row r="551">
          <cell r="D551">
            <v>664011</v>
          </cell>
          <cell r="E551" t="str">
            <v>TVA Input (invoiced) - France</v>
          </cell>
          <cell r="F551" t="str">
            <v>not identified</v>
          </cell>
          <cell r="G551" t="str">
            <v>not identified</v>
          </cell>
          <cell r="H551" t="str">
            <v>not identified</v>
          </cell>
        </row>
        <row r="552">
          <cell r="D552">
            <v>664012</v>
          </cell>
          <cell r="E552" t="str">
            <v>TVA Input (paid) - France</v>
          </cell>
          <cell r="F552" t="str">
            <v>not identified</v>
          </cell>
          <cell r="G552" t="str">
            <v>not identified</v>
          </cell>
          <cell r="H552" t="str">
            <v>not identified</v>
          </cell>
        </row>
        <row r="553">
          <cell r="D553">
            <v>664014</v>
          </cell>
          <cell r="E553" t="str">
            <v>TVA Output (received) - France</v>
          </cell>
          <cell r="F553" t="str">
            <v>not identified</v>
          </cell>
          <cell r="G553" t="str">
            <v>not identified</v>
          </cell>
          <cell r="H553" t="str">
            <v>not identified</v>
          </cell>
        </row>
        <row r="554">
          <cell r="D554">
            <v>664015</v>
          </cell>
          <cell r="E554" t="str">
            <v>TVA Control - France</v>
          </cell>
          <cell r="F554" t="str">
            <v>not identified</v>
          </cell>
          <cell r="G554" t="str">
            <v>not identified</v>
          </cell>
          <cell r="H554" t="str">
            <v>not identified</v>
          </cell>
        </row>
        <row r="555">
          <cell r="D555">
            <v>664021</v>
          </cell>
          <cell r="E555" t="str">
            <v>TVA Input - Belgium</v>
          </cell>
          <cell r="F555" t="str">
            <v>not identified</v>
          </cell>
          <cell r="G555" t="str">
            <v>not identified</v>
          </cell>
          <cell r="H555" t="str">
            <v>not identified</v>
          </cell>
        </row>
        <row r="556">
          <cell r="D556">
            <v>664022</v>
          </cell>
          <cell r="E556" t="str">
            <v>TVA Output - Belgium</v>
          </cell>
          <cell r="F556" t="str">
            <v>not identified</v>
          </cell>
          <cell r="G556" t="str">
            <v>not identified</v>
          </cell>
          <cell r="H556" t="str">
            <v>not identified</v>
          </cell>
        </row>
        <row r="557">
          <cell r="D557">
            <v>664025</v>
          </cell>
          <cell r="E557" t="str">
            <v>TVA Control - Belgium</v>
          </cell>
          <cell r="F557" t="str">
            <v>not identified</v>
          </cell>
          <cell r="G557" t="str">
            <v>not identified</v>
          </cell>
          <cell r="H557" t="str">
            <v>not identified</v>
          </cell>
        </row>
        <row r="558">
          <cell r="D558">
            <v>664101</v>
          </cell>
          <cell r="E558" t="str">
            <v>UK VAT non recoverable/zero input tax</v>
          </cell>
          <cell r="F558" t="str">
            <v>not identified</v>
          </cell>
          <cell r="G558" t="str">
            <v>not identified</v>
          </cell>
          <cell r="H558" t="str">
            <v>not identified</v>
          </cell>
        </row>
        <row r="559">
          <cell r="D559">
            <v>664102</v>
          </cell>
          <cell r="E559" t="str">
            <v>FR TVA non recoverable/zero input tax</v>
          </cell>
          <cell r="F559" t="str">
            <v>not identified</v>
          </cell>
          <cell r="G559" t="str">
            <v>not identified</v>
          </cell>
          <cell r="H559" t="str">
            <v>not identified</v>
          </cell>
        </row>
        <row r="560">
          <cell r="D560">
            <v>664103</v>
          </cell>
          <cell r="E560" t="str">
            <v>BE TVA non recoverable/zero input tax</v>
          </cell>
          <cell r="F560" t="str">
            <v>not identified</v>
          </cell>
          <cell r="G560" t="str">
            <v>not identified</v>
          </cell>
          <cell r="H560" t="str">
            <v>not identified</v>
          </cell>
        </row>
        <row r="561">
          <cell r="D561">
            <v>664201</v>
          </cell>
          <cell r="E561" t="str">
            <v>UK reverse charge</v>
          </cell>
          <cell r="F561" t="str">
            <v>not identified</v>
          </cell>
          <cell r="G561" t="str">
            <v>not identified</v>
          </cell>
          <cell r="H561" t="str">
            <v>not identified</v>
          </cell>
        </row>
        <row r="562">
          <cell r="D562">
            <v>664202</v>
          </cell>
          <cell r="E562" t="str">
            <v>UK offset VAT</v>
          </cell>
          <cell r="F562" t="str">
            <v>not identified</v>
          </cell>
          <cell r="G562" t="str">
            <v>not identified</v>
          </cell>
          <cell r="H562" t="str">
            <v>not identified</v>
          </cell>
        </row>
        <row r="563">
          <cell r="D563">
            <v>664211</v>
          </cell>
          <cell r="E563" t="str">
            <v>FR reverse charge</v>
          </cell>
          <cell r="F563" t="str">
            <v>not identified</v>
          </cell>
          <cell r="G563" t="str">
            <v>not identified</v>
          </cell>
          <cell r="H563" t="str">
            <v>not identified</v>
          </cell>
        </row>
        <row r="564">
          <cell r="D564">
            <v>664212</v>
          </cell>
          <cell r="E564" t="str">
            <v>FR offset VAT</v>
          </cell>
          <cell r="F564" t="str">
            <v>not identified</v>
          </cell>
          <cell r="G564" t="str">
            <v>not identified</v>
          </cell>
          <cell r="H564" t="str">
            <v>not identified</v>
          </cell>
        </row>
        <row r="565">
          <cell r="D565">
            <v>664221</v>
          </cell>
          <cell r="E565" t="str">
            <v>BE reverse charge</v>
          </cell>
          <cell r="F565" t="str">
            <v>not identified</v>
          </cell>
          <cell r="G565" t="str">
            <v>not identified</v>
          </cell>
          <cell r="H565" t="str">
            <v>not identified</v>
          </cell>
        </row>
        <row r="566">
          <cell r="D566">
            <v>664222</v>
          </cell>
          <cell r="E566" t="str">
            <v>BE offset VAT</v>
          </cell>
          <cell r="F566" t="str">
            <v>not identified</v>
          </cell>
          <cell r="G566" t="str">
            <v>not identified</v>
          </cell>
          <cell r="H566" t="str">
            <v>not identified</v>
          </cell>
        </row>
        <row r="567">
          <cell r="D567">
            <v>681001</v>
          </cell>
          <cell r="E567" t="str">
            <v>Forward FX Contract Fair Value - asset</v>
          </cell>
          <cell r="F567" t="str">
            <v>not identified</v>
          </cell>
          <cell r="G567" t="str">
            <v>not identified</v>
          </cell>
          <cell r="H567" t="str">
            <v>not identified</v>
          </cell>
        </row>
        <row r="568">
          <cell r="D568">
            <v>690001</v>
          </cell>
          <cell r="E568" t="str">
            <v>RBS - GBP - 20077400</v>
          </cell>
          <cell r="F568" t="str">
            <v>not identified</v>
          </cell>
          <cell r="G568" t="str">
            <v>not identified</v>
          </cell>
          <cell r="H568" t="str">
            <v>not identified</v>
          </cell>
        </row>
        <row r="569">
          <cell r="D569">
            <v>690002</v>
          </cell>
          <cell r="E569" t="str">
            <v>RBS - GBP - 20077419</v>
          </cell>
          <cell r="F569" t="str">
            <v>not identified</v>
          </cell>
          <cell r="G569" t="str">
            <v>not identified</v>
          </cell>
          <cell r="H569" t="str">
            <v>not identified</v>
          </cell>
        </row>
        <row r="570">
          <cell r="D570">
            <v>690003</v>
          </cell>
          <cell r="E570" t="str">
            <v>RBS - GBP - 20077435</v>
          </cell>
          <cell r="F570" t="str">
            <v>not identified</v>
          </cell>
          <cell r="G570" t="str">
            <v>not identified</v>
          </cell>
          <cell r="H570" t="str">
            <v>not identified</v>
          </cell>
        </row>
        <row r="571">
          <cell r="D571">
            <v>690004</v>
          </cell>
          <cell r="E571" t="str">
            <v>RBS - GBP - 20091713</v>
          </cell>
          <cell r="F571" t="str">
            <v>not identified</v>
          </cell>
          <cell r="G571" t="str">
            <v>not identified</v>
          </cell>
          <cell r="H571" t="str">
            <v>not identified</v>
          </cell>
        </row>
        <row r="572">
          <cell r="D572">
            <v>690005</v>
          </cell>
          <cell r="E572" t="str">
            <v>RBS - GBP - 31330310</v>
          </cell>
          <cell r="F572" t="str">
            <v>not identified</v>
          </cell>
          <cell r="G572" t="str">
            <v>not identified</v>
          </cell>
          <cell r="H572" t="str">
            <v>not identified</v>
          </cell>
        </row>
        <row r="573">
          <cell r="D573">
            <v>690006</v>
          </cell>
          <cell r="E573" t="str">
            <v>RBS - EUR - EUPASE-EECA</v>
          </cell>
          <cell r="F573" t="str">
            <v>not identified</v>
          </cell>
          <cell r="G573" t="str">
            <v>not identified</v>
          </cell>
          <cell r="H573" t="str">
            <v>not identified</v>
          </cell>
        </row>
        <row r="574">
          <cell r="D574">
            <v>690007</v>
          </cell>
          <cell r="E574" t="str">
            <v>RBS - USD - EUPASE-USD12</v>
          </cell>
          <cell r="F574" t="str">
            <v>not identified</v>
          </cell>
          <cell r="G574" t="str">
            <v>not identified</v>
          </cell>
          <cell r="H574" t="str">
            <v>not identified</v>
          </cell>
        </row>
        <row r="575">
          <cell r="D575">
            <v>690008</v>
          </cell>
          <cell r="E575" t="str">
            <v>RBS  - GBP ¿ 31346934</v>
          </cell>
          <cell r="F575" t="str">
            <v>not identified</v>
          </cell>
          <cell r="G575" t="str">
            <v>not identified</v>
          </cell>
          <cell r="H575" t="str">
            <v>not identified</v>
          </cell>
        </row>
        <row r="576">
          <cell r="D576">
            <v>690021</v>
          </cell>
          <cell r="E576" t="str">
            <v>Barc - EUR - FR76¿ 3018 671</v>
          </cell>
          <cell r="F576" t="str">
            <v>not identified</v>
          </cell>
          <cell r="G576" t="str">
            <v>not identified</v>
          </cell>
          <cell r="H576" t="str">
            <v>not identified</v>
          </cell>
        </row>
        <row r="577">
          <cell r="D577">
            <v>690031</v>
          </cell>
          <cell r="E577" t="str">
            <v>CrAg - EUR - 60300264024</v>
          </cell>
          <cell r="F577" t="str">
            <v>not identified</v>
          </cell>
          <cell r="G577" t="str">
            <v>not identified</v>
          </cell>
          <cell r="H577" t="str">
            <v>not identified</v>
          </cell>
        </row>
        <row r="578">
          <cell r="D578">
            <v>690041</v>
          </cell>
          <cell r="E578" t="str">
            <v>ING - EUR - 310-0962205-51</v>
          </cell>
          <cell r="F578" t="str">
            <v>not identified</v>
          </cell>
          <cell r="G578" t="str">
            <v>not identified</v>
          </cell>
          <cell r="H578" t="str">
            <v>not identified</v>
          </cell>
        </row>
        <row r="579">
          <cell r="D579">
            <v>690042</v>
          </cell>
          <cell r="E579" t="str">
            <v>ING - GBP - 310-0962205-51</v>
          </cell>
          <cell r="F579" t="str">
            <v>not identified</v>
          </cell>
          <cell r="G579" t="str">
            <v>not identified</v>
          </cell>
          <cell r="H579" t="str">
            <v>not identified</v>
          </cell>
        </row>
        <row r="580">
          <cell r="D580">
            <v>690051</v>
          </cell>
          <cell r="E580" t="str">
            <v>CrAg Nord ¿ EUR ¿ 53925630205</v>
          </cell>
          <cell r="F580" t="str">
            <v>not identified</v>
          </cell>
          <cell r="G580" t="str">
            <v>not identified</v>
          </cell>
          <cell r="H580" t="str">
            <v>not identified</v>
          </cell>
        </row>
        <row r="581">
          <cell r="D581">
            <v>690201</v>
          </cell>
          <cell r="E581" t="str">
            <v>Barc - EUR - FR76...0010 120</v>
          </cell>
          <cell r="F581" t="str">
            <v>not identified</v>
          </cell>
          <cell r="G581" t="str">
            <v>not identified</v>
          </cell>
          <cell r="H581" t="str">
            <v>not identified</v>
          </cell>
        </row>
        <row r="582">
          <cell r="D582">
            <v>690301</v>
          </cell>
          <cell r="E582" t="str">
            <v>ING - EUR - 363-0661855-64</v>
          </cell>
          <cell r="F582" t="str">
            <v>not identified</v>
          </cell>
          <cell r="G582" t="str">
            <v>not identified</v>
          </cell>
          <cell r="H582" t="str">
            <v>not identified</v>
          </cell>
        </row>
        <row r="583">
          <cell r="D583">
            <v>691001</v>
          </cell>
          <cell r="E583" t="str">
            <v>Deposit - GBP</v>
          </cell>
          <cell r="F583" t="str">
            <v>not identified</v>
          </cell>
          <cell r="G583" t="str">
            <v>not identified</v>
          </cell>
          <cell r="H583" t="str">
            <v>not identified</v>
          </cell>
        </row>
        <row r="584">
          <cell r="D584">
            <v>691002</v>
          </cell>
          <cell r="E584" t="str">
            <v>Deposit - EUR</v>
          </cell>
          <cell r="F584" t="str">
            <v>not identified</v>
          </cell>
          <cell r="G584" t="str">
            <v>not identified</v>
          </cell>
          <cell r="H584" t="str">
            <v>not identified</v>
          </cell>
        </row>
        <row r="585">
          <cell r="D585">
            <v>691003</v>
          </cell>
          <cell r="E585" t="str">
            <v>Deposit - USD</v>
          </cell>
          <cell r="F585" t="str">
            <v>not identified</v>
          </cell>
          <cell r="G585" t="str">
            <v>not identified</v>
          </cell>
          <cell r="H585" t="str">
            <v>not identified</v>
          </cell>
        </row>
        <row r="586">
          <cell r="D586">
            <v>692001</v>
          </cell>
          <cell r="E586" t="str">
            <v>RBS Money Market deposits - GBP</v>
          </cell>
          <cell r="F586" t="str">
            <v>not identified</v>
          </cell>
          <cell r="G586" t="str">
            <v>not identified</v>
          </cell>
          <cell r="H586" t="str">
            <v>not identified</v>
          </cell>
        </row>
        <row r="587">
          <cell r="D587">
            <v>692002</v>
          </cell>
          <cell r="E587" t="str">
            <v>RBS Money Market deposits - EUR</v>
          </cell>
          <cell r="F587" t="str">
            <v>not identified</v>
          </cell>
          <cell r="G587" t="str">
            <v>not identified</v>
          </cell>
          <cell r="H587" t="str">
            <v>not identified</v>
          </cell>
        </row>
        <row r="588">
          <cell r="D588">
            <v>692011</v>
          </cell>
          <cell r="E588" t="str">
            <v>DB Money Market deposits - GBP</v>
          </cell>
          <cell r="F588" t="str">
            <v>not identified</v>
          </cell>
          <cell r="G588" t="str">
            <v>not identified</v>
          </cell>
          <cell r="H588" t="str">
            <v>not identified</v>
          </cell>
        </row>
        <row r="589">
          <cell r="D589">
            <v>692012</v>
          </cell>
          <cell r="E589" t="str">
            <v>DB Money Market deposits - EUR</v>
          </cell>
          <cell r="F589" t="str">
            <v>not identified</v>
          </cell>
          <cell r="G589" t="str">
            <v>not identified</v>
          </cell>
          <cell r="H589" t="str">
            <v>not identified</v>
          </cell>
        </row>
        <row r="590">
          <cell r="D590">
            <v>692021</v>
          </cell>
          <cell r="E590" t="str">
            <v>Amundi Money Market deposits - GBP</v>
          </cell>
          <cell r="F590" t="str">
            <v>not identified</v>
          </cell>
          <cell r="G590" t="str">
            <v>not identified</v>
          </cell>
          <cell r="H590" t="str">
            <v>not identified</v>
          </cell>
        </row>
        <row r="591">
          <cell r="D591">
            <v>693001</v>
          </cell>
          <cell r="E591" t="str">
            <v>Floats - GBP</v>
          </cell>
          <cell r="F591" t="str">
            <v>not identified</v>
          </cell>
          <cell r="G591" t="str">
            <v>not identified</v>
          </cell>
          <cell r="H591" t="str">
            <v>not identified</v>
          </cell>
        </row>
        <row r="592">
          <cell r="D592">
            <v>693002</v>
          </cell>
          <cell r="E592" t="str">
            <v>Floats - EUR</v>
          </cell>
          <cell r="F592" t="str">
            <v>not identified</v>
          </cell>
          <cell r="G592" t="str">
            <v>not identified</v>
          </cell>
          <cell r="H592" t="str">
            <v>not identified</v>
          </cell>
        </row>
        <row r="593">
          <cell r="D593">
            <v>694001</v>
          </cell>
          <cell r="E593" t="str">
            <v>PayPal - GBP</v>
          </cell>
          <cell r="F593" t="str">
            <v>not identified</v>
          </cell>
          <cell r="G593" t="str">
            <v>not identified</v>
          </cell>
          <cell r="H593" t="str">
            <v>not identified</v>
          </cell>
        </row>
        <row r="594">
          <cell r="D594">
            <v>694002</v>
          </cell>
          <cell r="E594" t="str">
            <v>PayPal - EUR</v>
          </cell>
          <cell r="F594" t="str">
            <v>not identified</v>
          </cell>
          <cell r="G594" t="str">
            <v>not identified</v>
          </cell>
          <cell r="H594" t="str">
            <v>not identified</v>
          </cell>
        </row>
        <row r="595">
          <cell r="D595">
            <v>694003</v>
          </cell>
          <cell r="E595" t="str">
            <v>PayPal - USD</v>
          </cell>
          <cell r="F595" t="str">
            <v>not identified</v>
          </cell>
          <cell r="G595" t="str">
            <v>not identified</v>
          </cell>
          <cell r="H595" t="str">
            <v>not identified</v>
          </cell>
        </row>
        <row r="596">
          <cell r="D596">
            <v>700102</v>
          </cell>
          <cell r="E596" t="str">
            <v>Bank Loans within 1 yr - EUR - professional fees</v>
          </cell>
          <cell r="F596" t="str">
            <v>not identified</v>
          </cell>
          <cell r="G596" t="str">
            <v>not identified</v>
          </cell>
          <cell r="H596" t="str">
            <v>not identified</v>
          </cell>
        </row>
        <row r="597">
          <cell r="D597">
            <v>705001</v>
          </cell>
          <cell r="E597" t="str">
            <v>Finance Lease Obligation within 1yr - SNCF trainsets</v>
          </cell>
          <cell r="F597" t="str">
            <v>not identified</v>
          </cell>
          <cell r="G597" t="str">
            <v>not identified</v>
          </cell>
          <cell r="H597" t="str">
            <v>not identified</v>
          </cell>
        </row>
        <row r="598">
          <cell r="D598">
            <v>705002</v>
          </cell>
          <cell r="E598" t="str">
            <v>Finance Lease Obligation within 1yr - Ashford</v>
          </cell>
          <cell r="F598" t="str">
            <v>not identified</v>
          </cell>
          <cell r="G598" t="str">
            <v>not identified</v>
          </cell>
          <cell r="H598" t="str">
            <v>not identified</v>
          </cell>
        </row>
        <row r="599">
          <cell r="D599">
            <v>710001</v>
          </cell>
          <cell r="E599" t="str">
            <v>Trade Payables due to Parent - SNCF</v>
          </cell>
          <cell r="F599" t="str">
            <v>not identified</v>
          </cell>
          <cell r="G599" t="str">
            <v>not identified</v>
          </cell>
          <cell r="H599" t="str">
            <v>not identified</v>
          </cell>
        </row>
        <row r="600">
          <cell r="D600">
            <v>710003</v>
          </cell>
          <cell r="E600" t="str">
            <v>Ticket sales payable - SNCF EUR</v>
          </cell>
          <cell r="F600" t="str">
            <v>not identified</v>
          </cell>
          <cell r="G600" t="str">
            <v>not identified</v>
          </cell>
          <cell r="H600" t="str">
            <v>not identified</v>
          </cell>
        </row>
        <row r="601">
          <cell r="D601">
            <v>710004</v>
          </cell>
          <cell r="E601" t="str">
            <v>Ticket sales payable - SNCF GBP</v>
          </cell>
          <cell r="F601" t="str">
            <v>not identified</v>
          </cell>
          <cell r="G601" t="str">
            <v>not identified</v>
          </cell>
          <cell r="H601" t="str">
            <v>not identified</v>
          </cell>
        </row>
        <row r="602">
          <cell r="D602">
            <v>710005</v>
          </cell>
          <cell r="E602" t="str">
            <v>Ticket sales payable - SNCF USD</v>
          </cell>
          <cell r="F602" t="str">
            <v>not identified</v>
          </cell>
          <cell r="G602" t="str">
            <v>not identified</v>
          </cell>
          <cell r="H602" t="str">
            <v>not identified</v>
          </cell>
        </row>
        <row r="603">
          <cell r="D603">
            <v>720001</v>
          </cell>
          <cell r="E603" t="str">
            <v>Trade Payables Control - suppliers</v>
          </cell>
          <cell r="F603" t="str">
            <v>not identified</v>
          </cell>
          <cell r="G603" t="str">
            <v>not identified</v>
          </cell>
          <cell r="H603" t="str">
            <v>not identified</v>
          </cell>
        </row>
        <row r="604">
          <cell r="D604">
            <v>720003</v>
          </cell>
          <cell r="E604" t="str">
            <v>Trade Payables Control - expenses</v>
          </cell>
          <cell r="F604" t="str">
            <v>not identified</v>
          </cell>
          <cell r="G604" t="str">
            <v>not identified</v>
          </cell>
          <cell r="H604" t="str">
            <v>not identified</v>
          </cell>
        </row>
        <row r="605">
          <cell r="D605">
            <v>720004</v>
          </cell>
          <cell r="E605" t="str">
            <v>Trade Payables Control - expenses clearing</v>
          </cell>
          <cell r="F605" t="str">
            <v>not identified</v>
          </cell>
          <cell r="G605" t="str">
            <v>not identified</v>
          </cell>
          <cell r="H605" t="str">
            <v>not identified</v>
          </cell>
        </row>
        <row r="606">
          <cell r="D606">
            <v>720005</v>
          </cell>
          <cell r="E606" t="str">
            <v>Trade Payables Control - expenses clearing Barclaycard GBP</v>
          </cell>
          <cell r="F606" t="str">
            <v>not identified</v>
          </cell>
          <cell r="G606" t="str">
            <v>not identified</v>
          </cell>
          <cell r="H606" t="str">
            <v>not identified</v>
          </cell>
        </row>
        <row r="607">
          <cell r="D607">
            <v>720999</v>
          </cell>
          <cell r="E607" t="str">
            <v>AP migration</v>
          </cell>
          <cell r="F607" t="str">
            <v>not identified</v>
          </cell>
          <cell r="G607" t="str">
            <v>not identified</v>
          </cell>
          <cell r="H607" t="str">
            <v>not identified</v>
          </cell>
        </row>
        <row r="608">
          <cell r="D608">
            <v>721001</v>
          </cell>
          <cell r="E608" t="str">
            <v>Intercompany Trade Payables - EGL</v>
          </cell>
          <cell r="F608" t="str">
            <v>not identified</v>
          </cell>
          <cell r="G608" t="str">
            <v>not identified</v>
          </cell>
          <cell r="H608" t="str">
            <v>not identified</v>
          </cell>
        </row>
        <row r="609">
          <cell r="D609">
            <v>721003</v>
          </cell>
          <cell r="E609" t="str">
            <v>Intercompany Trade Payables - EISAS</v>
          </cell>
          <cell r="F609" t="str">
            <v>not identified</v>
          </cell>
          <cell r="G609" t="str">
            <v>not identified</v>
          </cell>
          <cell r="H609" t="str">
            <v>not identified</v>
          </cell>
        </row>
        <row r="610">
          <cell r="D610">
            <v>721004</v>
          </cell>
          <cell r="E610" t="str">
            <v>Intercompany Trade Payables - EISPRL</v>
          </cell>
          <cell r="F610" t="str">
            <v>not identified</v>
          </cell>
          <cell r="G610" t="str">
            <v>not identified</v>
          </cell>
          <cell r="H610" t="str">
            <v>not identified</v>
          </cell>
        </row>
        <row r="611">
          <cell r="D611">
            <v>721005</v>
          </cell>
          <cell r="E611" t="str">
            <v>Intercompany Trade Payables - EIL</v>
          </cell>
          <cell r="F611" t="str">
            <v>not identified</v>
          </cell>
          <cell r="G611" t="str">
            <v>not identified</v>
          </cell>
          <cell r="H611" t="str">
            <v>not identified</v>
          </cell>
        </row>
        <row r="612">
          <cell r="D612">
            <v>721006</v>
          </cell>
          <cell r="E612" t="str">
            <v>Intercompany Trade Payables - EEL</v>
          </cell>
          <cell r="F612" t="str">
            <v>not identified</v>
          </cell>
          <cell r="G612" t="str">
            <v>not identified</v>
          </cell>
          <cell r="H612" t="str">
            <v>not identified</v>
          </cell>
        </row>
        <row r="613">
          <cell r="D613">
            <v>723001</v>
          </cell>
          <cell r="E613" t="str">
            <v>Rental Deposits Received</v>
          </cell>
          <cell r="F613" t="str">
            <v>not identified</v>
          </cell>
          <cell r="G613" t="str">
            <v>not identified</v>
          </cell>
          <cell r="H613" t="str">
            <v>not identified</v>
          </cell>
        </row>
        <row r="614">
          <cell r="D614">
            <v>724001</v>
          </cell>
          <cell r="E614" t="str">
            <v>Preference Share Interest Payable</v>
          </cell>
          <cell r="F614" t="str">
            <v>not identified</v>
          </cell>
          <cell r="G614" t="str">
            <v>not identified</v>
          </cell>
          <cell r="H614" t="str">
            <v>not identified</v>
          </cell>
        </row>
        <row r="615">
          <cell r="D615">
            <v>730001</v>
          </cell>
          <cell r="E615" t="str">
            <v>Accruals - manual (reversing)</v>
          </cell>
          <cell r="F615" t="str">
            <v>not identified</v>
          </cell>
          <cell r="G615" t="str">
            <v>not identified</v>
          </cell>
          <cell r="H615" t="str">
            <v>not identified</v>
          </cell>
        </row>
        <row r="616">
          <cell r="D616">
            <v>730002</v>
          </cell>
          <cell r="E616" t="str">
            <v>Accruals - manual (non-reversing)</v>
          </cell>
          <cell r="F616" t="str">
            <v>not identified</v>
          </cell>
          <cell r="G616" t="str">
            <v>not identified</v>
          </cell>
          <cell r="H616" t="str">
            <v>not identified</v>
          </cell>
        </row>
        <row r="617">
          <cell r="D617">
            <v>730003</v>
          </cell>
          <cell r="E617" t="str">
            <v>Accruals - GRNI</v>
          </cell>
          <cell r="F617" t="str">
            <v>not identified</v>
          </cell>
          <cell r="G617" t="str">
            <v>not identified</v>
          </cell>
          <cell r="H617" t="str">
            <v>not identified</v>
          </cell>
        </row>
        <row r="618">
          <cell r="D618">
            <v>730004</v>
          </cell>
          <cell r="E618" t="str">
            <v>Accruals - repair costs</v>
          </cell>
          <cell r="F618" t="str">
            <v>not identified</v>
          </cell>
          <cell r="G618" t="str">
            <v>not identified</v>
          </cell>
          <cell r="H618" t="str">
            <v>not identified</v>
          </cell>
        </row>
        <row r="619">
          <cell r="D619">
            <v>730006</v>
          </cell>
          <cell r="E619" t="str">
            <v>Accruals - interest payable</v>
          </cell>
          <cell r="F619" t="str">
            <v>not identified</v>
          </cell>
          <cell r="G619" t="str">
            <v>not identified</v>
          </cell>
          <cell r="H619" t="str">
            <v>not identified</v>
          </cell>
        </row>
        <row r="620">
          <cell r="D620">
            <v>730098</v>
          </cell>
          <cell r="E620" t="str">
            <v>Mapping</v>
          </cell>
          <cell r="F620" t="str">
            <v>not identified</v>
          </cell>
          <cell r="G620" t="str">
            <v>not identified</v>
          </cell>
          <cell r="H620" t="str">
            <v>not identified</v>
          </cell>
        </row>
        <row r="621">
          <cell r="D621">
            <v>730099</v>
          </cell>
          <cell r="E621" t="str">
            <v>GL migration</v>
          </cell>
          <cell r="F621" t="str">
            <v>not identified</v>
          </cell>
          <cell r="G621" t="str">
            <v>not identified</v>
          </cell>
          <cell r="H621" t="str">
            <v>not identified</v>
          </cell>
        </row>
        <row r="622">
          <cell r="D622">
            <v>731001</v>
          </cell>
          <cell r="E622" t="str">
            <v>Deferred Revenue - sales</v>
          </cell>
          <cell r="F622" t="str">
            <v>not identified</v>
          </cell>
          <cell r="G622" t="str">
            <v>not identified</v>
          </cell>
          <cell r="H622" t="str">
            <v>not identified</v>
          </cell>
        </row>
        <row r="623">
          <cell r="D623">
            <v>731002</v>
          </cell>
          <cell r="E623" t="str">
            <v>Deferred Revenue - no shows</v>
          </cell>
          <cell r="F623" t="str">
            <v>not identified</v>
          </cell>
          <cell r="G623" t="str">
            <v>not identified</v>
          </cell>
          <cell r="H623" t="str">
            <v>not identified</v>
          </cell>
        </row>
        <row r="624">
          <cell r="D624">
            <v>731003</v>
          </cell>
          <cell r="E624" t="str">
            <v>Deferred Revenue ¿ Group Deposits Held</v>
          </cell>
          <cell r="F624" t="str">
            <v>not identified</v>
          </cell>
          <cell r="G624" t="str">
            <v>not identified</v>
          </cell>
          <cell r="H624" t="str">
            <v>not identified</v>
          </cell>
        </row>
        <row r="625">
          <cell r="D625">
            <v>731100</v>
          </cell>
          <cell r="E625" t="str">
            <v>Deferred Revenue - gift vouchers</v>
          </cell>
          <cell r="F625" t="str">
            <v>not identified</v>
          </cell>
          <cell r="G625" t="str">
            <v>not identified</v>
          </cell>
          <cell r="H625" t="str">
            <v>not identified</v>
          </cell>
        </row>
        <row r="626">
          <cell r="D626">
            <v>731201</v>
          </cell>
          <cell r="E626" t="str">
            <v>Deferred revenue ¿ Comp eVoucher GBP</v>
          </cell>
          <cell r="F626" t="str">
            <v>not identified</v>
          </cell>
          <cell r="G626" t="str">
            <v>not identified</v>
          </cell>
          <cell r="H626" t="str">
            <v>not identified</v>
          </cell>
        </row>
        <row r="627">
          <cell r="D627">
            <v>731202</v>
          </cell>
          <cell r="E627" t="str">
            <v>Deferred revenue ¿ Comp eVoucher EUR</v>
          </cell>
          <cell r="F627" t="str">
            <v>not identified</v>
          </cell>
          <cell r="G627" t="str">
            <v>not identified</v>
          </cell>
          <cell r="H627" t="str">
            <v>not identified</v>
          </cell>
        </row>
        <row r="628">
          <cell r="D628">
            <v>731203</v>
          </cell>
          <cell r="E628" t="str">
            <v>Deferred revenue ¿ Comp eVoucher USD</v>
          </cell>
          <cell r="F628" t="str">
            <v>not identified</v>
          </cell>
          <cell r="G628" t="str">
            <v>not identified</v>
          </cell>
          <cell r="H628" t="str">
            <v>not identified</v>
          </cell>
        </row>
        <row r="629">
          <cell r="D629">
            <v>731301</v>
          </cell>
          <cell r="E629" t="str">
            <v>Deferred revenue ¿ eNovation tokens issued</v>
          </cell>
          <cell r="F629" t="str">
            <v>not identified</v>
          </cell>
          <cell r="G629" t="str">
            <v>not identified</v>
          </cell>
          <cell r="H629" t="str">
            <v>not identified</v>
          </cell>
        </row>
        <row r="630">
          <cell r="D630">
            <v>731302</v>
          </cell>
          <cell r="E630" t="str">
            <v>Deferred revenue  - eNovation bookings</v>
          </cell>
          <cell r="F630" t="str">
            <v>not identified</v>
          </cell>
          <cell r="G630" t="str">
            <v>not identified</v>
          </cell>
          <cell r="H630" t="str">
            <v>not identified</v>
          </cell>
        </row>
        <row r="631">
          <cell r="D631">
            <v>732001</v>
          </cell>
          <cell r="E631" t="str">
            <v>Deferred Revenue - EFT</v>
          </cell>
          <cell r="F631" t="str">
            <v>not identified</v>
          </cell>
          <cell r="G631" t="str">
            <v>not identified</v>
          </cell>
          <cell r="H631" t="str">
            <v>not identified</v>
          </cell>
        </row>
        <row r="632">
          <cell r="D632">
            <v>732003</v>
          </cell>
          <cell r="E632" t="str">
            <v>Deferred Revenue - EPP Vouchers GBP</v>
          </cell>
          <cell r="F632" t="str">
            <v>not identified</v>
          </cell>
          <cell r="G632" t="str">
            <v>not identified</v>
          </cell>
          <cell r="H632" t="str">
            <v>not identified</v>
          </cell>
        </row>
        <row r="633">
          <cell r="D633">
            <v>732004</v>
          </cell>
          <cell r="E633" t="str">
            <v>Deferred Revenue - EPP Vouchers EUR</v>
          </cell>
          <cell r="F633" t="str">
            <v>not identified</v>
          </cell>
          <cell r="G633" t="str">
            <v>not identified</v>
          </cell>
          <cell r="H633" t="str">
            <v>not identified</v>
          </cell>
        </row>
        <row r="634">
          <cell r="D634">
            <v>733001</v>
          </cell>
          <cell r="E634" t="str">
            <v>Deferred Revenue - deferred maintenance</v>
          </cell>
          <cell r="F634" t="str">
            <v>not identified</v>
          </cell>
          <cell r="G634" t="str">
            <v>not identified</v>
          </cell>
          <cell r="H634" t="str">
            <v>not identified</v>
          </cell>
        </row>
        <row r="635">
          <cell r="D635">
            <v>733002</v>
          </cell>
          <cell r="E635" t="str">
            <v>Deferred Revenue - rental</v>
          </cell>
          <cell r="F635" t="str">
            <v>not identified</v>
          </cell>
          <cell r="G635" t="str">
            <v>not identified</v>
          </cell>
          <cell r="H635" t="str">
            <v>not identified</v>
          </cell>
        </row>
        <row r="636">
          <cell r="D636">
            <v>733003</v>
          </cell>
          <cell r="E636" t="str">
            <v>Deferred Revenue - AR system control</v>
          </cell>
          <cell r="F636" t="str">
            <v>not identified</v>
          </cell>
          <cell r="G636" t="str">
            <v>not identified</v>
          </cell>
          <cell r="H636" t="str">
            <v>not identified</v>
          </cell>
        </row>
        <row r="637">
          <cell r="D637">
            <v>740001</v>
          </cell>
          <cell r="E637" t="str">
            <v>Provisions - compensation - b/f</v>
          </cell>
          <cell r="F637" t="str">
            <v>not identified</v>
          </cell>
          <cell r="G637" t="str">
            <v>not identified</v>
          </cell>
          <cell r="H637" t="str">
            <v>not identified</v>
          </cell>
        </row>
        <row r="638">
          <cell r="D638">
            <v>740002</v>
          </cell>
          <cell r="E638" t="str">
            <v>Provisions - compensation - addition in year</v>
          </cell>
          <cell r="F638" t="str">
            <v>not identified</v>
          </cell>
          <cell r="G638" t="str">
            <v>not identified</v>
          </cell>
          <cell r="H638" t="str">
            <v>not identified</v>
          </cell>
        </row>
        <row r="639">
          <cell r="D639">
            <v>740003</v>
          </cell>
          <cell r="E639" t="str">
            <v>Provisions - compensation - utilised in year</v>
          </cell>
          <cell r="F639" t="str">
            <v>not identified</v>
          </cell>
          <cell r="G639" t="str">
            <v>not identified</v>
          </cell>
          <cell r="H639" t="str">
            <v>not identified</v>
          </cell>
        </row>
        <row r="640">
          <cell r="D640">
            <v>740004</v>
          </cell>
          <cell r="E640" t="str">
            <v>Provisions - compensation - written back in year</v>
          </cell>
          <cell r="F640" t="str">
            <v>not identified</v>
          </cell>
          <cell r="G640" t="str">
            <v>not identified</v>
          </cell>
          <cell r="H640" t="str">
            <v>not identified</v>
          </cell>
        </row>
        <row r="641">
          <cell r="D641">
            <v>749001</v>
          </cell>
          <cell r="E641" t="str">
            <v>Provisions - other - b/f</v>
          </cell>
          <cell r="F641" t="str">
            <v>not identified</v>
          </cell>
          <cell r="G641" t="str">
            <v>not identified</v>
          </cell>
          <cell r="H641" t="str">
            <v>not identified</v>
          </cell>
        </row>
        <row r="642">
          <cell r="D642">
            <v>749002</v>
          </cell>
          <cell r="E642" t="str">
            <v>Provisions - other - addition in year</v>
          </cell>
          <cell r="F642" t="str">
            <v>not identified</v>
          </cell>
          <cell r="G642" t="str">
            <v>not identified</v>
          </cell>
          <cell r="H642" t="str">
            <v>not identified</v>
          </cell>
        </row>
        <row r="643">
          <cell r="D643">
            <v>749003</v>
          </cell>
          <cell r="E643" t="str">
            <v>Provisions - other - utilised in year</v>
          </cell>
          <cell r="F643" t="str">
            <v>not identified</v>
          </cell>
          <cell r="G643" t="str">
            <v>not identified</v>
          </cell>
          <cell r="H643" t="str">
            <v>not identified</v>
          </cell>
        </row>
        <row r="644">
          <cell r="D644">
            <v>749004</v>
          </cell>
          <cell r="E644" t="str">
            <v>Provisions - other - written back in year</v>
          </cell>
          <cell r="F644" t="str">
            <v>not identified</v>
          </cell>
          <cell r="G644" t="str">
            <v>not identified</v>
          </cell>
          <cell r="H644" t="str">
            <v>not identified</v>
          </cell>
        </row>
        <row r="645">
          <cell r="D645">
            <v>750001</v>
          </cell>
          <cell r="E645" t="str">
            <v>Other Payables - internet domestic tickets</v>
          </cell>
          <cell r="F645" t="str">
            <v>not identified</v>
          </cell>
          <cell r="G645" t="str">
            <v>not identified</v>
          </cell>
          <cell r="H645" t="str">
            <v>not identified</v>
          </cell>
        </row>
        <row r="646">
          <cell r="D646">
            <v>750002</v>
          </cell>
          <cell r="E646" t="str">
            <v>Other Payables - insurance</v>
          </cell>
          <cell r="F646" t="str">
            <v>not identified</v>
          </cell>
          <cell r="G646" t="str">
            <v>not identified</v>
          </cell>
          <cell r="H646" t="str">
            <v>not identified</v>
          </cell>
        </row>
        <row r="647">
          <cell r="D647">
            <v>750003</v>
          </cell>
          <cell r="E647" t="str">
            <v>Other Payables - ticket sales (Thalys)</v>
          </cell>
          <cell r="F647" t="str">
            <v>not identified</v>
          </cell>
          <cell r="G647" t="str">
            <v>not identified</v>
          </cell>
          <cell r="H647" t="str">
            <v>not identified</v>
          </cell>
        </row>
        <row r="648">
          <cell r="D648">
            <v>750004</v>
          </cell>
          <cell r="E648" t="str">
            <v>Ticket sales payable - SNCB EUR</v>
          </cell>
          <cell r="F648" t="str">
            <v>not identified</v>
          </cell>
          <cell r="G648" t="str">
            <v>not identified</v>
          </cell>
          <cell r="H648" t="str">
            <v>not identified</v>
          </cell>
        </row>
        <row r="649">
          <cell r="D649">
            <v>750005</v>
          </cell>
          <cell r="E649" t="str">
            <v>Ticket sales payable - OSR EUR</v>
          </cell>
          <cell r="F649" t="str">
            <v>not identified</v>
          </cell>
          <cell r="G649" t="str">
            <v>not identified</v>
          </cell>
          <cell r="H649" t="str">
            <v>not identified</v>
          </cell>
        </row>
        <row r="650">
          <cell r="D650">
            <v>750099</v>
          </cell>
          <cell r="E650" t="str">
            <v>Other payables - general</v>
          </cell>
          <cell r="F650" t="str">
            <v>not identified</v>
          </cell>
          <cell r="G650" t="str">
            <v>not identified</v>
          </cell>
          <cell r="H650" t="str">
            <v>not identified</v>
          </cell>
        </row>
        <row r="651">
          <cell r="D651">
            <v>751001</v>
          </cell>
          <cell r="E651" t="str">
            <v>Net Pay Control Account</v>
          </cell>
          <cell r="F651" t="str">
            <v>not identified</v>
          </cell>
          <cell r="G651" t="str">
            <v>not identified</v>
          </cell>
          <cell r="H651" t="str">
            <v>not identified</v>
          </cell>
        </row>
        <row r="652">
          <cell r="D652">
            <v>751100</v>
          </cell>
          <cell r="E652" t="str">
            <v>Other Payroll Accounts</v>
          </cell>
          <cell r="F652" t="str">
            <v>not identified</v>
          </cell>
          <cell r="G652" t="str">
            <v>not identified</v>
          </cell>
          <cell r="H652" t="str">
            <v>not identified</v>
          </cell>
        </row>
        <row r="653">
          <cell r="D653">
            <v>751101</v>
          </cell>
          <cell r="E653" t="str">
            <v>Other payroll - child care vouchers</v>
          </cell>
          <cell r="F653" t="str">
            <v>not identified</v>
          </cell>
          <cell r="G653" t="str">
            <v>not identified</v>
          </cell>
          <cell r="H653" t="str">
            <v>not identified</v>
          </cell>
        </row>
        <row r="654">
          <cell r="D654">
            <v>751102</v>
          </cell>
          <cell r="E654" t="str">
            <v>Other Payables - Ride2Work Scheme</v>
          </cell>
          <cell r="F654" t="str">
            <v>not identified</v>
          </cell>
          <cell r="G654" t="str">
            <v>not identified</v>
          </cell>
          <cell r="H654" t="str">
            <v>not identified</v>
          </cell>
        </row>
        <row r="655">
          <cell r="D655">
            <v>751103</v>
          </cell>
          <cell r="E655" t="str">
            <v>Other payroll - Court Orders</v>
          </cell>
          <cell r="F655" t="str">
            <v>not identified</v>
          </cell>
          <cell r="G655" t="str">
            <v>not identified</v>
          </cell>
          <cell r="H655" t="str">
            <v>not identified</v>
          </cell>
        </row>
        <row r="656">
          <cell r="D656">
            <v>751104</v>
          </cell>
          <cell r="E656" t="str">
            <v>Other payroll - Student Loan</v>
          </cell>
          <cell r="F656" t="str">
            <v>not identified</v>
          </cell>
          <cell r="G656" t="str">
            <v>not identified</v>
          </cell>
          <cell r="H656" t="str">
            <v>not identified</v>
          </cell>
        </row>
        <row r="657">
          <cell r="D657">
            <v>751105</v>
          </cell>
          <cell r="E657" t="str">
            <v>Other payroll - voluntary payroll deduction</v>
          </cell>
          <cell r="F657" t="str">
            <v>not identified</v>
          </cell>
          <cell r="G657" t="str">
            <v>not identified</v>
          </cell>
          <cell r="H657" t="str">
            <v>not identified</v>
          </cell>
        </row>
        <row r="658">
          <cell r="D658">
            <v>751200</v>
          </cell>
          <cell r="E658" t="str">
            <v>Other Payroll Accounts (old elements)</v>
          </cell>
          <cell r="F658" t="str">
            <v>not identified</v>
          </cell>
          <cell r="G658" t="str">
            <v>not identified</v>
          </cell>
          <cell r="H658" t="str">
            <v>not identified</v>
          </cell>
        </row>
        <row r="659">
          <cell r="D659">
            <v>752001</v>
          </cell>
          <cell r="E659" t="str">
            <v>PAYE Control Account</v>
          </cell>
          <cell r="F659" t="str">
            <v>not identified</v>
          </cell>
          <cell r="G659" t="str">
            <v>not identified</v>
          </cell>
          <cell r="H659" t="str">
            <v>not identified</v>
          </cell>
        </row>
        <row r="660">
          <cell r="D660">
            <v>752002</v>
          </cell>
          <cell r="E660" t="str">
            <v>NI Control Account - employee</v>
          </cell>
          <cell r="F660" t="str">
            <v>not identified</v>
          </cell>
          <cell r="G660" t="str">
            <v>not identified</v>
          </cell>
          <cell r="H660" t="str">
            <v>not identified</v>
          </cell>
        </row>
        <row r="661">
          <cell r="D661">
            <v>752003</v>
          </cell>
          <cell r="E661" t="str">
            <v>NI Control Account - employer</v>
          </cell>
          <cell r="F661" t="str">
            <v>not identified</v>
          </cell>
          <cell r="G661" t="str">
            <v>not identified</v>
          </cell>
          <cell r="H661" t="str">
            <v>not identified</v>
          </cell>
        </row>
        <row r="662">
          <cell r="D662">
            <v>752004</v>
          </cell>
          <cell r="E662" t="str">
            <v>Maternity, Paternity, Adoption control account</v>
          </cell>
          <cell r="F662" t="str">
            <v>not identified</v>
          </cell>
          <cell r="G662" t="str">
            <v>not identified</v>
          </cell>
          <cell r="H662" t="str">
            <v>not identified</v>
          </cell>
        </row>
        <row r="663">
          <cell r="D663">
            <v>753001</v>
          </cell>
          <cell r="E663" t="str">
            <v>Pension - employee</v>
          </cell>
          <cell r="F663" t="str">
            <v>not identified</v>
          </cell>
          <cell r="G663" t="str">
            <v>not identified</v>
          </cell>
          <cell r="H663" t="str">
            <v>not identified</v>
          </cell>
        </row>
        <row r="664">
          <cell r="D664">
            <v>753002</v>
          </cell>
          <cell r="E664" t="str">
            <v>Pension - employer</v>
          </cell>
          <cell r="F664" t="str">
            <v>not identified</v>
          </cell>
          <cell r="G664" t="str">
            <v>not identified</v>
          </cell>
          <cell r="H664" t="str">
            <v>not identified</v>
          </cell>
        </row>
        <row r="665">
          <cell r="D665">
            <v>753003</v>
          </cell>
          <cell r="E665" t="str">
            <v>Pension in Arrears</v>
          </cell>
          <cell r="F665" t="str">
            <v>not identified</v>
          </cell>
          <cell r="G665" t="str">
            <v>not identified</v>
          </cell>
          <cell r="H665" t="str">
            <v>not identified</v>
          </cell>
        </row>
        <row r="666">
          <cell r="D666">
            <v>753004</v>
          </cell>
          <cell r="E666" t="str">
            <v>Pension - BRASS II</v>
          </cell>
          <cell r="F666" t="str">
            <v>not identified</v>
          </cell>
          <cell r="G666" t="str">
            <v>not identified</v>
          </cell>
          <cell r="H666" t="str">
            <v>not identified</v>
          </cell>
        </row>
        <row r="667">
          <cell r="D667">
            <v>753005</v>
          </cell>
          <cell r="E667" t="str">
            <v>Pensions - additional voluntary contributions (AVC)</v>
          </cell>
          <cell r="F667" t="str">
            <v>not identified</v>
          </cell>
          <cell r="G667" t="str">
            <v>not identified</v>
          </cell>
          <cell r="H667" t="str">
            <v>not identified</v>
          </cell>
        </row>
        <row r="668">
          <cell r="D668">
            <v>754001</v>
          </cell>
          <cell r="E668" t="str">
            <v>Corporation Tax Payable - EIL UK tax</v>
          </cell>
          <cell r="F668" t="str">
            <v>not identified</v>
          </cell>
          <cell r="G668" t="str">
            <v>not identified</v>
          </cell>
          <cell r="H668" t="str">
            <v>not identified</v>
          </cell>
        </row>
        <row r="669">
          <cell r="D669">
            <v>754002</v>
          </cell>
          <cell r="E669" t="str">
            <v>Corporation Tax Payable - EIL Belgian branch</v>
          </cell>
          <cell r="F669" t="str">
            <v>not identified</v>
          </cell>
          <cell r="G669" t="str">
            <v>not identified</v>
          </cell>
          <cell r="H669" t="str">
            <v>not identified</v>
          </cell>
        </row>
        <row r="670">
          <cell r="D670">
            <v>754003</v>
          </cell>
          <cell r="E670" t="str">
            <v>Corporation Tax Payable - EISAS</v>
          </cell>
          <cell r="F670" t="str">
            <v>not identified</v>
          </cell>
          <cell r="G670" t="str">
            <v>not identified</v>
          </cell>
          <cell r="H670" t="str">
            <v>not identified</v>
          </cell>
        </row>
        <row r="671">
          <cell r="D671">
            <v>754004</v>
          </cell>
          <cell r="E671" t="str">
            <v>Corporation Tax Payable - EISPRL</v>
          </cell>
          <cell r="F671" t="str">
            <v>not identified</v>
          </cell>
          <cell r="G671" t="str">
            <v>not identified</v>
          </cell>
          <cell r="H671" t="str">
            <v>not identified</v>
          </cell>
        </row>
        <row r="672">
          <cell r="D672">
            <v>755001</v>
          </cell>
          <cell r="E672" t="str">
            <v>Operational Taxes Payable - Organic tax</v>
          </cell>
          <cell r="F672" t="str">
            <v>not identified</v>
          </cell>
          <cell r="G672" t="str">
            <v>not identified</v>
          </cell>
          <cell r="H672" t="str">
            <v>not identified</v>
          </cell>
        </row>
        <row r="673">
          <cell r="D673">
            <v>755002</v>
          </cell>
          <cell r="E673" t="str">
            <v>Operational Taxes Payable - Rolling Stock tax</v>
          </cell>
          <cell r="F673" t="str">
            <v>not identified</v>
          </cell>
          <cell r="G673" t="str">
            <v>not identified</v>
          </cell>
          <cell r="H673" t="str">
            <v>not identified</v>
          </cell>
        </row>
        <row r="674">
          <cell r="D674">
            <v>761001</v>
          </cell>
          <cell r="E674" t="str">
            <v>Interest Rate Swap Fair Value ¿ current liability</v>
          </cell>
          <cell r="F674" t="str">
            <v>not identified</v>
          </cell>
          <cell r="G674" t="str">
            <v>not identified</v>
          </cell>
          <cell r="H674" t="str">
            <v>not identified</v>
          </cell>
        </row>
        <row r="675">
          <cell r="D675">
            <v>770001</v>
          </cell>
          <cell r="E675" t="str">
            <v>Pension Deficit</v>
          </cell>
          <cell r="F675" t="str">
            <v>not identified</v>
          </cell>
          <cell r="G675" t="str">
            <v>not identified</v>
          </cell>
          <cell r="H675" t="str">
            <v>not identified</v>
          </cell>
        </row>
        <row r="676">
          <cell r="D676">
            <v>800001</v>
          </cell>
          <cell r="E676" t="str">
            <v>Finance Lease Obligation over 1yr - SNCF trainsets</v>
          </cell>
          <cell r="F676" t="str">
            <v>not identified</v>
          </cell>
          <cell r="G676" t="str">
            <v>not identified</v>
          </cell>
          <cell r="H676" t="str">
            <v>not identified</v>
          </cell>
        </row>
        <row r="677">
          <cell r="D677">
            <v>800002</v>
          </cell>
          <cell r="E677" t="str">
            <v>Finance Lease Obligation over 1yr - Ashford</v>
          </cell>
          <cell r="F677" t="str">
            <v>not identified</v>
          </cell>
          <cell r="G677" t="str">
            <v>not identified</v>
          </cell>
          <cell r="H677" t="str">
            <v>not identified</v>
          </cell>
        </row>
        <row r="678">
          <cell r="D678">
            <v>802001</v>
          </cell>
          <cell r="E678" t="str">
            <v>Bank Loans over 1 yr - GBP - drawdowns</v>
          </cell>
          <cell r="F678" t="str">
            <v>not identified</v>
          </cell>
          <cell r="G678" t="str">
            <v>not identified</v>
          </cell>
          <cell r="H678" t="str">
            <v>not identified</v>
          </cell>
        </row>
        <row r="679">
          <cell r="D679">
            <v>802002</v>
          </cell>
          <cell r="E679" t="str">
            <v>Bank Loans over 1 yr - GBP - professional fees</v>
          </cell>
          <cell r="F679" t="str">
            <v>not identified</v>
          </cell>
          <cell r="G679" t="str">
            <v>not identified</v>
          </cell>
          <cell r="H679" t="str">
            <v>not identified</v>
          </cell>
        </row>
        <row r="680">
          <cell r="D680">
            <v>802003</v>
          </cell>
          <cell r="E680" t="str">
            <v>Bank Loans over 1 yr - GBP - interest</v>
          </cell>
          <cell r="F680" t="str">
            <v>not identified</v>
          </cell>
          <cell r="G680" t="str">
            <v>not identified</v>
          </cell>
          <cell r="H680" t="str">
            <v>not identified</v>
          </cell>
        </row>
        <row r="681">
          <cell r="D681">
            <v>802004</v>
          </cell>
          <cell r="E681" t="str">
            <v>Bank Loans over 1 yr - GBP - commitment fees</v>
          </cell>
          <cell r="F681" t="str">
            <v>not identified</v>
          </cell>
          <cell r="G681" t="str">
            <v>not identified</v>
          </cell>
          <cell r="H681" t="str">
            <v>not identified</v>
          </cell>
        </row>
        <row r="682">
          <cell r="D682">
            <v>802005</v>
          </cell>
          <cell r="E682" t="str">
            <v>Bank Loans over 1 yr - GBP - effective interest</v>
          </cell>
          <cell r="F682" t="str">
            <v>not identified</v>
          </cell>
          <cell r="G682" t="str">
            <v>not identified</v>
          </cell>
          <cell r="H682" t="str">
            <v>not identified</v>
          </cell>
        </row>
        <row r="683">
          <cell r="D683">
            <v>802101</v>
          </cell>
          <cell r="E683" t="str">
            <v>Bank Loans over 1 yr - EUR - drawdowns</v>
          </cell>
          <cell r="F683" t="str">
            <v>not identified</v>
          </cell>
          <cell r="G683" t="str">
            <v>not identified</v>
          </cell>
          <cell r="H683" t="str">
            <v>not identified</v>
          </cell>
        </row>
        <row r="684">
          <cell r="D684">
            <v>802102</v>
          </cell>
          <cell r="E684" t="str">
            <v>Bank Loans over 1 yr - EUR - professional fees</v>
          </cell>
          <cell r="F684" t="str">
            <v>not identified</v>
          </cell>
          <cell r="G684" t="str">
            <v>not identified</v>
          </cell>
          <cell r="H684" t="str">
            <v>not identified</v>
          </cell>
        </row>
        <row r="685">
          <cell r="D685">
            <v>802103</v>
          </cell>
          <cell r="E685" t="str">
            <v>Bank Loans over 1 yr - EUR - interest</v>
          </cell>
          <cell r="F685" t="str">
            <v>not identified</v>
          </cell>
          <cell r="G685" t="str">
            <v>not identified</v>
          </cell>
          <cell r="H685" t="str">
            <v>not identified</v>
          </cell>
        </row>
        <row r="686">
          <cell r="D686">
            <v>802104</v>
          </cell>
          <cell r="E686" t="str">
            <v>Bank Loans over 1 yr - EUR - commitment fees</v>
          </cell>
          <cell r="F686" t="str">
            <v>not identified</v>
          </cell>
          <cell r="G686" t="str">
            <v>not identified</v>
          </cell>
          <cell r="H686" t="str">
            <v>not identified</v>
          </cell>
        </row>
        <row r="687">
          <cell r="D687">
            <v>802105</v>
          </cell>
          <cell r="E687" t="str">
            <v>Bank Loans over 1 yr - EUR - effective interest</v>
          </cell>
          <cell r="F687" t="str">
            <v>not identified</v>
          </cell>
          <cell r="G687" t="str">
            <v>not identified</v>
          </cell>
          <cell r="H687" t="str">
            <v>not identified</v>
          </cell>
        </row>
        <row r="688">
          <cell r="D688">
            <v>810001</v>
          </cell>
          <cell r="E688" t="str">
            <v>Interest Rate Swap Fair Value - non-current liability</v>
          </cell>
          <cell r="F688" t="str">
            <v>not identified</v>
          </cell>
          <cell r="G688" t="str">
            <v>not identified</v>
          </cell>
          <cell r="H688" t="str">
            <v>not identified</v>
          </cell>
        </row>
        <row r="689">
          <cell r="D689">
            <v>811001</v>
          </cell>
          <cell r="E689" t="str">
            <v>Forward FX Contract Fair Value - liability</v>
          </cell>
          <cell r="F689" t="str">
            <v>not identified</v>
          </cell>
          <cell r="G689" t="str">
            <v>not identified</v>
          </cell>
          <cell r="H689" t="str">
            <v>not identified</v>
          </cell>
        </row>
        <row r="690">
          <cell r="D690">
            <v>820002</v>
          </cell>
          <cell r="E690" t="str">
            <v>Deferred Tax Liability - non-current - fixed assets</v>
          </cell>
          <cell r="F690" t="str">
            <v>not identified</v>
          </cell>
          <cell r="G690" t="str">
            <v>not identified</v>
          </cell>
          <cell r="H690" t="str">
            <v>not identified</v>
          </cell>
        </row>
        <row r="691">
          <cell r="D691">
            <v>820003</v>
          </cell>
          <cell r="E691" t="str">
            <v>Deferred Tax Liability - non-current - hedging</v>
          </cell>
          <cell r="F691" t="str">
            <v>not identified</v>
          </cell>
          <cell r="G691" t="str">
            <v>not identified</v>
          </cell>
          <cell r="H691" t="str">
            <v>not identified</v>
          </cell>
        </row>
        <row r="692">
          <cell r="D692">
            <v>900001</v>
          </cell>
          <cell r="E692" t="str">
            <v>Ordinary Share Capital</v>
          </cell>
          <cell r="F692" t="str">
            <v>not identified</v>
          </cell>
          <cell r="G692" t="str">
            <v>not identified</v>
          </cell>
          <cell r="H692" t="str">
            <v>not identified</v>
          </cell>
        </row>
        <row r="693">
          <cell r="D693">
            <v>901001</v>
          </cell>
          <cell r="E693" t="str">
            <v>Share Premium</v>
          </cell>
          <cell r="F693" t="str">
            <v>not identified</v>
          </cell>
          <cell r="G693" t="str">
            <v>not identified</v>
          </cell>
          <cell r="H693" t="str">
            <v>not identified</v>
          </cell>
        </row>
        <row r="694">
          <cell r="D694">
            <v>902001</v>
          </cell>
          <cell r="E694" t="str">
            <v>Profit and Loss Account b/f</v>
          </cell>
          <cell r="F694" t="str">
            <v>not identified</v>
          </cell>
          <cell r="G694" t="str">
            <v>not identified</v>
          </cell>
          <cell r="H694" t="str">
            <v>not identified</v>
          </cell>
        </row>
        <row r="695">
          <cell r="D695">
            <v>903001</v>
          </cell>
          <cell r="E695" t="str">
            <v>Hedge Reserve - interest rate swap</v>
          </cell>
          <cell r="F695" t="str">
            <v>not identified</v>
          </cell>
          <cell r="G695" t="str">
            <v>not identified</v>
          </cell>
          <cell r="H695" t="str">
            <v>not identified</v>
          </cell>
        </row>
        <row r="696">
          <cell r="D696">
            <v>903002</v>
          </cell>
          <cell r="E696" t="str">
            <v>Hedge Reserve - forward FX hedge</v>
          </cell>
          <cell r="F696" t="str">
            <v>not identified</v>
          </cell>
          <cell r="G696" t="str">
            <v>not identified</v>
          </cell>
          <cell r="H696" t="str">
            <v>not identified</v>
          </cell>
        </row>
        <row r="697">
          <cell r="D697">
            <v>903003</v>
          </cell>
          <cell r="E697" t="str">
            <v>Hedge Reserve ¿ hedge ineffectiveness</v>
          </cell>
          <cell r="F697" t="str">
            <v>not identified</v>
          </cell>
          <cell r="G697" t="str">
            <v>not identified</v>
          </cell>
          <cell r="H697" t="str">
            <v>not identified</v>
          </cell>
        </row>
        <row r="698">
          <cell r="D698">
            <v>903100</v>
          </cell>
          <cell r="E698" t="str">
            <v>Hedge Reserve - deferred tax on interest rate swaps</v>
          </cell>
          <cell r="F698" t="str">
            <v>not identified</v>
          </cell>
          <cell r="G698" t="str">
            <v>not identified</v>
          </cell>
          <cell r="H698" t="str">
            <v>not identified</v>
          </cell>
        </row>
        <row r="699">
          <cell r="D699">
            <v>903101</v>
          </cell>
          <cell r="E699" t="str">
            <v>Hedge Reserve ¿ deferred tax on hedge ineffectiveness</v>
          </cell>
          <cell r="F699" t="str">
            <v>not identified</v>
          </cell>
          <cell r="G699" t="str">
            <v>not identified</v>
          </cell>
          <cell r="H699" t="str">
            <v>not identified</v>
          </cell>
        </row>
        <row r="700">
          <cell r="D700">
            <v>903102</v>
          </cell>
          <cell r="E700" t="str">
            <v>Hedge Reserve ¿ deferred tax on forward FX hedge</v>
          </cell>
          <cell r="F700" t="str">
            <v>not identified</v>
          </cell>
          <cell r="G700" t="str">
            <v>not identified</v>
          </cell>
          <cell r="H700" t="str">
            <v>not identified</v>
          </cell>
        </row>
        <row r="701">
          <cell r="D701">
            <v>904001</v>
          </cell>
          <cell r="E701" t="str">
            <v>Pension Reserve</v>
          </cell>
          <cell r="F701" t="str">
            <v>not identified</v>
          </cell>
          <cell r="G701" t="str">
            <v>not identified</v>
          </cell>
          <cell r="H701" t="str">
            <v>not identified</v>
          </cell>
        </row>
        <row r="702">
          <cell r="D702">
            <v>904100</v>
          </cell>
          <cell r="E702" t="str">
            <v>Pension Reserve - deferred tax</v>
          </cell>
          <cell r="F702" t="str">
            <v>not identified</v>
          </cell>
          <cell r="G702" t="str">
            <v>not identified</v>
          </cell>
          <cell r="H702" t="str">
            <v>not identified</v>
          </cell>
        </row>
        <row r="703">
          <cell r="D703">
            <v>905001</v>
          </cell>
          <cell r="E703" t="str">
            <v>Revaluation Reserve</v>
          </cell>
          <cell r="F703" t="str">
            <v>not identified</v>
          </cell>
          <cell r="G703" t="str">
            <v>not identified</v>
          </cell>
          <cell r="H703" t="str">
            <v>not identified</v>
          </cell>
        </row>
        <row r="704">
          <cell r="D704">
            <v>905002</v>
          </cell>
          <cell r="E704" t="str">
            <v>Cumulative translation adjustment</v>
          </cell>
          <cell r="F704" t="str">
            <v>not identified</v>
          </cell>
          <cell r="G704" t="str">
            <v>not identified</v>
          </cell>
          <cell r="H704" t="str">
            <v>not identified</v>
          </cell>
        </row>
        <row r="705">
          <cell r="D705">
            <v>906001</v>
          </cell>
          <cell r="E705" t="str">
            <v>Other Reserve</v>
          </cell>
          <cell r="F705" t="str">
            <v>not identified</v>
          </cell>
          <cell r="G705" t="str">
            <v>not identified</v>
          </cell>
          <cell r="H705" t="str">
            <v>not identified</v>
          </cell>
        </row>
        <row r="706">
          <cell r="D706">
            <v>999001</v>
          </cell>
          <cell r="E706" t="str">
            <v>Train numbers</v>
          </cell>
          <cell r="F706" t="str">
            <v>not identified</v>
          </cell>
          <cell r="G706" t="str">
            <v>not identified</v>
          </cell>
          <cell r="H706" t="str">
            <v>not identified</v>
          </cell>
        </row>
        <row r="707">
          <cell r="D707">
            <v>999002</v>
          </cell>
          <cell r="E707" t="str">
            <v>Passenger numbers - Std</v>
          </cell>
          <cell r="F707" t="str">
            <v>not identified</v>
          </cell>
          <cell r="G707" t="str">
            <v>not identified</v>
          </cell>
          <cell r="H707" t="str">
            <v>not identified</v>
          </cell>
        </row>
        <row r="708">
          <cell r="D708">
            <v>999003</v>
          </cell>
          <cell r="E708" t="str">
            <v>Passenger numbers - SP</v>
          </cell>
          <cell r="F708" t="str">
            <v>not identified</v>
          </cell>
          <cell r="G708" t="str">
            <v>not identified</v>
          </cell>
          <cell r="H708" t="str">
            <v>not identified</v>
          </cell>
        </row>
        <row r="709">
          <cell r="D709">
            <v>999004</v>
          </cell>
          <cell r="E709" t="str">
            <v>Passenger numbers - BP</v>
          </cell>
          <cell r="F709" t="str">
            <v>not identified</v>
          </cell>
          <cell r="G709" t="str">
            <v>not identified</v>
          </cell>
          <cell r="H709" t="str">
            <v>not identified</v>
          </cell>
        </row>
        <row r="710">
          <cell r="D710" t="str">
            <v>Parents</v>
          </cell>
        </row>
        <row r="711">
          <cell r="D711">
            <v>110000</v>
          </cell>
          <cell r="E711" t="str">
            <v>Travelled revenue</v>
          </cell>
          <cell r="F711" t="str">
            <v>Travelled revenue</v>
          </cell>
        </row>
        <row r="712">
          <cell r="D712">
            <v>115000</v>
          </cell>
          <cell r="E712" t="str">
            <v>No shows revenue</v>
          </cell>
          <cell r="F712" t="str">
            <v>No shows revenue</v>
          </cell>
        </row>
        <row r="713">
          <cell r="D713">
            <v>120000</v>
          </cell>
          <cell r="E713" t="str">
            <v>On board revenue</v>
          </cell>
          <cell r="F713" t="str">
            <v>On board revenue</v>
          </cell>
        </row>
        <row r="714">
          <cell r="D714">
            <v>121000</v>
          </cell>
          <cell r="E714" t="str">
            <v>Credit card fee revenue</v>
          </cell>
          <cell r="F714" t="str">
            <v>Credit card fee revenue</v>
          </cell>
        </row>
        <row r="715">
          <cell r="D715">
            <v>122000</v>
          </cell>
          <cell r="E715" t="str">
            <v>Other passenger revenue</v>
          </cell>
          <cell r="F715" t="str">
            <v>Other passenger revenue</v>
          </cell>
        </row>
        <row r="716">
          <cell r="D716">
            <v>130000</v>
          </cell>
          <cell r="E716" t="str">
            <v>Non-passenger revenue</v>
          </cell>
          <cell r="F716" t="str">
            <v>Non-passenger revenue</v>
          </cell>
        </row>
        <row r="717">
          <cell r="D717">
            <v>210000</v>
          </cell>
          <cell r="E717" t="str">
            <v>Commission costs</v>
          </cell>
          <cell r="F717" t="str">
            <v>Commission costs</v>
          </cell>
        </row>
        <row r="718">
          <cell r="D718">
            <v>220000</v>
          </cell>
          <cell r="E718" t="str">
            <v>Payment processing costs</v>
          </cell>
          <cell r="F718" t="str">
            <v>Payment processing costs</v>
          </cell>
        </row>
        <row r="719">
          <cell r="D719">
            <v>230000</v>
          </cell>
          <cell r="E719" t="str">
            <v>Distribution system variable charges</v>
          </cell>
          <cell r="F719" t="str">
            <v>Distribution system variable charges</v>
          </cell>
        </row>
        <row r="720">
          <cell r="D720">
            <v>240000</v>
          </cell>
          <cell r="E720" t="str">
            <v>Distribution system fixed charges</v>
          </cell>
          <cell r="F720" t="str">
            <v>Distribution system fixed charges</v>
          </cell>
        </row>
        <row r="721">
          <cell r="D721">
            <v>250000</v>
          </cell>
          <cell r="E721" t="str">
            <v>Other direct costs</v>
          </cell>
          <cell r="F721" t="str">
            <v>Other direct costs</v>
          </cell>
        </row>
        <row r="722">
          <cell r="D722">
            <v>260000</v>
          </cell>
          <cell r="E722" t="str">
            <v>Sales support activity</v>
          </cell>
          <cell r="F722" t="str">
            <v>Sales support activity</v>
          </cell>
        </row>
        <row r="723">
          <cell r="D723">
            <v>270000</v>
          </cell>
          <cell r="E723" t="str">
            <v>Write-offs</v>
          </cell>
          <cell r="F723" t="str">
            <v>Write-offs</v>
          </cell>
        </row>
        <row r="724">
          <cell r="D724">
            <v>301000</v>
          </cell>
          <cell r="E724" t="str">
            <v>Salaries, allowances &amp; bonuses</v>
          </cell>
          <cell r="F724" t="str">
            <v>Salaries, allowances &amp; bonuses</v>
          </cell>
        </row>
        <row r="725">
          <cell r="D725">
            <v>302000</v>
          </cell>
          <cell r="E725" t="str">
            <v>Social charges</v>
          </cell>
          <cell r="F725" t="str">
            <v>Social charges</v>
          </cell>
        </row>
        <row r="726">
          <cell r="D726">
            <v>303000</v>
          </cell>
          <cell r="E726" t="str">
            <v>Pension contributions</v>
          </cell>
          <cell r="F726" t="str">
            <v>Pension contributions</v>
          </cell>
        </row>
        <row r="727">
          <cell r="D727">
            <v>304000</v>
          </cell>
          <cell r="E727" t="str">
            <v>Secondee costs</v>
          </cell>
          <cell r="F727" t="str">
            <v>Secondee costs</v>
          </cell>
        </row>
        <row r="728">
          <cell r="D728">
            <v>305000</v>
          </cell>
          <cell r="E728" t="str">
            <v>Agency staff &amp; contractors</v>
          </cell>
          <cell r="F728" t="str">
            <v>Agency staff &amp; contractors</v>
          </cell>
        </row>
        <row r="729">
          <cell r="D729">
            <v>306000</v>
          </cell>
          <cell r="E729" t="str">
            <v>Staff benefits</v>
          </cell>
          <cell r="F729" t="str">
            <v>Staff benefits</v>
          </cell>
        </row>
        <row r="730">
          <cell r="D730">
            <v>307000</v>
          </cell>
          <cell r="E730" t="str">
            <v>Other staff costs</v>
          </cell>
          <cell r="F730" t="str">
            <v>Other staff costs</v>
          </cell>
        </row>
        <row r="731">
          <cell r="D731">
            <v>310000</v>
          </cell>
          <cell r="E731" t="str">
            <v>Sales team costs</v>
          </cell>
          <cell r="F731" t="str">
            <v>Sales team costs</v>
          </cell>
        </row>
        <row r="732">
          <cell r="D732">
            <v>311000</v>
          </cell>
          <cell r="E732" t="str">
            <v>Marketing - agency fees</v>
          </cell>
          <cell r="F732" t="str">
            <v>Marketing - agency fees</v>
          </cell>
        </row>
        <row r="733">
          <cell r="D733">
            <v>312000</v>
          </cell>
          <cell r="E733" t="str">
            <v>Marketing - media</v>
          </cell>
          <cell r="F733" t="str">
            <v>Marketing - media</v>
          </cell>
        </row>
        <row r="734">
          <cell r="D734">
            <v>313000</v>
          </cell>
          <cell r="E734" t="str">
            <v>Marketing - production</v>
          </cell>
          <cell r="F734" t="str">
            <v>Marketing - production</v>
          </cell>
        </row>
        <row r="735">
          <cell r="D735">
            <v>314000</v>
          </cell>
          <cell r="E735" t="str">
            <v>Marketing - support</v>
          </cell>
          <cell r="F735" t="str">
            <v>Marketing - support</v>
          </cell>
        </row>
        <row r="736">
          <cell r="D736">
            <v>315000</v>
          </cell>
          <cell r="E736" t="str">
            <v>Marketing - other</v>
          </cell>
          <cell r="F736" t="str">
            <v>Marketing - other</v>
          </cell>
        </row>
        <row r="737">
          <cell r="D737">
            <v>316000</v>
          </cell>
          <cell r="E737" t="str">
            <v>Loyalty scheme</v>
          </cell>
          <cell r="F737" t="str">
            <v>Loyalty scheme</v>
          </cell>
        </row>
        <row r="738">
          <cell r="D738">
            <v>317000</v>
          </cell>
          <cell r="E738" t="str">
            <v>Product</v>
          </cell>
          <cell r="F738" t="str">
            <v>Product</v>
          </cell>
        </row>
        <row r="739">
          <cell r="D739">
            <v>318000</v>
          </cell>
          <cell r="E739" t="str">
            <v>Compensation / Disruption</v>
          </cell>
          <cell r="F739" t="str">
            <v>Compensation / Disruption</v>
          </cell>
        </row>
        <row r="740">
          <cell r="D740">
            <v>320000</v>
          </cell>
          <cell r="E740" t="str">
            <v>Catering - On board crew</v>
          </cell>
          <cell r="F740" t="str">
            <v>Catering - On board crew</v>
          </cell>
        </row>
        <row r="741">
          <cell r="D741">
            <v>321000</v>
          </cell>
          <cell r="E741" t="str">
            <v>Catering - FBD &amp; non-FBD</v>
          </cell>
          <cell r="F741" t="str">
            <v>Catering - FBD &amp; non-FBD</v>
          </cell>
        </row>
        <row r="742">
          <cell r="D742">
            <v>322000</v>
          </cell>
          <cell r="E742" t="str">
            <v>Catering - business lounges</v>
          </cell>
          <cell r="F742" t="str">
            <v>Catering - business lounges</v>
          </cell>
        </row>
        <row r="743">
          <cell r="D743">
            <v>323000</v>
          </cell>
          <cell r="E743" t="str">
            <v>Catering - mgt fee</v>
          </cell>
          <cell r="F743" t="str">
            <v>Catering - mgt fee</v>
          </cell>
        </row>
        <row r="744">
          <cell r="D744">
            <v>324000</v>
          </cell>
          <cell r="E744" t="str">
            <v>CAV</v>
          </cell>
          <cell r="F744" t="str">
            <v>CAV</v>
          </cell>
        </row>
        <row r="745">
          <cell r="D745">
            <v>325000</v>
          </cell>
          <cell r="E745" t="str">
            <v>Catering - equipment usage</v>
          </cell>
          <cell r="F745" t="str">
            <v>Catering - equipment usage</v>
          </cell>
        </row>
        <row r="746">
          <cell r="D746">
            <v>330000</v>
          </cell>
          <cell r="E746" t="str">
            <v>Consumable parts usage</v>
          </cell>
          <cell r="F746" t="str">
            <v>Consumable parts usage</v>
          </cell>
        </row>
        <row r="747">
          <cell r="D747">
            <v>331000</v>
          </cell>
          <cell r="E747" t="str">
            <v>Consumable parts scrappage</v>
          </cell>
          <cell r="F747" t="str">
            <v>Consumable parts scrappage</v>
          </cell>
        </row>
        <row r="748">
          <cell r="D748">
            <v>332000</v>
          </cell>
          <cell r="E748" t="str">
            <v>Train cleaning</v>
          </cell>
          <cell r="F748" t="str">
            <v>Train cleaning</v>
          </cell>
        </row>
        <row r="749">
          <cell r="D749">
            <v>333000</v>
          </cell>
          <cell r="E749" t="str">
            <v>Train repairs &amp; maintenance</v>
          </cell>
          <cell r="F749" t="str">
            <v>Train repairs &amp; maintenance</v>
          </cell>
        </row>
        <row r="750">
          <cell r="D750">
            <v>334000</v>
          </cell>
          <cell r="E750" t="str">
            <v>Other train costs</v>
          </cell>
          <cell r="F750" t="str">
            <v>Other train costs</v>
          </cell>
        </row>
        <row r="751">
          <cell r="D751">
            <v>340000</v>
          </cell>
          <cell r="E751" t="str">
            <v>Hardware Maintenance &amp; Support</v>
          </cell>
          <cell r="F751" t="str">
            <v>Hardware Maintenance &amp; Support</v>
          </cell>
        </row>
        <row r="752">
          <cell r="D752">
            <v>341000</v>
          </cell>
          <cell r="E752" t="str">
            <v>Data Communications</v>
          </cell>
          <cell r="F752" t="str">
            <v>Data Communications</v>
          </cell>
        </row>
        <row r="753">
          <cell r="D753">
            <v>342000</v>
          </cell>
          <cell r="E753" t="str">
            <v>Systems costs</v>
          </cell>
          <cell r="F753" t="str">
            <v>Systems costs</v>
          </cell>
        </row>
        <row r="754">
          <cell r="D754">
            <v>350000</v>
          </cell>
          <cell r="E754" t="str">
            <v>Station costs</v>
          </cell>
          <cell r="F754" t="str">
            <v>Station costs</v>
          </cell>
        </row>
        <row r="755">
          <cell r="D755">
            <v>352000</v>
          </cell>
          <cell r="E755" t="str">
            <v>Security</v>
          </cell>
          <cell r="F755" t="str">
            <v>Security</v>
          </cell>
        </row>
        <row r="756">
          <cell r="D756">
            <v>355000</v>
          </cell>
          <cell r="E756" t="str">
            <v>Rent, rates &amp; service charge</v>
          </cell>
          <cell r="F756" t="str">
            <v>Rent, rates &amp; service charge</v>
          </cell>
        </row>
        <row r="757">
          <cell r="D757">
            <v>356000</v>
          </cell>
          <cell r="E757" t="str">
            <v>Telecomms</v>
          </cell>
          <cell r="F757" t="str">
            <v>Telecomms</v>
          </cell>
        </row>
        <row r="758">
          <cell r="D758">
            <v>357000</v>
          </cell>
          <cell r="E758" t="str">
            <v>Utilities</v>
          </cell>
          <cell r="F758" t="str">
            <v>Utilities</v>
          </cell>
        </row>
        <row r="759">
          <cell r="D759">
            <v>358000</v>
          </cell>
          <cell r="E759" t="str">
            <v>Property repairs &amp; maintenance</v>
          </cell>
          <cell r="F759" t="str">
            <v>Property repairs &amp; maintenance</v>
          </cell>
        </row>
        <row r="760">
          <cell r="D760">
            <v>360000</v>
          </cell>
          <cell r="E760" t="str">
            <v>Insurance</v>
          </cell>
          <cell r="F760" t="str">
            <v>Insurance</v>
          </cell>
        </row>
        <row r="761">
          <cell r="D761">
            <v>361000</v>
          </cell>
          <cell r="E761" t="str">
            <v>Professional fees</v>
          </cell>
          <cell r="F761" t="str">
            <v>Professional fees</v>
          </cell>
        </row>
        <row r="762">
          <cell r="D762">
            <v>362000</v>
          </cell>
          <cell r="E762" t="str">
            <v>Travel and entertainment</v>
          </cell>
          <cell r="F762" t="str">
            <v>Travel and entertainment</v>
          </cell>
        </row>
        <row r="763">
          <cell r="D763">
            <v>363000</v>
          </cell>
          <cell r="E763" t="str">
            <v>Printing, publications &amp; stationery</v>
          </cell>
          <cell r="F763" t="str">
            <v>Printing, publications &amp; stationery</v>
          </cell>
        </row>
        <row r="764">
          <cell r="D764">
            <v>364000</v>
          </cell>
          <cell r="E764" t="str">
            <v>General costs</v>
          </cell>
          <cell r="F764" t="str">
            <v>General costs</v>
          </cell>
        </row>
        <row r="765">
          <cell r="D765">
            <v>371000</v>
          </cell>
          <cell r="E765" t="str">
            <v>Track access</v>
          </cell>
          <cell r="F765" t="str">
            <v>Track access</v>
          </cell>
        </row>
        <row r="766">
          <cell r="D766">
            <v>374000</v>
          </cell>
          <cell r="E766" t="str">
            <v>Traction energy</v>
          </cell>
          <cell r="F766" t="str">
            <v>Traction energy</v>
          </cell>
        </row>
        <row r="767">
          <cell r="D767">
            <v>375000</v>
          </cell>
          <cell r="E767" t="str">
            <v>ET - fixed</v>
          </cell>
          <cell r="F767" t="str">
            <v>ET - fixed</v>
          </cell>
        </row>
        <row r="768">
          <cell r="D768">
            <v>376000</v>
          </cell>
          <cell r="E768" t="str">
            <v>ET - variable</v>
          </cell>
          <cell r="F768" t="str">
            <v>ET - variable</v>
          </cell>
        </row>
        <row r="769">
          <cell r="D769">
            <v>377000</v>
          </cell>
          <cell r="E769" t="str">
            <v>ET - opex &amp; capex renewals</v>
          </cell>
          <cell r="F769" t="str">
            <v>ET - opex &amp; capex renewals</v>
          </cell>
        </row>
        <row r="770">
          <cell r="D770">
            <v>380000</v>
          </cell>
          <cell r="E770" t="str">
            <v>Train operating leases</v>
          </cell>
          <cell r="F770" t="str">
            <v>Train operating leases</v>
          </cell>
        </row>
        <row r="771">
          <cell r="D771">
            <v>381000</v>
          </cell>
          <cell r="E771" t="str">
            <v>Operational taxes</v>
          </cell>
          <cell r="F771" t="str">
            <v>Operational taxes</v>
          </cell>
        </row>
        <row r="772">
          <cell r="D772">
            <v>382000</v>
          </cell>
          <cell r="E772" t="str">
            <v>Foreign exchange gains/(losses) - operating costs</v>
          </cell>
          <cell r="F772" t="str">
            <v>Foreign exchange gains/(losses) - operating costs</v>
          </cell>
        </row>
        <row r="773">
          <cell r="D773">
            <v>390000</v>
          </cell>
          <cell r="E773" t="str">
            <v>Profit/(loss) on PPE</v>
          </cell>
          <cell r="F773" t="str">
            <v>Profit/(loss) on PPE</v>
          </cell>
        </row>
        <row r="774">
          <cell r="D774">
            <v>401000</v>
          </cell>
          <cell r="E774" t="str">
            <v>Depreciation</v>
          </cell>
          <cell r="F774" t="str">
            <v>Depreciation</v>
          </cell>
        </row>
        <row r="775">
          <cell r="D775">
            <v>402000</v>
          </cell>
          <cell r="E775" t="str">
            <v>Amortisation</v>
          </cell>
          <cell r="F775" t="str">
            <v>Amortisation</v>
          </cell>
        </row>
        <row r="776">
          <cell r="D776">
            <v>403000</v>
          </cell>
          <cell r="E776" t="str">
            <v>Impairment</v>
          </cell>
          <cell r="F776" t="str">
            <v>Impairment</v>
          </cell>
        </row>
        <row r="777">
          <cell r="D777">
            <v>410000</v>
          </cell>
          <cell r="E777" t="str">
            <v>Interest received</v>
          </cell>
          <cell r="F777" t="str">
            <v>Interest received</v>
          </cell>
        </row>
        <row r="778">
          <cell r="D778">
            <v>411000</v>
          </cell>
          <cell r="E778" t="str">
            <v>Other Finance costs</v>
          </cell>
          <cell r="F778" t="str">
            <v>Other Finance costs</v>
          </cell>
        </row>
        <row r="779">
          <cell r="D779">
            <v>412000</v>
          </cell>
          <cell r="E779" t="str">
            <v>Interest paid</v>
          </cell>
          <cell r="F779" t="str">
            <v>Interest paid</v>
          </cell>
        </row>
        <row r="780">
          <cell r="D780">
            <v>413000</v>
          </cell>
          <cell r="E780" t="str">
            <v>Finance fees &amp; charges</v>
          </cell>
          <cell r="F780" t="str">
            <v>Finance fees &amp; charges</v>
          </cell>
        </row>
        <row r="781">
          <cell r="D781">
            <v>414000</v>
          </cell>
          <cell r="E781" t="str">
            <v>Other Finance costs</v>
          </cell>
          <cell r="F781" t="str">
            <v>Other Finance costs</v>
          </cell>
        </row>
        <row r="782">
          <cell r="D782">
            <v>415000</v>
          </cell>
          <cell r="E782" t="str">
            <v>Other Finance costs</v>
          </cell>
          <cell r="F782" t="str">
            <v>Other Finance costs</v>
          </cell>
        </row>
        <row r="783">
          <cell r="D783">
            <v>420000</v>
          </cell>
          <cell r="E783" t="str">
            <v>Corporation tax - current</v>
          </cell>
          <cell r="F783" t="str">
            <v>Corporation tax - current</v>
          </cell>
        </row>
        <row r="784">
          <cell r="D784">
            <v>420000</v>
          </cell>
          <cell r="E784" t="str">
            <v>Corporation tax - deferred</v>
          </cell>
          <cell r="F784" t="str">
            <v>Corporation tax - deferred</v>
          </cell>
        </row>
        <row r="785">
          <cell r="D785">
            <v>430000</v>
          </cell>
          <cell r="E785" t="str">
            <v>Dividends paid</v>
          </cell>
          <cell r="F785" t="str">
            <v>Dividends paid</v>
          </cell>
        </row>
        <row r="786">
          <cell r="D786">
            <v>431000</v>
          </cell>
          <cell r="E786" t="str">
            <v>Dividends received</v>
          </cell>
          <cell r="F786" t="str">
            <v>Dividends received</v>
          </cell>
        </row>
        <row r="787">
          <cell r="D787">
            <v>499000</v>
          </cell>
          <cell r="E787" t="str">
            <v>Other Finance costs</v>
          </cell>
          <cell r="F787" t="str">
            <v>Other Finance costs</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heetName val="GEFFGL"/>
      <sheetName val="DP GL"/>
      <sheetName val="PHTGL"/>
      <sheetName val="CIGL"/>
      <sheetName val="EFFGL"/>
      <sheetName val="ProgGL"/>
      <sheetName val="MisesGL"/>
      <sheetName val="AmortGL"/>
      <sheetName val="Cl8Prod2000GL"/>
      <sheetName val="Cl8Prod2001GL"/>
      <sheetName val="Cl8Prod2002GL"/>
      <sheetName val="Cl8Prod2003GL"/>
      <sheetName val="Données pro forma"/>
      <sheetName val="Feuil6"/>
      <sheetName val="Feuil8"/>
      <sheetName val="DP_GL"/>
      <sheetName val="Données_pro_forma"/>
      <sheetName val=""/>
      <sheetName val="DP_GL1"/>
      <sheetName val="Données_pro_forma1"/>
    </sheetNames>
    <sheetDataSet>
      <sheetData sheetId="0" refreshError="1"/>
      <sheetData sheetId="1" refreshError="1">
        <row r="2">
          <cell r="H2">
            <v>2000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sheetData sheetId="2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DFCE"/>
      <sheetName val="CRN"/>
      <sheetName val="RC"/>
      <sheetName val="CR économique"/>
      <sheetName val="parcours &amp; trafic GL"/>
      <sheetName val="parcours &amp; trafic TER"/>
      <sheetName val="parcours &amp; trafics Transilien"/>
      <sheetName val="parcours &amp; trafics Fret"/>
      <sheetName val="parcours"/>
      <sheetName val="produits"/>
      <sheetName val="trafic"/>
      <sheetName val="produit moyen"/>
      <sheetName val="produits du trafic"/>
      <sheetName val="EDG fin de période"/>
      <sheetName val="EDG moyen"/>
      <sheetName val="personnel"/>
      <sheetName val="ACE"/>
      <sheetName val="péages"/>
      <sheetName val="EBE à R net"/>
      <sheetName val="CR VFE"/>
      <sheetName val="CR TP"/>
      <sheetName val="CR FT"/>
      <sheetName val="CR A-D"/>
      <sheetName val="CR Fret"/>
      <sheetName val="CR Infra"/>
      <sheetName val="CR Mat"/>
      <sheetName val="CR Traction"/>
    </sheetNames>
    <sheetDataSet>
      <sheetData sheetId="0" refreshError="1">
        <row r="1">
          <cell r="B1">
            <v>2006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Hypothèses"/>
      <sheetName val="Périmètre"/>
      <sheetName val="Matrice"/>
      <sheetName val="Titre 1"/>
      <sheetName val="P&amp;L"/>
      <sheetName val="CA"/>
      <sheetName val="Plusvalues"/>
      <sheetName val="EBIT Bridge"/>
      <sheetName val="Chargesexternes"/>
      <sheetName val="Chargesdepersonnel"/>
      <sheetName val="Coûtmatériel"/>
      <sheetName val="Benchmarking"/>
      <sheetName val="Bilan"/>
      <sheetName val="Immobilisations"/>
      <sheetName val="Endettement"/>
      <sheetName val="CF"/>
      <sheetName val="Titre 2"/>
      <sheetName val="Actif_net"/>
      <sheetName val="RST_Retraité"/>
      <sheetName val="Multiples"/>
      <sheetName val="DCF"/>
      <sheetName val="Wacc"/>
    </sheetNames>
    <sheetDataSet>
      <sheetData sheetId="0" refreshError="1"/>
      <sheetData sheetId="1" refreshError="1">
        <row r="8">
          <cell r="E8" t="str">
            <v>2001</v>
          </cell>
        </row>
        <row r="9">
          <cell r="E9" t="str">
            <v>2002</v>
          </cell>
        </row>
      </sheetData>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APEX&gt;&gt;"/>
      <sheetName val="1. Rolling Stock - e300"/>
      <sheetName val="2. Rolling Stock - e320"/>
      <sheetName val="3. Rolling Stock - e320 NG"/>
      <sheetName val="ETCS"/>
      <sheetName val="e320 Exams"/>
      <sheetName val="Previous Versions&gt;&gt;"/>
      <sheetName val="PV Summary"/>
      <sheetName val="nfm-f669-d138aBS14a"/>
      <sheetName val="nfm-f670-d158 (GreenSpeed)"/>
      <sheetName val="Summary iFAplan (ol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APEX&gt;&gt;"/>
      <sheetName val="1. Rolling Stock - e300"/>
      <sheetName val="2. Rolling Stock - e320"/>
      <sheetName val="3. Rolling Stock - e320 NG"/>
      <sheetName val="ETCS"/>
      <sheetName val="e320 Exams"/>
      <sheetName val="Previous Versions&gt;&gt;"/>
      <sheetName val="PV Summary"/>
      <sheetName val="nfm-f669-d138aBS14a"/>
      <sheetName val="nfm-f670-d158 (GreenSpeed)"/>
      <sheetName val="Summary iFAplan (old)"/>
    </sheetNames>
    <sheetDataSet>
      <sheetData sheetId="0"/>
      <sheetData sheetId="1"/>
      <sheetData sheetId="2">
        <row r="26">
          <cell r="D26">
            <v>0.13304552515840007</v>
          </cell>
        </row>
      </sheetData>
      <sheetData sheetId="3">
        <row r="28">
          <cell r="M28">
            <v>0</v>
          </cell>
        </row>
      </sheetData>
      <sheetData sheetId="4">
        <row r="6">
          <cell r="L6">
            <v>37.656903765690387</v>
          </cell>
        </row>
      </sheetData>
      <sheetData sheetId="5"/>
      <sheetData sheetId="6"/>
      <sheetData sheetId="7"/>
      <sheetData sheetId="8"/>
      <sheetData sheetId="9"/>
      <sheetData sheetId="10"/>
      <sheetData sheetId="1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Cs"/>
      <sheetName val="EIL Log"/>
      <sheetName val="Cover"/>
      <sheetName val="docInputs"/>
      <sheetName val="iNPUTS &gt;&gt;&gt;"/>
      <sheetName val="iScenarios"/>
      <sheetName val="iProfiles"/>
      <sheetName val="iOLDcapexProfiles"/>
      <sheetName val="iMacroeconomic"/>
      <sheetName val="iTSSSA"/>
      <sheetName val="iOverlays"/>
      <sheetName val="iOldOverlays"/>
      <sheetName val="iActuals"/>
      <sheetName val="wORKINGS &gt;&gt;&gt;"/>
      <sheetName val="wGeneral"/>
      <sheetName val="wTravRev"/>
      <sheetName val="wOtherRev"/>
      <sheetName val="wOpex"/>
      <sheetName val="wInfraTSSSA"/>
      <sheetName val="wFixedAssets"/>
      <sheetName val="wTaxCashDebt"/>
      <sheetName val="OUTPUTS &gt;&gt;&gt;"/>
      <sheetName val="IncomeStatement"/>
      <sheetName val="IncomeStatementBase"/>
      <sheetName val="IncomeStatementDelta"/>
      <sheetName val="BalanceSheet"/>
      <sheetName val="BalanceSheetBase"/>
      <sheetName val="BalanceSheetDelta"/>
      <sheetName val="Cashflow"/>
      <sheetName val="CashflowBase"/>
      <sheetName val="CashflowDelta"/>
      <sheetName val="KPIsMetrics"/>
      <sheetName val="KPIsMetricsBase"/>
      <sheetName val="KPIsMetricsDelta"/>
      <sheetName val="UnitCosts"/>
      <sheetName val="UnitCostsBase"/>
      <sheetName val="UnitCostsDelta"/>
      <sheetName val="Covenants"/>
      <sheetName val="CovenantsBase"/>
      <sheetName val="CovenantsDelta"/>
      <sheetName val="Audit"/>
      <sheetName val="OtherData &gt;&gt;&gt;"/>
      <sheetName val="AdminData"/>
      <sheetName val="OperisChangelog"/>
      <sheetName val="DPresultsMID-HIGH"/>
      <sheetName val="DigitalAncillaryProductRev"/>
      <sheetName val="OpsOverlaysSummary - P&amp;L"/>
      <sheetName val="1. Rolling Stock - e300"/>
      <sheetName val="2. Rolling Stock - e320"/>
      <sheetName val="3. Rolling Stock - e320 NG"/>
      <sheetName val="TREX data for nfm &gt;&gt;&gt;"/>
      <sheetName val="iBase"/>
      <sheetName val="iBudget2020nfm FX"/>
      <sheetName val="iBudget2020nfm"/>
      <sheetName val="i20YPnfm FX"/>
      <sheetName val="i20YPnfm"/>
      <sheetName val="oTREX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Cs"/>
      <sheetName val="EIL Log"/>
      <sheetName val="Cover"/>
      <sheetName val="docInputs"/>
      <sheetName val="iNPUTS &gt;&gt;&gt;"/>
      <sheetName val="iScenarios"/>
      <sheetName val="iProfiles"/>
      <sheetName val="iOLDcapexProfiles"/>
      <sheetName val="iMacroeconomic"/>
      <sheetName val="iTSSSA"/>
      <sheetName val="iOverlays"/>
      <sheetName val="iOldOverlays"/>
      <sheetName val="iActuals"/>
      <sheetName val="wORKINGS &gt;&gt;&gt;"/>
      <sheetName val="wGeneral"/>
      <sheetName val="wTravRev"/>
      <sheetName val="wOtherRev"/>
      <sheetName val="wOpex"/>
      <sheetName val="wInfraTSSSA"/>
      <sheetName val="wFixedAssets"/>
      <sheetName val="wTaxCashDebt"/>
      <sheetName val="OUTPUTS &gt;&gt;&gt;"/>
      <sheetName val="IncomeStatement"/>
      <sheetName val="IncomeStatementBase"/>
      <sheetName val="IncomeStatementDelta"/>
      <sheetName val="BalanceSheet"/>
      <sheetName val="BalanceSheetBase"/>
      <sheetName val="BalanceSheetDelta"/>
      <sheetName val="Cashflow"/>
      <sheetName val="CashflowBase"/>
      <sheetName val="CashflowDelta"/>
      <sheetName val="KPIsMetrics"/>
      <sheetName val="KPIsMetricsBase"/>
      <sheetName val="KPIsMetricsDelta"/>
      <sheetName val="UnitCosts"/>
      <sheetName val="UnitCostsBase"/>
      <sheetName val="UnitCostsDelta"/>
      <sheetName val="Covenants"/>
      <sheetName val="CovenantsBase"/>
      <sheetName val="CovenantsDelta"/>
      <sheetName val="Audit"/>
      <sheetName val="OtherData &gt;&gt;&gt;"/>
      <sheetName val="AdminData"/>
      <sheetName val="OperisChangelog"/>
      <sheetName val="DPresultsMID-HIGH"/>
      <sheetName val="DigitalAncillaryProductRev"/>
      <sheetName val="OpsOverlaysSummary - P&amp;L"/>
      <sheetName val="1. Rolling Stock - e300"/>
      <sheetName val="2. Rolling Stock - e320"/>
      <sheetName val="3. Rolling Stock - e320 NG"/>
      <sheetName val="TREX data for nfm &gt;&gt;&gt;"/>
      <sheetName val="iBase"/>
      <sheetName val="iBudget2020nfm FX"/>
      <sheetName val="iBudget2020nfm"/>
      <sheetName val="i20YPnfm FX"/>
      <sheetName val="i20YPnfm"/>
      <sheetName val="oTREX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garde"/>
      <sheetName val="sommaire"/>
      <sheetName val="intercalaire 1"/>
      <sheetName val="chiffres clés"/>
      <sheetName val="intercalaire 2"/>
      <sheetName val="analyse"/>
      <sheetName val="bilan actif"/>
      <sheetName val="bilan passif"/>
      <sheetName val="résultat"/>
      <sheetName val="sig"/>
      <sheetName val="bilan actif activité"/>
      <sheetName val="bilan passif activité"/>
      <sheetName val="résultat activité"/>
      <sheetName val="sig activité"/>
      <sheetName val="intercalaire 3"/>
      <sheetName val="organigramme"/>
      <sheetName val="périmètre"/>
      <sheetName val="variation péri"/>
      <sheetName val="intercalaire 4"/>
      <sheetName val="résultat soc-conso"/>
      <sheetName val="résultat soc-cons activité"/>
      <sheetName val="varkp"/>
      <sheetName val="varkp activité"/>
      <sheetName val="intercalaire 5"/>
      <sheetName val="eaac IFRS"/>
      <sheetName val="eaac 99-02"/>
      <sheetName val="titres ME"/>
      <sheetName val="investissemt"/>
      <sheetName val="titpart"/>
      <sheetName val="titimmob"/>
      <sheetName val="prov risq charg"/>
      <sheetName val="det financières"/>
      <sheetName val="variat dettes fi"/>
      <sheetName val="passage ca soc-conso"/>
      <sheetName val="ca zone géographique"/>
      <sheetName val="exceptionnel"/>
      <sheetName val="intercalaire 6"/>
      <sheetName val="TFT"/>
      <sheetName val="TFT activité"/>
      <sheetName val="effectif"/>
      <sheetName val="HB"/>
      <sheetName val="page_garde"/>
      <sheetName val="intercalaire_1"/>
      <sheetName val="chiffres_clés"/>
      <sheetName val="intercalaire_2"/>
      <sheetName val="bilan_actif"/>
      <sheetName val="bilan_passif"/>
      <sheetName val="bilan_actif_activité"/>
      <sheetName val="bilan_passif_activité"/>
      <sheetName val="résultat_activité"/>
      <sheetName val="sig_activité"/>
      <sheetName val="intercalaire_3"/>
      <sheetName val="variation_péri"/>
      <sheetName val="intercalaire_4"/>
      <sheetName val="résultat_soc-conso"/>
      <sheetName val="résultat_soc-cons_activité"/>
      <sheetName val="varkp_activité"/>
      <sheetName val="intercalaire_5"/>
      <sheetName val="eaac_IFRS"/>
      <sheetName val="eaac_99-02"/>
      <sheetName val="titres_ME"/>
      <sheetName val="prov_risq_charg"/>
      <sheetName val="det_financières"/>
      <sheetName val="variat_dettes_fi"/>
      <sheetName val="passage_ca_soc-conso"/>
      <sheetName val="ca_zone_géographique"/>
      <sheetName val="intercalaire_6"/>
      <sheetName val="TFT_activité"/>
      <sheetName val="page_garde1"/>
      <sheetName val="intercalaire_11"/>
      <sheetName val="chiffres_clés1"/>
      <sheetName val="intercalaire_21"/>
      <sheetName val="bilan_actif1"/>
      <sheetName val="bilan_passif1"/>
      <sheetName val="bilan_actif_activité1"/>
      <sheetName val="bilan_passif_activité1"/>
      <sheetName val="résultat_activité1"/>
      <sheetName val="sig_activité1"/>
      <sheetName val="intercalaire_31"/>
      <sheetName val="variation_péri1"/>
      <sheetName val="intercalaire_41"/>
      <sheetName val="résultat_soc-conso1"/>
      <sheetName val="résultat_soc-cons_activité1"/>
      <sheetName val="varkp_activité1"/>
      <sheetName val="intercalaire_51"/>
      <sheetName val="eaac_IFRS1"/>
      <sheetName val="eaac_99-021"/>
      <sheetName val="titres_ME1"/>
      <sheetName val="prov_risq_charg1"/>
      <sheetName val="det_financières1"/>
      <sheetName val="variat_dettes_fi1"/>
      <sheetName val="passage_ca_soc-conso1"/>
      <sheetName val="ca_zone_géographique1"/>
      <sheetName val="intercalaire_61"/>
      <sheetName val="TFT_activité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ancien"/>
      <sheetName val="P&amp;L Ebitda ancien"/>
      <sheetName val="Sommaire"/>
      <sheetName val="paramètres"/>
      <sheetName val="Lignes entités"/>
      <sheetName val="Macros"/>
      <sheetName val="PowerPoint"/>
      <sheetName val="CA par activité"/>
      <sheetName val="déroulé CA Trim"/>
      <sheetName val="RAF"/>
      <sheetName val="déroulé CA RL"/>
      <sheetName val="P1 CA mensualisé "/>
      <sheetName val="Geodis avec et sans RL"/>
      <sheetName val="déroulé CA"/>
      <sheetName val="déroulé MB"/>
      <sheetName val="déroulé EBITDA"/>
      <sheetName val="00 ROP M€ (2)"/>
      <sheetName val="déroulé ROP"/>
      <sheetName val="déroulé ROC"/>
      <sheetName val="déroulé IFA"/>
      <sheetName val="déroulé Fees"/>
      <sheetName val="déroulé RN"/>
      <sheetName val="déroulé Fin."/>
      <sheetName val="déroulé ssmétiers"/>
      <sheetName val="ss métiers"/>
      <sheetName val="00 synthèse"/>
      <sheetName val="CA"/>
      <sheetName val="CA Branche"/>
      <sheetName val="CA prez anglais"/>
      <sheetName val="passage CA ROP vs 2008"/>
      <sheetName val="CA prez"/>
      <sheetName val="CA et ROP division"/>
      <sheetName val="RAC par trimestre"/>
      <sheetName val="CA et RAC par division v2"/>
      <sheetName val="CA et RAC par division"/>
      <sheetName val="CA et RAC division graphe"/>
      <sheetName val="CA et ROP par division"/>
      <sheetName val="vignettes COMEX"/>
      <sheetName val="vignette COMEX Mess"/>
      <sheetName val="vignette COMEX Log"/>
      <sheetName val="CA Ttrim"/>
      <sheetName val="00 RAF CA"/>
      <sheetName val="CA projection"/>
      <sheetName val="EBITDA"/>
      <sheetName val="00 EBITDA T3"/>
      <sheetName val="vignette COMEX route"/>
      <sheetName val="ROP"/>
      <sheetName val="ROP T4"/>
      <sheetName val="00 RAF ROP"/>
      <sheetName val="ROP prez"/>
      <sheetName val="ROP Branche"/>
      <sheetName val="passage CA"/>
      <sheetName val="passage ROP"/>
      <sheetName val="chiffres clés cumulés"/>
      <sheetName val="chiffres clés mensuels"/>
      <sheetName val="CA mensu"/>
      <sheetName val="histog"/>
      <sheetName val="CA detail"/>
      <sheetName val="EBITDA detail"/>
      <sheetName val="ROP detail"/>
      <sheetName val="00 ROP retraité"/>
      <sheetName val="Get Geodis détaillé"/>
      <sheetName val="trimestres"/>
      <sheetName val="saisonnalité"/>
      <sheetName val="Saison Mess"/>
      <sheetName val="Saison Log"/>
      <sheetName val="Saison FM"/>
      <sheetName val="Saison Route"/>
      <sheetName val="Contrib Mess"/>
      <sheetName val="Contrib Log"/>
      <sheetName val="Contrib FM"/>
      <sheetName val="Contrib Route"/>
      <sheetName val="00 Get TFM détaillé"/>
      <sheetName val="00 TFM"/>
      <sheetName val="00 P&amp;L Ebitda synt TFM"/>
      <sheetName val="00 P&amp;L Ebitda TFM détaillé"/>
      <sheetName val="Contrib 4PL"/>
      <sheetName val="Get Groupe détaillé"/>
      <sheetName val="P&amp;L Ebitda Geodis Wilson"/>
      <sheetName val="P&amp;L Ebitda synt Groupe"/>
      <sheetName val="P&amp;L Ebitda synt Groupe + R&amp;L"/>
      <sheetName val="P&amp;L Groupe"/>
      <sheetName val="00 Geodis &amp; TFM conso"/>
      <sheetName val="P&amp;L Groupe synthetique"/>
      <sheetName val="Groupe hors TFM get"/>
      <sheetName val="Groupe hors TFM synthetique"/>
      <sheetName val="00 Groupe hors TFM"/>
      <sheetName val="00 P&amp;L standalone"/>
      <sheetName val="Get Groupe Geodis détaillé"/>
      <sheetName val="Get Geodis hors Esp détaillé"/>
      <sheetName val="Get Geodis hors 4PL"/>
      <sheetName val="Get Groupe Geodis détaillé CD21"/>
      <sheetName val="Get Mess détaillé"/>
      <sheetName val="Get Log détaillé"/>
      <sheetName val="Get FF détaillé"/>
      <sheetName val="Get Route détaillé"/>
      <sheetName val="Get BM détaillé"/>
      <sheetName val="Get R &amp; D détaillé"/>
      <sheetName val="Get Giraud Sidérurgie détaillé"/>
      <sheetName val="Get 4PL détaillé"/>
      <sheetName val="Get autres détaillé"/>
      <sheetName val="Synthèse"/>
      <sheetName val="Messagerie"/>
      <sheetName val="Messagerie Format Ebitda"/>
      <sheetName val="Mess France"/>
      <sheetName val="Euromatic"/>
      <sheetName val="Mess UK"/>
      <sheetName val="Mess Italie"/>
      <sheetName val="Logistique"/>
      <sheetName val="Log Format Ebitda"/>
      <sheetName val="Get Automotive détaillé"/>
      <sheetName val="Get Pays de l'Est détaillé"/>
      <sheetName val="Get Europe du Nord détaillé"/>
      <sheetName val="Get autres opérationnelles déta"/>
      <sheetName val="Get Europe du Sud détaillé"/>
      <sheetName val="Automotive"/>
      <sheetName val="Log PEST &amp; Grèce"/>
      <sheetName val="Cal GE"/>
      <sheetName val="Magyar"/>
      <sheetName val="Log Europe Nord"/>
      <sheetName val="Log All"/>
      <sheetName val="Log UK"/>
      <sheetName val="Irlande"/>
      <sheetName val="Log Benelux"/>
      <sheetName val="Log Europe Sud"/>
      <sheetName val="Log France"/>
      <sheetName val="GL IdF"/>
      <sheetName val="Gestim"/>
      <sheetName val="Log Espagne"/>
      <sheetName val="Log Italie"/>
      <sheetName val="Valenda"/>
      <sheetName val="Freight Mgmt"/>
      <sheetName val="Freight Mgmt Format Ebitda"/>
      <sheetName val="Amériques"/>
      <sheetName val="Wilson USA"/>
      <sheetName val="Argentina"/>
      <sheetName val="Asie"/>
      <sheetName val="India"/>
      <sheetName val="Wilson Australia"/>
      <sheetName val="Europe Centrale &amp; MO"/>
      <sheetName val="Europe Sud &amp; Afrique"/>
      <sheetName val="Zone Afrique"/>
      <sheetName val="Geodis Afrique"/>
      <sheetName val="Côte d'Ivoire"/>
      <sheetName val="Senegal"/>
      <sheetName val="Cameroun"/>
      <sheetName val="Tchad"/>
      <sheetName val="Maroc"/>
      <sheetName val="Tunisie"/>
      <sheetName val="GOF"/>
      <sheetName val="FM Italie"/>
      <sheetName val="Ibercondor"/>
      <sheetName val="Pays Nordiques"/>
      <sheetName val="FM Projets"/>
      <sheetName val="Oil &amp; Gaz"/>
      <sheetName val="Projet SAS"/>
      <sheetName val="TGFL"/>
      <sheetName val="Route"/>
      <sheetName val="Route Format Ebitda"/>
      <sheetName val="00 Graph CA Mensuel standalone"/>
      <sheetName val="IBM 4PL"/>
      <sheetName val="4PL Amériques"/>
      <sheetName val="4PL Asie &amp; Pacifique"/>
      <sheetName val="4PL EMEA"/>
      <sheetName val="4PL sociétés de services"/>
      <sheetName val="Division Autres"/>
      <sheetName val="Get GIS détaillé"/>
      <sheetName val="Get Geodis SA détaillé"/>
      <sheetName val="Get Geodis Solutions détaillé"/>
      <sheetName val="Sociétés de services &amp; holdings"/>
      <sheetName val="Autres"/>
      <sheetName val="Graph CA Mensuel Groupe"/>
      <sheetName val="Graph CA Mensuel hors  RL"/>
      <sheetName val="Taux  CA trim. corrigé"/>
      <sheetName val="Graph CA trim corrigé"/>
      <sheetName val="croiss. organique M-1"/>
      <sheetName val="croiss. organique mensuelle"/>
      <sheetName val="croiss. organique"/>
      <sheetName val="CA constant mensuel"/>
      <sheetName val="CA constant mensuel anglais"/>
      <sheetName val="CA constant cumul"/>
      <sheetName val="CA constant cumul anglais"/>
      <sheetName val="Graphe croissance mois"/>
      <sheetName val="Graphe croissance"/>
      <sheetName val="Graph CA trim corrigé Branche"/>
      <sheetName val="Graph CA trim"/>
      <sheetName val="Graph ROP Mensuel Groupe"/>
      <sheetName val="Graph REX Mensuel Groupe"/>
      <sheetName val="Espagne"/>
      <sheetName val="00 All simpl"/>
      <sheetName val="Vignette Financier"/>
      <sheetName val="Synthese impacts mensuels"/>
    </sheetNames>
    <sheetDataSet>
      <sheetData sheetId="0"/>
      <sheetData sheetId="1"/>
      <sheetData sheetId="2"/>
      <sheetData sheetId="3"/>
      <sheetData sheetId="4"/>
      <sheetData sheetId="5"/>
      <sheetData sheetId="6" refreshError="1">
        <row r="16">
          <cell r="D16">
            <v>67</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row r="8">
          <cell r="C8" t="str">
            <v>en M€</v>
          </cell>
          <cell r="E8" t="str">
            <v>Réel 2009.12</v>
          </cell>
          <cell r="F8" t="str">
            <v>Budget 2009.12</v>
          </cell>
          <cell r="G8" t="str">
            <v>P1 2009.12</v>
          </cell>
          <cell r="H8" t="str">
            <v>Réel 2008.12</v>
          </cell>
          <cell r="J8" t="str">
            <v xml:space="preserve">     N / B
valeur</v>
          </cell>
          <cell r="K8" t="str">
            <v xml:space="preserve">     N / B
%</v>
          </cell>
          <cell r="L8" t="str">
            <v xml:space="preserve">     N / P1
valeur</v>
          </cell>
          <cell r="M8" t="str">
            <v xml:space="preserve">     N / P1
%</v>
          </cell>
          <cell r="N8" t="str">
            <v xml:space="preserve">     N / N-1
valeur</v>
          </cell>
          <cell r="O8" t="str">
            <v xml:space="preserve">     N / N-1
%</v>
          </cell>
          <cell r="R8" t="str">
            <v>en M€</v>
          </cell>
          <cell r="T8" t="str">
            <v>Réel 2009.12</v>
          </cell>
          <cell r="U8" t="str">
            <v>Budget 2009.12</v>
          </cell>
          <cell r="V8" t="str">
            <v>P3 2009.12</v>
          </cell>
          <cell r="W8" t="str">
            <v>P1 2009.12</v>
          </cell>
          <cell r="X8" t="str">
            <v>Réel 2008.12</v>
          </cell>
          <cell r="Z8" t="str">
            <v xml:space="preserve">     N / B
valeur</v>
          </cell>
          <cell r="AA8" t="str">
            <v xml:space="preserve">     N / B
%</v>
          </cell>
          <cell r="AB8" t="str">
            <v xml:space="preserve">     N / P3
valeur</v>
          </cell>
          <cell r="AC8" t="str">
            <v xml:space="preserve">     N / P1
valeur</v>
          </cell>
          <cell r="AD8" t="str">
            <v xml:space="preserve">     N / P1
%</v>
          </cell>
          <cell r="AE8" t="str">
            <v xml:space="preserve">     N / N-1
valeur</v>
          </cell>
          <cell r="AF8" t="str">
            <v xml:space="preserve">     N / N-1
%</v>
          </cell>
        </row>
        <row r="10">
          <cell r="C10" t="str">
            <v>Messagerie France</v>
          </cell>
          <cell r="E10" t="e">
            <v>#VALUE!</v>
          </cell>
          <cell r="F10" t="e">
            <v>#VALUE!</v>
          </cell>
          <cell r="G10" t="e">
            <v>#VALUE!</v>
          </cell>
          <cell r="H10" t="e">
            <v>#VALUE!</v>
          </cell>
          <cell r="J10" t="e">
            <v>#VALUE!</v>
          </cell>
          <cell r="K10" t="e">
            <v>#VALUE!</v>
          </cell>
          <cell r="L10" t="e">
            <v>#VALUE!</v>
          </cell>
          <cell r="M10" t="e">
            <v>#VALUE!</v>
          </cell>
          <cell r="N10" t="e">
            <v>#VALUE!</v>
          </cell>
          <cell r="O10" t="e">
            <v>#VALUE!</v>
          </cell>
          <cell r="R10" t="str">
            <v>Messagerie France</v>
          </cell>
          <cell r="T10" t="e">
            <v>#VALUE!</v>
          </cell>
          <cell r="U10" t="e">
            <v>#VALUE!</v>
          </cell>
          <cell r="V10" t="e">
            <v>#VALUE!</v>
          </cell>
          <cell r="W10" t="e">
            <v>#VALUE!</v>
          </cell>
          <cell r="X10" t="e">
            <v>#VALUE!</v>
          </cell>
          <cell r="Z10" t="e">
            <v>#VALUE!</v>
          </cell>
          <cell r="AA10" t="e">
            <v>#VALUE!</v>
          </cell>
          <cell r="AB10" t="e">
            <v>#VALUE!</v>
          </cell>
          <cell r="AC10" t="e">
            <v>#VALUE!</v>
          </cell>
          <cell r="AD10" t="e">
            <v>#VALUE!</v>
          </cell>
          <cell r="AE10" t="e">
            <v>#VALUE!</v>
          </cell>
          <cell r="AF10" t="e">
            <v>#VALUE!</v>
          </cell>
        </row>
        <row r="12">
          <cell r="C12" t="str">
            <v>Euromatic</v>
          </cell>
          <cell r="E12">
            <v>6.1710000000000003</v>
          </cell>
          <cell r="F12">
            <v>5.0880000000000001</v>
          </cell>
          <cell r="G12">
            <v>5.2700000000000005</v>
          </cell>
          <cell r="H12">
            <v>5.0350000000000001</v>
          </cell>
          <cell r="J12">
            <v>1.0830000000000002</v>
          </cell>
          <cell r="K12">
            <v>0.2128537735849057</v>
          </cell>
          <cell r="L12">
            <v>0.9009999999999998</v>
          </cell>
          <cell r="M12">
            <v>0.17096774193548381</v>
          </cell>
          <cell r="N12">
            <v>1.1360000000000001</v>
          </cell>
          <cell r="O12">
            <v>0.22562065541211521</v>
          </cell>
          <cell r="R12" t="str">
            <v>Euromatic</v>
          </cell>
          <cell r="T12">
            <v>57.227000000000004</v>
          </cell>
          <cell r="U12">
            <v>69.043000000000006</v>
          </cell>
          <cell r="V12">
            <v>54.913000000000004</v>
          </cell>
          <cell r="W12">
            <v>57.262999999999998</v>
          </cell>
          <cell r="X12">
            <v>67.168999999999997</v>
          </cell>
          <cell r="Z12">
            <v>-11.816000000000003</v>
          </cell>
          <cell r="AA12">
            <v>-0.17113972451950235</v>
          </cell>
          <cell r="AB12">
            <v>2.3140000000000001</v>
          </cell>
          <cell r="AC12">
            <v>-3.5999999999994259E-2</v>
          </cell>
          <cell r="AD12">
            <v>-6.2867820407583016E-4</v>
          </cell>
          <cell r="AE12">
            <v>-9.9419999999999931</v>
          </cell>
          <cell r="AF12">
            <v>-0.14801470916643084</v>
          </cell>
        </row>
        <row r="14">
          <cell r="C14" t="str">
            <v>Messagerie Royaume-Uni</v>
          </cell>
          <cell r="E14" t="e">
            <v>#VALUE!</v>
          </cell>
          <cell r="F14" t="e">
            <v>#VALUE!</v>
          </cell>
          <cell r="G14" t="e">
            <v>#VALUE!</v>
          </cell>
          <cell r="H14" t="e">
            <v>#VALUE!</v>
          </cell>
          <cell r="J14" t="e">
            <v>#VALUE!</v>
          </cell>
          <cell r="K14" t="e">
            <v>#VALUE!</v>
          </cell>
          <cell r="L14" t="e">
            <v>#VALUE!</v>
          </cell>
          <cell r="M14" t="e">
            <v>#VALUE!</v>
          </cell>
          <cell r="N14" t="e">
            <v>#VALUE!</v>
          </cell>
          <cell r="O14" t="e">
            <v>#VALUE!</v>
          </cell>
          <cell r="R14" t="str">
            <v>Messagerie Royaume-Uni</v>
          </cell>
          <cell r="T14" t="e">
            <v>#VALUE!</v>
          </cell>
          <cell r="U14" t="e">
            <v>#VALUE!</v>
          </cell>
          <cell r="V14" t="e">
            <v>#VALUE!</v>
          </cell>
          <cell r="W14" t="e">
            <v>#VALUE!</v>
          </cell>
          <cell r="X14" t="e">
            <v>#VALUE!</v>
          </cell>
          <cell r="Z14" t="e">
            <v>#VALUE!</v>
          </cell>
          <cell r="AA14" t="e">
            <v>#VALUE!</v>
          </cell>
          <cell r="AB14" t="e">
            <v>#VALUE!</v>
          </cell>
          <cell r="AC14" t="e">
            <v>#VALUE!</v>
          </cell>
          <cell r="AD14" t="e">
            <v>#VALUE!</v>
          </cell>
          <cell r="AE14" t="e">
            <v>#VALUE!</v>
          </cell>
          <cell r="AF14" t="e">
            <v>#VALUE!</v>
          </cell>
        </row>
        <row r="16">
          <cell r="C16" t="str">
            <v>Messagerie Allemagne</v>
          </cell>
          <cell r="E16">
            <v>0</v>
          </cell>
          <cell r="F16">
            <v>0</v>
          </cell>
          <cell r="G16">
            <v>0</v>
          </cell>
          <cell r="H16">
            <v>0</v>
          </cell>
          <cell r="J16">
            <v>0</v>
          </cell>
          <cell r="K16" t="e">
            <v>#DIV/0!</v>
          </cell>
          <cell r="L16">
            <v>0</v>
          </cell>
          <cell r="M16" t="e">
            <v>#DIV/0!</v>
          </cell>
          <cell r="N16">
            <v>0</v>
          </cell>
          <cell r="O16" t="e">
            <v>#DIV/0!</v>
          </cell>
          <cell r="R16" t="str">
            <v>Messagerie Allemagne</v>
          </cell>
          <cell r="T16">
            <v>0</v>
          </cell>
          <cell r="U16">
            <v>0</v>
          </cell>
          <cell r="V16">
            <v>0</v>
          </cell>
          <cell r="W16">
            <v>0</v>
          </cell>
          <cell r="X16">
            <v>0</v>
          </cell>
          <cell r="Z16">
            <v>0</v>
          </cell>
          <cell r="AA16" t="e">
            <v>#DIV/0!</v>
          </cell>
          <cell r="AB16">
            <v>0</v>
          </cell>
          <cell r="AC16">
            <v>0</v>
          </cell>
          <cell r="AD16" t="e">
            <v>#DIV/0!</v>
          </cell>
          <cell r="AE16">
            <v>0</v>
          </cell>
          <cell r="AF16" t="e">
            <v>#DIV/0!</v>
          </cell>
        </row>
        <row r="18">
          <cell r="C18" t="str">
            <v>Messagerie Espagne</v>
          </cell>
          <cell r="E18">
            <v>7.0000000000000001E-3</v>
          </cell>
          <cell r="F18">
            <v>6.1859999999999999</v>
          </cell>
          <cell r="G18">
            <v>0</v>
          </cell>
          <cell r="H18">
            <v>3.891</v>
          </cell>
          <cell r="J18">
            <v>-6.1790000000000003</v>
          </cell>
          <cell r="K18">
            <v>-0.99886841254445524</v>
          </cell>
          <cell r="L18">
            <v>7.0000000000000001E-3</v>
          </cell>
          <cell r="M18" t="e">
            <v>#DIV/0!</v>
          </cell>
          <cell r="N18">
            <v>-3.8839999999999999</v>
          </cell>
          <cell r="O18">
            <v>-0.99820097661269591</v>
          </cell>
          <cell r="R18" t="str">
            <v>Messagerie Espagne</v>
          </cell>
          <cell r="T18">
            <v>3.68</v>
          </cell>
          <cell r="U18">
            <v>78.751999999999995</v>
          </cell>
          <cell r="V18">
            <v>3.6750000000000003</v>
          </cell>
          <cell r="W18">
            <v>3.7600000000000002</v>
          </cell>
          <cell r="X18">
            <v>70.555999999999997</v>
          </cell>
          <cell r="Z18">
            <v>-75.071999999999989</v>
          </cell>
          <cell r="AA18">
            <v>-0.95327102803738306</v>
          </cell>
          <cell r="AB18">
            <v>4.9999999999998934E-3</v>
          </cell>
          <cell r="AC18">
            <v>-8.0000000000000071E-2</v>
          </cell>
          <cell r="AD18">
            <v>-2.1276595744680868E-2</v>
          </cell>
          <cell r="AE18">
            <v>-66.875999999999991</v>
          </cell>
          <cell r="AF18">
            <v>-0.94784284823402676</v>
          </cell>
        </row>
        <row r="20">
          <cell r="C20" t="str">
            <v>Messagerie Italie</v>
          </cell>
          <cell r="E20">
            <v>7.6450000000000005</v>
          </cell>
          <cell r="F20">
            <v>8.49</v>
          </cell>
          <cell r="G20">
            <v>6.49</v>
          </cell>
          <cell r="H20">
            <v>7.7090000000000005</v>
          </cell>
          <cell r="J20">
            <v>-0.84499999999999975</v>
          </cell>
          <cell r="K20">
            <v>-9.9528857479387486E-2</v>
          </cell>
          <cell r="L20">
            <v>1.1550000000000002</v>
          </cell>
          <cell r="M20">
            <v>0.17796610169491528</v>
          </cell>
          <cell r="N20">
            <v>-6.4000000000000057E-2</v>
          </cell>
          <cell r="O20">
            <v>-8.301984693215728E-3</v>
          </cell>
          <cell r="R20" t="str">
            <v>Messagerie Italie</v>
          </cell>
          <cell r="T20">
            <v>106.711</v>
          </cell>
          <cell r="U20">
            <v>138.876</v>
          </cell>
          <cell r="V20">
            <v>104.667</v>
          </cell>
          <cell r="W20">
            <v>103.52200000000001</v>
          </cell>
          <cell r="X20">
            <v>125.76900000000001</v>
          </cell>
          <cell r="Z20">
            <v>-32.165000000000006</v>
          </cell>
          <cell r="AA20">
            <v>-0.23160949336098394</v>
          </cell>
          <cell r="AB20">
            <v>2.0439999999999969</v>
          </cell>
          <cell r="AC20">
            <v>3.188999999999993</v>
          </cell>
          <cell r="AD20">
            <v>3.0805046270357923E-2</v>
          </cell>
          <cell r="AE20">
            <v>-19.058000000000007</v>
          </cell>
          <cell r="AF20">
            <v>-0.15153177651090496</v>
          </cell>
        </row>
        <row r="22">
          <cell r="C22" t="str">
            <v>Sociétés de service &amp; Holdings</v>
          </cell>
          <cell r="E22">
            <v>0</v>
          </cell>
          <cell r="F22">
            <v>-6.1859999999999999</v>
          </cell>
          <cell r="G22">
            <v>0</v>
          </cell>
          <cell r="H22">
            <v>0</v>
          </cell>
          <cell r="J22">
            <v>6.1859999999999999</v>
          </cell>
          <cell r="K22">
            <v>-1</v>
          </cell>
          <cell r="L22">
            <v>0</v>
          </cell>
          <cell r="M22" t="e">
            <v>#DIV/0!</v>
          </cell>
          <cell r="N22">
            <v>0</v>
          </cell>
          <cell r="O22" t="e">
            <v>#DIV/0!</v>
          </cell>
          <cell r="R22" t="str">
            <v>Sociétés de service &amp; Holdings</v>
          </cell>
          <cell r="T22">
            <v>0</v>
          </cell>
          <cell r="U22">
            <v>-78.751999999999995</v>
          </cell>
          <cell r="V22">
            <v>0</v>
          </cell>
          <cell r="W22">
            <v>0</v>
          </cell>
          <cell r="X22">
            <v>0</v>
          </cell>
          <cell r="Z22">
            <v>78.751999999999995</v>
          </cell>
          <cell r="AA22">
            <v>-1</v>
          </cell>
          <cell r="AB22">
            <v>0</v>
          </cell>
          <cell r="AC22">
            <v>0</v>
          </cell>
          <cell r="AD22" t="e">
            <v>#DIV/0!</v>
          </cell>
          <cell r="AE22">
            <v>0</v>
          </cell>
          <cell r="AF22" t="e">
            <v>#DIV/0!</v>
          </cell>
        </row>
        <row r="24">
          <cell r="C24" t="str">
            <v>Elim inter-zone Messagerie</v>
          </cell>
          <cell r="E24" t="e">
            <v>#VALUE!</v>
          </cell>
          <cell r="F24" t="e">
            <v>#VALUE!</v>
          </cell>
          <cell r="G24" t="e">
            <v>#VALUE!</v>
          </cell>
          <cell r="H24" t="e">
            <v>#VALUE!</v>
          </cell>
          <cell r="J24" t="e">
            <v>#VALUE!</v>
          </cell>
          <cell r="K24" t="e">
            <v>#VALUE!</v>
          </cell>
          <cell r="L24" t="e">
            <v>#VALUE!</v>
          </cell>
          <cell r="M24" t="e">
            <v>#VALUE!</v>
          </cell>
          <cell r="N24" t="e">
            <v>#VALUE!</v>
          </cell>
          <cell r="O24" t="e">
            <v>#VALUE!</v>
          </cell>
          <cell r="R24" t="str">
            <v>Elim inter-zone Messagerie</v>
          </cell>
          <cell r="T24" t="e">
            <v>#VALUE!</v>
          </cell>
          <cell r="U24" t="e">
            <v>#VALUE!</v>
          </cell>
          <cell r="V24" t="e">
            <v>#VALUE!</v>
          </cell>
          <cell r="W24" t="e">
            <v>#VALUE!</v>
          </cell>
          <cell r="X24" t="e">
            <v>#VALUE!</v>
          </cell>
          <cell r="Z24" t="e">
            <v>#VALUE!</v>
          </cell>
          <cell r="AA24" t="e">
            <v>#VALUE!</v>
          </cell>
          <cell r="AB24" t="e">
            <v>#VALUE!</v>
          </cell>
          <cell r="AC24" t="e">
            <v>#VALUE!</v>
          </cell>
          <cell r="AD24" t="e">
            <v>#VALUE!</v>
          </cell>
          <cell r="AE24" t="e">
            <v>#VALUE!</v>
          </cell>
          <cell r="AF24" t="e">
            <v>#VALUE!</v>
          </cell>
        </row>
        <row r="26">
          <cell r="C26" t="str">
            <v>MESSAGERIE</v>
          </cell>
          <cell r="E26" t="e">
            <v>#VALUE!</v>
          </cell>
          <cell r="F26" t="e">
            <v>#VALUE!</v>
          </cell>
          <cell r="G26" t="e">
            <v>#VALUE!</v>
          </cell>
          <cell r="H26" t="e">
            <v>#VALUE!</v>
          </cell>
          <cell r="J26" t="e">
            <v>#VALUE!</v>
          </cell>
          <cell r="K26" t="e">
            <v>#VALUE!</v>
          </cell>
          <cell r="L26" t="e">
            <v>#VALUE!</v>
          </cell>
          <cell r="M26" t="e">
            <v>#VALUE!</v>
          </cell>
          <cell r="N26" t="e">
            <v>#VALUE!</v>
          </cell>
          <cell r="O26" t="e">
            <v>#VALUE!</v>
          </cell>
          <cell r="R26" t="str">
            <v>MESSAGERIE</v>
          </cell>
          <cell r="T26" t="e">
            <v>#VALUE!</v>
          </cell>
          <cell r="U26" t="e">
            <v>#VALUE!</v>
          </cell>
          <cell r="V26" t="e">
            <v>#VALUE!</v>
          </cell>
          <cell r="W26" t="e">
            <v>#VALUE!</v>
          </cell>
          <cell r="X26" t="e">
            <v>#VALUE!</v>
          </cell>
          <cell r="Z26" t="e">
            <v>#VALUE!</v>
          </cell>
          <cell r="AA26" t="e">
            <v>#VALUE!</v>
          </cell>
          <cell r="AB26" t="e">
            <v>#VALUE!</v>
          </cell>
          <cell r="AC26" t="e">
            <v>#VALUE!</v>
          </cell>
          <cell r="AD26" t="e">
            <v>#VALUE!</v>
          </cell>
          <cell r="AE26" t="e">
            <v>#VALUE!</v>
          </cell>
          <cell r="AF26" t="e">
            <v>#VALUE!</v>
          </cell>
        </row>
        <row r="30">
          <cell r="E30" t="e">
            <v>#VALUE!</v>
          </cell>
          <cell r="F30" t="e">
            <v>#VALUE!</v>
          </cell>
          <cell r="G30" t="e">
            <v>#VALUE!</v>
          </cell>
          <cell r="H30" t="e">
            <v>#VALUE!</v>
          </cell>
          <cell r="J30" t="e">
            <v>#VALUE!</v>
          </cell>
          <cell r="L30" t="e">
            <v>#VALUE!</v>
          </cell>
          <cell r="N30" t="e">
            <v>#VALUE!</v>
          </cell>
          <cell r="T30" t="e">
            <v>#VALUE!</v>
          </cell>
          <cell r="U30" t="e">
            <v>#VALUE!</v>
          </cell>
          <cell r="V30" t="e">
            <v>#VALUE!</v>
          </cell>
          <cell r="W30" t="e">
            <v>#VALUE!</v>
          </cell>
          <cell r="X30" t="e">
            <v>#VALUE!</v>
          </cell>
          <cell r="Z30" t="e">
            <v>#VALUE!</v>
          </cell>
          <cell r="AA30" t="e">
            <v>#VALUE!</v>
          </cell>
          <cell r="AB30" t="e">
            <v>#VALUE!</v>
          </cell>
          <cell r="AC30" t="e">
            <v>#VALUE!</v>
          </cell>
          <cell r="AD30" t="e">
            <v>#VALUE!</v>
          </cell>
          <cell r="AE30" t="e">
            <v>#VALUE!</v>
          </cell>
          <cell r="AF30" t="e">
            <v>#VALUE!</v>
          </cell>
        </row>
        <row r="32">
          <cell r="E32" t="str">
            <v>CA mensuel de la division Logistique de décembre</v>
          </cell>
          <cell r="T32" t="str">
            <v>CA de la division Logistique cumulé à fin Décembre</v>
          </cell>
        </row>
        <row r="35">
          <cell r="C35" t="str">
            <v>en M€</v>
          </cell>
          <cell r="E35" t="str">
            <v>Réel 2009.12</v>
          </cell>
          <cell r="F35" t="str">
            <v>Budget 2009.12</v>
          </cell>
          <cell r="G35" t="str">
            <v>P1 2009.12</v>
          </cell>
          <cell r="H35" t="str">
            <v>Réel 2008.12</v>
          </cell>
          <cell r="J35" t="str">
            <v xml:space="preserve">     N / B
valeur</v>
          </cell>
          <cell r="K35" t="str">
            <v xml:space="preserve">     N / B
%</v>
          </cell>
          <cell r="L35" t="str">
            <v xml:space="preserve">     N / P1
valeur</v>
          </cell>
          <cell r="M35" t="str">
            <v xml:space="preserve">     N / P1
%</v>
          </cell>
          <cell r="N35" t="str">
            <v xml:space="preserve">     N / N-1
valeur</v>
          </cell>
          <cell r="O35" t="str">
            <v xml:space="preserve">     N / N-1
%</v>
          </cell>
          <cell r="R35" t="str">
            <v>en M€</v>
          </cell>
          <cell r="T35" t="str">
            <v>Réel 2009.12</v>
          </cell>
          <cell r="U35" t="str">
            <v>Budget 2009.12</v>
          </cell>
          <cell r="V35" t="str">
            <v>P3 2009.12</v>
          </cell>
          <cell r="W35" t="str">
            <v>P1 2009.12</v>
          </cell>
          <cell r="X35" t="str">
            <v>Réel 2008.12</v>
          </cell>
          <cell r="Z35" t="str">
            <v xml:space="preserve">     N / B
valeur</v>
          </cell>
          <cell r="AA35" t="str">
            <v xml:space="preserve">     N / B
%</v>
          </cell>
          <cell r="AB35" t="str">
            <v xml:space="preserve">     N / P3
valeur</v>
          </cell>
          <cell r="AC35" t="str">
            <v xml:space="preserve">     N / P1
valeur</v>
          </cell>
          <cell r="AD35" t="str">
            <v xml:space="preserve">     N / P1
%</v>
          </cell>
          <cell r="AE35" t="str">
            <v xml:space="preserve">     N / N-1
valeur</v>
          </cell>
          <cell r="AF35" t="str">
            <v xml:space="preserve">     N / N-1
%</v>
          </cell>
        </row>
        <row r="37">
          <cell r="C37" t="str">
            <v>Logistique Automotive</v>
          </cell>
          <cell r="E37">
            <v>3.7330000000000001</v>
          </cell>
          <cell r="F37">
            <v>4.819</v>
          </cell>
          <cell r="G37">
            <v>3.105</v>
          </cell>
          <cell r="H37" t="e">
            <v>#VALUE!</v>
          </cell>
          <cell r="J37">
            <v>-1.0859999999999999</v>
          </cell>
          <cell r="K37">
            <v>-0.22535795808258971</v>
          </cell>
          <cell r="L37">
            <v>0.62800000000000011</v>
          </cell>
          <cell r="M37">
            <v>0.20225442834138491</v>
          </cell>
          <cell r="N37" t="e">
            <v>#VALUE!</v>
          </cell>
          <cell r="O37" t="e">
            <v>#VALUE!</v>
          </cell>
          <cell r="R37" t="str">
            <v>Logistique Automotive</v>
          </cell>
          <cell r="T37">
            <v>45.883000000000003</v>
          </cell>
          <cell r="U37">
            <v>55.99</v>
          </cell>
          <cell r="V37">
            <v>43.768000000000001</v>
          </cell>
          <cell r="W37">
            <v>41.731999999999999</v>
          </cell>
          <cell r="X37" t="e">
            <v>#VALUE!</v>
          </cell>
          <cell r="Z37">
            <v>-10.106999999999999</v>
          </cell>
          <cell r="AA37">
            <v>-0.18051437756742272</v>
          </cell>
          <cell r="AB37">
            <v>2.115000000000002</v>
          </cell>
          <cell r="AC37">
            <v>4.1510000000000034</v>
          </cell>
          <cell r="AD37">
            <v>9.946803412249601E-2</v>
          </cell>
          <cell r="AE37" t="e">
            <v>#VALUE!</v>
          </cell>
          <cell r="AF37" t="e">
            <v>#VALUE!</v>
          </cell>
        </row>
        <row r="39">
          <cell r="C39" t="str">
            <v>Europe de l'Est</v>
          </cell>
          <cell r="E39">
            <v>4.2709999999999999</v>
          </cell>
          <cell r="F39">
            <v>4.9740000000000002</v>
          </cell>
          <cell r="G39">
            <v>5.6980000000000004</v>
          </cell>
          <cell r="H39">
            <v>2.7360000000000002</v>
          </cell>
          <cell r="J39">
            <v>-0.70300000000000029</v>
          </cell>
          <cell r="K39">
            <v>-0.14133494169682354</v>
          </cell>
          <cell r="L39">
            <v>-1.4270000000000005</v>
          </cell>
          <cell r="M39">
            <v>-0.25043875043875052</v>
          </cell>
          <cell r="N39">
            <v>1.5349999999999997</v>
          </cell>
          <cell r="O39">
            <v>0.56103801169590628</v>
          </cell>
          <cell r="R39" t="str">
            <v>Europe de l'Est</v>
          </cell>
          <cell r="T39">
            <v>47.971000000000004</v>
          </cell>
          <cell r="U39">
            <v>61.478000000000002</v>
          </cell>
          <cell r="V39">
            <v>36.087000000000003</v>
          </cell>
          <cell r="W39">
            <v>54.118000000000002</v>
          </cell>
          <cell r="X39">
            <v>44.974000000000004</v>
          </cell>
          <cell r="Z39">
            <v>-13.506999999999998</v>
          </cell>
          <cell r="AA39">
            <v>-0.21970460977910794</v>
          </cell>
          <cell r="AB39">
            <v>11.884</v>
          </cell>
          <cell r="AC39">
            <v>-6.1469999999999985</v>
          </cell>
          <cell r="AD39">
            <v>-0.11358512879263828</v>
          </cell>
          <cell r="AE39">
            <v>2.9969999999999999</v>
          </cell>
          <cell r="AF39">
            <v>6.6638502245741971E-2</v>
          </cell>
        </row>
        <row r="40">
          <cell r="C40" t="str">
            <v>Calberson Grèce</v>
          </cell>
          <cell r="E40">
            <v>0.84299999999999997</v>
          </cell>
          <cell r="F40">
            <v>1.05</v>
          </cell>
          <cell r="G40">
            <v>0.72299999999999998</v>
          </cell>
          <cell r="H40">
            <v>0.93</v>
          </cell>
          <cell r="J40">
            <v>-0.20700000000000007</v>
          </cell>
          <cell r="K40">
            <v>-0.1971428571428572</v>
          </cell>
          <cell r="L40">
            <v>0.12</v>
          </cell>
          <cell r="M40">
            <v>0.16597510373443983</v>
          </cell>
          <cell r="N40">
            <v>-8.7000000000000077E-2</v>
          </cell>
          <cell r="O40">
            <v>-9.3548387096774266E-2</v>
          </cell>
          <cell r="R40" t="str">
            <v>Calberson Grèce</v>
          </cell>
          <cell r="T40">
            <v>9.7460000000000004</v>
          </cell>
          <cell r="U40">
            <v>12.6</v>
          </cell>
          <cell r="V40">
            <v>10</v>
          </cell>
          <cell r="W40">
            <v>9.2580000000000009</v>
          </cell>
          <cell r="X40">
            <v>11.825000000000001</v>
          </cell>
          <cell r="Z40">
            <v>-2.8539999999999992</v>
          </cell>
          <cell r="AA40">
            <v>-0.22650793650793646</v>
          </cell>
          <cell r="AB40">
            <v>-0.25399999999999956</v>
          </cell>
          <cell r="AC40">
            <v>0.48799999999999955</v>
          </cell>
          <cell r="AD40">
            <v>5.2711168718945725E-2</v>
          </cell>
          <cell r="AE40">
            <v>-2.0790000000000006</v>
          </cell>
          <cell r="AF40">
            <v>-0.17581395348837214</v>
          </cell>
        </row>
        <row r="41">
          <cell r="C41" t="str">
            <v>Logistique Europe de l'Est &amp; Grèce</v>
          </cell>
          <cell r="E41" t="e">
            <v>#VALUE!</v>
          </cell>
          <cell r="F41" t="e">
            <v>#VALUE!</v>
          </cell>
          <cell r="G41" t="e">
            <v>#VALUE!</v>
          </cell>
          <cell r="H41" t="e">
            <v>#VALUE!</v>
          </cell>
          <cell r="J41" t="e">
            <v>#VALUE!</v>
          </cell>
          <cell r="K41" t="e">
            <v>#VALUE!</v>
          </cell>
          <cell r="L41" t="e">
            <v>#VALUE!</v>
          </cell>
          <cell r="M41" t="e">
            <v>#VALUE!</v>
          </cell>
          <cell r="N41" t="e">
            <v>#VALUE!</v>
          </cell>
          <cell r="O41" t="e">
            <v>#VALUE!</v>
          </cell>
          <cell r="R41" t="str">
            <v>Logistique Europe de l'Est &amp; Grèce</v>
          </cell>
          <cell r="T41" t="e">
            <v>#VALUE!</v>
          </cell>
          <cell r="U41" t="e">
            <v>#VALUE!</v>
          </cell>
          <cell r="V41" t="e">
            <v>#VALUE!</v>
          </cell>
          <cell r="W41" t="e">
            <v>#VALUE!</v>
          </cell>
          <cell r="X41" t="e">
            <v>#VALUE!</v>
          </cell>
          <cell r="Z41" t="e">
            <v>#VALUE!</v>
          </cell>
          <cell r="AA41" t="e">
            <v>#VALUE!</v>
          </cell>
          <cell r="AB41" t="e">
            <v>#VALUE!</v>
          </cell>
          <cell r="AC41" t="e">
            <v>#VALUE!</v>
          </cell>
          <cell r="AD41" t="e">
            <v>#VALUE!</v>
          </cell>
          <cell r="AE41" t="e">
            <v>#VALUE!</v>
          </cell>
          <cell r="AF41" t="e">
            <v>#VALUE!</v>
          </cell>
        </row>
        <row r="43">
          <cell r="C43" t="str">
            <v>Allemagne</v>
          </cell>
          <cell r="E43">
            <v>8.8140000000000001</v>
          </cell>
          <cell r="F43">
            <v>7.9370000000000003</v>
          </cell>
          <cell r="G43">
            <v>8.4049999999999994</v>
          </cell>
          <cell r="H43">
            <v>8.56</v>
          </cell>
          <cell r="J43">
            <v>0.87699999999999978</v>
          </cell>
          <cell r="K43">
            <v>0.11049514930074332</v>
          </cell>
          <cell r="L43">
            <v>0.4090000000000007</v>
          </cell>
          <cell r="M43">
            <v>4.8661511005354041E-2</v>
          </cell>
          <cell r="N43">
            <v>0.25399999999999956</v>
          </cell>
          <cell r="O43">
            <v>2.9672897196261629E-2</v>
          </cell>
          <cell r="R43" t="str">
            <v>Allemagne</v>
          </cell>
          <cell r="T43">
            <v>90.954999999999998</v>
          </cell>
          <cell r="U43">
            <v>94.578000000000003</v>
          </cell>
          <cell r="V43">
            <v>0</v>
          </cell>
          <cell r="W43">
            <v>92.665999999999997</v>
          </cell>
          <cell r="X43">
            <v>91.991</v>
          </cell>
          <cell r="Z43">
            <v>-3.6230000000000047</v>
          </cell>
          <cell r="AA43">
            <v>-3.8307005857599066E-2</v>
          </cell>
          <cell r="AB43">
            <v>90.954999999999998</v>
          </cell>
          <cell r="AC43">
            <v>-1.7109999999999985</v>
          </cell>
          <cell r="AD43">
            <v>-1.8464161612673457E-2</v>
          </cell>
          <cell r="AE43">
            <v>-1.0360000000000014</v>
          </cell>
          <cell r="AF43">
            <v>-1.1261971279799126E-2</v>
          </cell>
        </row>
        <row r="44">
          <cell r="C44" t="str">
            <v>UK</v>
          </cell>
          <cell r="E44">
            <v>0</v>
          </cell>
          <cell r="F44">
            <v>0</v>
          </cell>
          <cell r="G44">
            <v>0</v>
          </cell>
          <cell r="H44">
            <v>0</v>
          </cell>
          <cell r="J44">
            <v>0</v>
          </cell>
          <cell r="K44" t="e">
            <v>#DIV/0!</v>
          </cell>
          <cell r="L44">
            <v>0</v>
          </cell>
          <cell r="M44" t="e">
            <v>#DIV/0!</v>
          </cell>
          <cell r="N44">
            <v>0</v>
          </cell>
          <cell r="O44" t="e">
            <v>#DIV/0!</v>
          </cell>
          <cell r="R44" t="str">
            <v>UK</v>
          </cell>
          <cell r="T44">
            <v>0</v>
          </cell>
          <cell r="U44">
            <v>0</v>
          </cell>
          <cell r="V44">
            <v>0</v>
          </cell>
          <cell r="W44">
            <v>0</v>
          </cell>
          <cell r="X44">
            <v>0</v>
          </cell>
          <cell r="Z44">
            <v>0</v>
          </cell>
          <cell r="AA44" t="e">
            <v>#DIV/0!</v>
          </cell>
          <cell r="AB44">
            <v>0</v>
          </cell>
          <cell r="AC44">
            <v>0</v>
          </cell>
          <cell r="AD44" t="e">
            <v>#DIV/0!</v>
          </cell>
          <cell r="AE44">
            <v>0</v>
          </cell>
          <cell r="AF44" t="e">
            <v>#DIV/0!</v>
          </cell>
        </row>
        <row r="45">
          <cell r="C45" t="str">
            <v>Irlande</v>
          </cell>
          <cell r="E45">
            <v>3.476</v>
          </cell>
          <cell r="F45">
            <v>4.3310000000000004</v>
          </cell>
          <cell r="G45">
            <v>3.355</v>
          </cell>
          <cell r="H45">
            <v>4.2960000000000003</v>
          </cell>
          <cell r="J45">
            <v>-0.85500000000000043</v>
          </cell>
          <cell r="K45">
            <v>-0.19741399214961911</v>
          </cell>
          <cell r="L45">
            <v>0.121</v>
          </cell>
          <cell r="M45">
            <v>3.6065573770491806E-2</v>
          </cell>
          <cell r="N45">
            <v>-0.82000000000000028</v>
          </cell>
          <cell r="O45">
            <v>-0.19087523277467416</v>
          </cell>
          <cell r="R45" t="str">
            <v>Irlande</v>
          </cell>
          <cell r="T45">
            <v>40.322000000000003</v>
          </cell>
          <cell r="U45">
            <v>48.791000000000004</v>
          </cell>
          <cell r="V45">
            <v>40.081000000000003</v>
          </cell>
          <cell r="W45">
            <v>38.991</v>
          </cell>
          <cell r="X45">
            <v>48.692</v>
          </cell>
          <cell r="Z45">
            <v>-8.4690000000000012</v>
          </cell>
          <cell r="AA45">
            <v>-0.17357709413621367</v>
          </cell>
          <cell r="AB45">
            <v>0.24099999999999966</v>
          </cell>
          <cell r="AC45">
            <v>1.3310000000000031</v>
          </cell>
          <cell r="AD45">
            <v>3.4136082685748075E-2</v>
          </cell>
          <cell r="AE45">
            <v>-8.3699999999999974</v>
          </cell>
          <cell r="AF45">
            <v>-0.17189682083299099</v>
          </cell>
        </row>
        <row r="46">
          <cell r="C46" t="str">
            <v>Benelux</v>
          </cell>
          <cell r="E46">
            <v>0</v>
          </cell>
          <cell r="F46">
            <v>0</v>
          </cell>
          <cell r="G46">
            <v>0</v>
          </cell>
          <cell r="H46">
            <v>0</v>
          </cell>
          <cell r="J46">
            <v>0</v>
          </cell>
          <cell r="K46" t="e">
            <v>#DIV/0!</v>
          </cell>
          <cell r="L46">
            <v>0</v>
          </cell>
          <cell r="M46" t="e">
            <v>#DIV/0!</v>
          </cell>
          <cell r="N46">
            <v>0</v>
          </cell>
          <cell r="O46" t="e">
            <v>#DIV/0!</v>
          </cell>
          <cell r="R46" t="str">
            <v>Benelux</v>
          </cell>
          <cell r="T46">
            <v>0</v>
          </cell>
          <cell r="U46">
            <v>0</v>
          </cell>
          <cell r="V46">
            <v>0</v>
          </cell>
          <cell r="W46">
            <v>0</v>
          </cell>
          <cell r="X46">
            <v>0</v>
          </cell>
          <cell r="Z46">
            <v>0</v>
          </cell>
          <cell r="AA46" t="e">
            <v>#DIV/0!</v>
          </cell>
          <cell r="AB46">
            <v>0</v>
          </cell>
          <cell r="AC46">
            <v>0</v>
          </cell>
          <cell r="AD46" t="e">
            <v>#DIV/0!</v>
          </cell>
          <cell r="AE46">
            <v>0</v>
          </cell>
          <cell r="AF46" t="e">
            <v>#DIV/0!</v>
          </cell>
        </row>
        <row r="47">
          <cell r="C47" t="str">
            <v>Logistique Europe du Nord</v>
          </cell>
          <cell r="E47">
            <v>0</v>
          </cell>
          <cell r="F47">
            <v>0</v>
          </cell>
          <cell r="G47">
            <v>0</v>
          </cell>
          <cell r="H47">
            <v>0</v>
          </cell>
          <cell r="J47">
            <v>0</v>
          </cell>
          <cell r="K47" t="e">
            <v>#DIV/0!</v>
          </cell>
          <cell r="L47">
            <v>0</v>
          </cell>
          <cell r="M47" t="e">
            <v>#DIV/0!</v>
          </cell>
          <cell r="N47">
            <v>0</v>
          </cell>
          <cell r="O47" t="e">
            <v>#DIV/0!</v>
          </cell>
          <cell r="R47" t="str">
            <v>Logistique Europe du Nord</v>
          </cell>
          <cell r="T47">
            <v>0</v>
          </cell>
          <cell r="U47">
            <v>0</v>
          </cell>
          <cell r="V47">
            <v>0</v>
          </cell>
          <cell r="W47">
            <v>0</v>
          </cell>
          <cell r="X47">
            <v>0</v>
          </cell>
          <cell r="Z47">
            <v>0</v>
          </cell>
          <cell r="AA47" t="e">
            <v>#DIV/0!</v>
          </cell>
          <cell r="AB47">
            <v>0</v>
          </cell>
          <cell r="AC47">
            <v>0</v>
          </cell>
          <cell r="AD47" t="e">
            <v>#DIV/0!</v>
          </cell>
          <cell r="AE47">
            <v>0</v>
          </cell>
          <cell r="AF47" t="e">
            <v>#DIV/0!</v>
          </cell>
        </row>
        <row r="49">
          <cell r="C49" t="str">
            <v>Logistique France</v>
          </cell>
          <cell r="E49">
            <v>0</v>
          </cell>
          <cell r="F49">
            <v>0</v>
          </cell>
          <cell r="G49">
            <v>0</v>
          </cell>
          <cell r="H49">
            <v>0</v>
          </cell>
          <cell r="J49">
            <v>0</v>
          </cell>
          <cell r="K49" t="e">
            <v>#DIV/0!</v>
          </cell>
          <cell r="L49">
            <v>0</v>
          </cell>
          <cell r="M49" t="e">
            <v>#DIV/0!</v>
          </cell>
          <cell r="N49">
            <v>0</v>
          </cell>
          <cell r="O49" t="e">
            <v>#DIV/0!</v>
          </cell>
          <cell r="R49" t="str">
            <v>Logistique France</v>
          </cell>
          <cell r="T49">
            <v>0</v>
          </cell>
          <cell r="U49">
            <v>0</v>
          </cell>
          <cell r="V49">
            <v>0</v>
          </cell>
          <cell r="W49">
            <v>0</v>
          </cell>
          <cell r="X49">
            <v>0</v>
          </cell>
          <cell r="Z49">
            <v>0</v>
          </cell>
          <cell r="AA49" t="e">
            <v>#DIV/0!</v>
          </cell>
          <cell r="AB49">
            <v>0</v>
          </cell>
          <cell r="AC49">
            <v>0</v>
          </cell>
          <cell r="AD49" t="e">
            <v>#DIV/0!</v>
          </cell>
          <cell r="AE49">
            <v>0</v>
          </cell>
          <cell r="AF49" t="e">
            <v>#DIV/0!</v>
          </cell>
        </row>
        <row r="50">
          <cell r="C50" t="str">
            <v>Logistique Espagne</v>
          </cell>
          <cell r="E50">
            <v>0</v>
          </cell>
          <cell r="F50">
            <v>0</v>
          </cell>
          <cell r="G50">
            <v>0</v>
          </cell>
          <cell r="H50">
            <v>0</v>
          </cell>
          <cell r="J50">
            <v>0</v>
          </cell>
          <cell r="K50" t="e">
            <v>#DIV/0!</v>
          </cell>
          <cell r="L50">
            <v>0</v>
          </cell>
          <cell r="M50" t="e">
            <v>#DIV/0!</v>
          </cell>
          <cell r="N50">
            <v>0</v>
          </cell>
          <cell r="O50" t="e">
            <v>#DIV/0!</v>
          </cell>
          <cell r="R50" t="str">
            <v>Logistique Espagne</v>
          </cell>
          <cell r="T50">
            <v>0</v>
          </cell>
          <cell r="U50">
            <v>0</v>
          </cell>
          <cell r="V50">
            <v>0</v>
          </cell>
          <cell r="W50">
            <v>0</v>
          </cell>
          <cell r="X50">
            <v>0</v>
          </cell>
          <cell r="Z50">
            <v>0</v>
          </cell>
          <cell r="AA50" t="e">
            <v>#DIV/0!</v>
          </cell>
          <cell r="AB50">
            <v>0</v>
          </cell>
          <cell r="AC50">
            <v>0</v>
          </cell>
          <cell r="AD50" t="e">
            <v>#DIV/0!</v>
          </cell>
          <cell r="AE50">
            <v>0</v>
          </cell>
          <cell r="AF50" t="e">
            <v>#DIV/0!</v>
          </cell>
        </row>
        <row r="51">
          <cell r="C51" t="str">
            <v>Logistique Italie</v>
          </cell>
          <cell r="E51">
            <v>2.4889999999999999</v>
          </cell>
          <cell r="F51">
            <v>1.74</v>
          </cell>
          <cell r="G51">
            <v>1.8</v>
          </cell>
          <cell r="H51">
            <v>1.903</v>
          </cell>
          <cell r="J51">
            <v>0.74899999999999989</v>
          </cell>
          <cell r="K51">
            <v>0.43045977011494246</v>
          </cell>
          <cell r="L51">
            <v>0.68899999999999983</v>
          </cell>
          <cell r="M51">
            <v>0.38277777777777766</v>
          </cell>
          <cell r="N51">
            <v>0.58599999999999985</v>
          </cell>
          <cell r="O51">
            <v>0.30793483972674718</v>
          </cell>
          <cell r="R51" t="str">
            <v>Logistique Italie</v>
          </cell>
          <cell r="T51">
            <v>24.064</v>
          </cell>
          <cell r="U51">
            <v>20.856999999999999</v>
          </cell>
          <cell r="V51">
            <v>0</v>
          </cell>
          <cell r="W51">
            <v>20.222000000000001</v>
          </cell>
          <cell r="X51">
            <v>24.964000000000002</v>
          </cell>
          <cell r="Z51">
            <v>3.2070000000000007</v>
          </cell>
          <cell r="AA51">
            <v>0.15376132713237767</v>
          </cell>
          <cell r="AB51">
            <v>24.064</v>
          </cell>
          <cell r="AC51">
            <v>3.8419999999999987</v>
          </cell>
          <cell r="AD51">
            <v>0.18999109880328346</v>
          </cell>
          <cell r="AE51">
            <v>-0.90000000000000213</v>
          </cell>
          <cell r="AF51">
            <v>-3.6051914757250524E-2</v>
          </cell>
        </row>
        <row r="52">
          <cell r="C52" t="str">
            <v>Logistique Maroc</v>
          </cell>
          <cell r="E52">
            <v>0</v>
          </cell>
          <cell r="F52">
            <v>0</v>
          </cell>
          <cell r="G52">
            <v>0</v>
          </cell>
          <cell r="H52">
            <v>0</v>
          </cell>
          <cell r="J52">
            <v>0</v>
          </cell>
          <cell r="K52" t="e">
            <v>#DIV/0!</v>
          </cell>
          <cell r="L52">
            <v>0</v>
          </cell>
          <cell r="M52" t="e">
            <v>#DIV/0!</v>
          </cell>
          <cell r="N52">
            <v>0</v>
          </cell>
          <cell r="O52" t="e">
            <v>#DIV/0!</v>
          </cell>
          <cell r="R52" t="str">
            <v>Logistique Maroc</v>
          </cell>
          <cell r="T52">
            <v>0</v>
          </cell>
          <cell r="U52">
            <v>0</v>
          </cell>
          <cell r="V52">
            <v>0</v>
          </cell>
          <cell r="W52">
            <v>0</v>
          </cell>
          <cell r="X52">
            <v>0</v>
          </cell>
          <cell r="Z52">
            <v>0</v>
          </cell>
          <cell r="AA52" t="e">
            <v>#DIV/0!</v>
          </cell>
          <cell r="AB52">
            <v>0</v>
          </cell>
          <cell r="AC52">
            <v>0</v>
          </cell>
          <cell r="AD52" t="e">
            <v>#DIV/0!</v>
          </cell>
          <cell r="AE52">
            <v>0</v>
          </cell>
          <cell r="AF52" t="e">
            <v>#DIV/0!</v>
          </cell>
        </row>
        <row r="53">
          <cell r="C53" t="str">
            <v>Logistique Europe du Sud</v>
          </cell>
          <cell r="E53" t="e">
            <v>#VALUE!</v>
          </cell>
          <cell r="F53" t="e">
            <v>#VALUE!</v>
          </cell>
          <cell r="G53" t="e">
            <v>#VALUE!</v>
          </cell>
          <cell r="H53" t="e">
            <v>#VALUE!</v>
          </cell>
          <cell r="J53" t="e">
            <v>#VALUE!</v>
          </cell>
          <cell r="K53" t="e">
            <v>#VALUE!</v>
          </cell>
          <cell r="L53" t="e">
            <v>#VALUE!</v>
          </cell>
          <cell r="M53" t="e">
            <v>#VALUE!</v>
          </cell>
          <cell r="N53" t="e">
            <v>#VALUE!</v>
          </cell>
          <cell r="O53" t="e">
            <v>#VALUE!</v>
          </cell>
          <cell r="R53" t="str">
            <v>Logistique Europe du Sud</v>
          </cell>
          <cell r="T53" t="e">
            <v>#VALUE!</v>
          </cell>
          <cell r="U53" t="e">
            <v>#VALUE!</v>
          </cell>
          <cell r="V53" t="e">
            <v>#VALUE!</v>
          </cell>
          <cell r="W53" t="e">
            <v>#VALUE!</v>
          </cell>
          <cell r="X53" t="e">
            <v>#VALUE!</v>
          </cell>
          <cell r="Z53" t="e">
            <v>#VALUE!</v>
          </cell>
          <cell r="AA53" t="e">
            <v>#VALUE!</v>
          </cell>
          <cell r="AB53" t="e">
            <v>#VALUE!</v>
          </cell>
          <cell r="AC53" t="e">
            <v>#VALUE!</v>
          </cell>
          <cell r="AD53" t="e">
            <v>#VALUE!</v>
          </cell>
          <cell r="AE53" t="e">
            <v>#VALUE!</v>
          </cell>
          <cell r="AF53" t="e">
            <v>#VALUE!</v>
          </cell>
        </row>
        <row r="55">
          <cell r="C55" t="str">
            <v>Logistique Autres</v>
          </cell>
          <cell r="E55">
            <v>0</v>
          </cell>
          <cell r="F55">
            <v>0</v>
          </cell>
          <cell r="G55">
            <v>0</v>
          </cell>
          <cell r="H55">
            <v>0</v>
          </cell>
          <cell r="J55">
            <v>0</v>
          </cell>
          <cell r="K55" t="e">
            <v>#DIV/0!</v>
          </cell>
          <cell r="L55">
            <v>0</v>
          </cell>
          <cell r="M55" t="e">
            <v>#DIV/0!</v>
          </cell>
          <cell r="N55">
            <v>0</v>
          </cell>
          <cell r="O55" t="e">
            <v>#DIV/0!</v>
          </cell>
          <cell r="R55" t="str">
            <v>Logistique Autres</v>
          </cell>
          <cell r="T55">
            <v>0</v>
          </cell>
          <cell r="U55">
            <v>0</v>
          </cell>
          <cell r="V55">
            <v>0</v>
          </cell>
          <cell r="W55">
            <v>0</v>
          </cell>
          <cell r="X55">
            <v>0</v>
          </cell>
          <cell r="Z55">
            <v>0</v>
          </cell>
          <cell r="AA55" t="e">
            <v>#DIV/0!</v>
          </cell>
          <cell r="AB55">
            <v>0</v>
          </cell>
          <cell r="AC55">
            <v>0</v>
          </cell>
          <cell r="AD55" t="e">
            <v>#DIV/0!</v>
          </cell>
          <cell r="AE55">
            <v>0</v>
          </cell>
          <cell r="AF55" t="e">
            <v>#DIV/0!</v>
          </cell>
        </row>
        <row r="57">
          <cell r="C57" t="str">
            <v>Sociétés de service &amp; Holdings</v>
          </cell>
          <cell r="E57">
            <v>0</v>
          </cell>
          <cell r="F57">
            <v>0</v>
          </cell>
          <cell r="G57">
            <v>0</v>
          </cell>
          <cell r="H57">
            <v>0</v>
          </cell>
          <cell r="J57">
            <v>0</v>
          </cell>
          <cell r="K57" t="e">
            <v>#DIV/0!</v>
          </cell>
          <cell r="L57">
            <v>0</v>
          </cell>
          <cell r="M57" t="e">
            <v>#DIV/0!</v>
          </cell>
          <cell r="N57">
            <v>0</v>
          </cell>
          <cell r="O57" t="e">
            <v>#DIV/0!</v>
          </cell>
          <cell r="R57" t="str">
            <v>Sociétés de service &amp; Holdings</v>
          </cell>
          <cell r="T57">
            <v>0</v>
          </cell>
          <cell r="U57">
            <v>0</v>
          </cell>
          <cell r="V57">
            <v>0</v>
          </cell>
          <cell r="W57">
            <v>0</v>
          </cell>
          <cell r="X57">
            <v>0</v>
          </cell>
          <cell r="Z57">
            <v>0</v>
          </cell>
          <cell r="AA57" t="e">
            <v>#DIV/0!</v>
          </cell>
          <cell r="AB57">
            <v>0</v>
          </cell>
          <cell r="AC57">
            <v>0</v>
          </cell>
          <cell r="AD57" t="e">
            <v>#DIV/0!</v>
          </cell>
          <cell r="AE57">
            <v>0</v>
          </cell>
          <cell r="AF57" t="e">
            <v>#DIV/0!</v>
          </cell>
        </row>
        <row r="59">
          <cell r="C59" t="str">
            <v>Elim inter-zone Logistique</v>
          </cell>
          <cell r="E59">
            <v>0</v>
          </cell>
          <cell r="F59">
            <v>0</v>
          </cell>
          <cell r="G59">
            <v>0</v>
          </cell>
          <cell r="H59">
            <v>0</v>
          </cell>
          <cell r="J59">
            <v>0</v>
          </cell>
          <cell r="K59" t="e">
            <v>#DIV/0!</v>
          </cell>
          <cell r="L59">
            <v>0</v>
          </cell>
          <cell r="M59" t="e">
            <v>#DIV/0!</v>
          </cell>
          <cell r="N59">
            <v>0</v>
          </cell>
          <cell r="O59" t="e">
            <v>#DIV/0!</v>
          </cell>
          <cell r="R59" t="str">
            <v>Elim inter-zone Logistique</v>
          </cell>
          <cell r="T59">
            <v>0</v>
          </cell>
          <cell r="U59">
            <v>0</v>
          </cell>
          <cell r="V59">
            <v>0</v>
          </cell>
          <cell r="W59">
            <v>0</v>
          </cell>
          <cell r="X59">
            <v>0</v>
          </cell>
          <cell r="Z59">
            <v>0</v>
          </cell>
          <cell r="AA59" t="e">
            <v>#DIV/0!</v>
          </cell>
          <cell r="AB59">
            <v>0</v>
          </cell>
          <cell r="AC59">
            <v>0</v>
          </cell>
          <cell r="AD59" t="e">
            <v>#DIV/0!</v>
          </cell>
          <cell r="AE59">
            <v>0</v>
          </cell>
          <cell r="AF59" t="e">
            <v>#DIV/0!</v>
          </cell>
        </row>
        <row r="61">
          <cell r="C61" t="str">
            <v>LOGISTIQUE CONTRACTUELLE</v>
          </cell>
          <cell r="E61">
            <v>0</v>
          </cell>
          <cell r="F61">
            <v>0</v>
          </cell>
          <cell r="G61">
            <v>0</v>
          </cell>
          <cell r="H61">
            <v>0</v>
          </cell>
          <cell r="J61">
            <v>0</v>
          </cell>
          <cell r="K61" t="e">
            <v>#DIV/0!</v>
          </cell>
          <cell r="L61">
            <v>0</v>
          </cell>
          <cell r="M61" t="e">
            <v>#DIV/0!</v>
          </cell>
          <cell r="N61">
            <v>0</v>
          </cell>
          <cell r="O61" t="e">
            <v>#DIV/0!</v>
          </cell>
          <cell r="R61" t="str">
            <v>LOGISTIQUE CONTRACTUELLE</v>
          </cell>
          <cell r="T61">
            <v>0</v>
          </cell>
          <cell r="U61">
            <v>0</v>
          </cell>
          <cell r="V61">
            <v>0</v>
          </cell>
          <cell r="W61">
            <v>0</v>
          </cell>
          <cell r="X61">
            <v>0</v>
          </cell>
          <cell r="Z61">
            <v>0</v>
          </cell>
          <cell r="AA61" t="e">
            <v>#DIV/0!</v>
          </cell>
          <cell r="AB61">
            <v>0</v>
          </cell>
          <cell r="AC61">
            <v>0</v>
          </cell>
          <cell r="AD61" t="e">
            <v>#DIV/0!</v>
          </cell>
          <cell r="AE61">
            <v>0</v>
          </cell>
          <cell r="AF61" t="e">
            <v>#DIV/0!</v>
          </cell>
        </row>
        <row r="68">
          <cell r="C68" t="str">
            <v>en M€</v>
          </cell>
          <cell r="E68" t="str">
            <v>Réel 2009.12</v>
          </cell>
          <cell r="F68" t="str">
            <v>Budget 2009.12</v>
          </cell>
          <cell r="G68" t="str">
            <v>P1 2009.12</v>
          </cell>
          <cell r="H68" t="str">
            <v>Réel 2008.12</v>
          </cell>
          <cell r="J68" t="str">
            <v xml:space="preserve">     N / B
valeur</v>
          </cell>
          <cell r="K68" t="str">
            <v xml:space="preserve">     N / B
%</v>
          </cell>
          <cell r="L68" t="str">
            <v xml:space="preserve">     N / P1
valeur</v>
          </cell>
          <cell r="M68" t="str">
            <v xml:space="preserve">     N / P1
%</v>
          </cell>
          <cell r="N68" t="str">
            <v xml:space="preserve">     N / N-1
valeur</v>
          </cell>
          <cell r="O68" t="str">
            <v xml:space="preserve">     N / N-1
%</v>
          </cell>
          <cell r="R68" t="str">
            <v>en M€</v>
          </cell>
          <cell r="T68" t="str">
            <v>Réel 2009.12</v>
          </cell>
          <cell r="U68" t="str">
            <v>Budget 2009.12</v>
          </cell>
          <cell r="V68" t="str">
            <v>P3 2009.12</v>
          </cell>
          <cell r="W68" t="str">
            <v>P1 2009.12</v>
          </cell>
          <cell r="X68" t="str">
            <v>Réel 2008.12</v>
          </cell>
          <cell r="Z68" t="str">
            <v xml:space="preserve">     N / B
valeur</v>
          </cell>
          <cell r="AA68" t="str">
            <v xml:space="preserve">     N / B
%</v>
          </cell>
          <cell r="AB68" t="str">
            <v xml:space="preserve">     N / P3
valeur</v>
          </cell>
          <cell r="AC68" t="str">
            <v xml:space="preserve">     N / P1
valeur</v>
          </cell>
          <cell r="AD68" t="str">
            <v xml:space="preserve">     N / P1
%</v>
          </cell>
          <cell r="AE68" t="str">
            <v xml:space="preserve">     N / N-1
valeur</v>
          </cell>
          <cell r="AF68" t="str">
            <v xml:space="preserve">     N / N-1
%</v>
          </cell>
        </row>
        <row r="70">
          <cell r="C70" t="str">
            <v>Freight Management Amériques</v>
          </cell>
          <cell r="E70">
            <v>0</v>
          </cell>
          <cell r="F70">
            <v>0</v>
          </cell>
          <cell r="G70">
            <v>0</v>
          </cell>
          <cell r="H70" t="e">
            <v>#VALUE!</v>
          </cell>
          <cell r="J70">
            <v>0</v>
          </cell>
          <cell r="K70" t="e">
            <v>#DIV/0!</v>
          </cell>
          <cell r="L70">
            <v>0</v>
          </cell>
          <cell r="M70" t="e">
            <v>#DIV/0!</v>
          </cell>
          <cell r="N70" t="e">
            <v>#VALUE!</v>
          </cell>
          <cell r="O70" t="e">
            <v>#VALUE!</v>
          </cell>
          <cell r="R70" t="str">
            <v>Freight Management Amériques</v>
          </cell>
          <cell r="T70">
            <v>0</v>
          </cell>
          <cell r="U70">
            <v>0</v>
          </cell>
          <cell r="V70">
            <v>0</v>
          </cell>
          <cell r="W70">
            <v>0</v>
          </cell>
          <cell r="X70" t="e">
            <v>#VALUE!</v>
          </cell>
          <cell r="Z70">
            <v>0</v>
          </cell>
          <cell r="AA70" t="e">
            <v>#DIV/0!</v>
          </cell>
          <cell r="AB70">
            <v>0</v>
          </cell>
          <cell r="AC70">
            <v>0</v>
          </cell>
          <cell r="AD70" t="e">
            <v>#DIV/0!</v>
          </cell>
          <cell r="AE70" t="e">
            <v>#VALUE!</v>
          </cell>
          <cell r="AF70" t="e">
            <v>#VALUE!</v>
          </cell>
        </row>
        <row r="72">
          <cell r="C72" t="str">
            <v>Freight Management Asie</v>
          </cell>
          <cell r="E72">
            <v>0</v>
          </cell>
          <cell r="F72" t="e">
            <v>#VALUE!</v>
          </cell>
          <cell r="G72" t="e">
            <v>#VALUE!</v>
          </cell>
          <cell r="H72">
            <v>0</v>
          </cell>
          <cell r="J72" t="e">
            <v>#VALUE!</v>
          </cell>
          <cell r="K72" t="e">
            <v>#VALUE!</v>
          </cell>
          <cell r="L72" t="e">
            <v>#VALUE!</v>
          </cell>
          <cell r="M72" t="e">
            <v>#VALUE!</v>
          </cell>
          <cell r="N72">
            <v>0</v>
          </cell>
          <cell r="O72" t="e">
            <v>#DIV/0!</v>
          </cell>
          <cell r="R72" t="str">
            <v>Freight Management Asie</v>
          </cell>
          <cell r="T72">
            <v>0</v>
          </cell>
          <cell r="U72" t="e">
            <v>#VALUE!</v>
          </cell>
          <cell r="V72">
            <v>0</v>
          </cell>
          <cell r="W72" t="e">
            <v>#VALUE!</v>
          </cell>
          <cell r="X72">
            <v>0</v>
          </cell>
          <cell r="Z72" t="e">
            <v>#VALUE!</v>
          </cell>
          <cell r="AA72" t="e">
            <v>#VALUE!</v>
          </cell>
          <cell r="AB72">
            <v>0</v>
          </cell>
          <cell r="AC72" t="e">
            <v>#VALUE!</v>
          </cell>
          <cell r="AD72" t="e">
            <v>#VALUE!</v>
          </cell>
          <cell r="AE72">
            <v>0</v>
          </cell>
          <cell r="AF72" t="e">
            <v>#DIV/0!</v>
          </cell>
        </row>
        <row r="74">
          <cell r="C74" t="str">
            <v>Freight Management Europe Centrale et Moyen Orient</v>
          </cell>
          <cell r="E74">
            <v>0.28700000000000003</v>
          </cell>
          <cell r="F74">
            <v>8.3000000000000004E-2</v>
          </cell>
          <cell r="G74">
            <v>0</v>
          </cell>
          <cell r="H74">
            <v>8.8999999999999996E-2</v>
          </cell>
          <cell r="J74">
            <v>0.20400000000000001</v>
          </cell>
          <cell r="K74">
            <v>2.4578313253012047</v>
          </cell>
          <cell r="L74">
            <v>0.28700000000000003</v>
          </cell>
          <cell r="M74" t="e">
            <v>#DIV/0!</v>
          </cell>
          <cell r="N74">
            <v>0.19800000000000004</v>
          </cell>
          <cell r="O74">
            <v>2.2247191011235961</v>
          </cell>
          <cell r="R74" t="str">
            <v>Freight Management Europe Centrale et Moyen Orient</v>
          </cell>
          <cell r="T74">
            <v>1.603</v>
          </cell>
          <cell r="U74">
            <v>0.996</v>
          </cell>
          <cell r="V74">
            <v>1.1160000000000001</v>
          </cell>
          <cell r="W74">
            <v>0.22800000000000001</v>
          </cell>
          <cell r="X74">
            <v>1.407</v>
          </cell>
          <cell r="Z74">
            <v>0.60699999999999998</v>
          </cell>
          <cell r="AA74">
            <v>0.60943775100401609</v>
          </cell>
          <cell r="AB74">
            <v>0.48699999999999988</v>
          </cell>
          <cell r="AC74">
            <v>1.375</v>
          </cell>
          <cell r="AD74">
            <v>6.0307017543859649</v>
          </cell>
          <cell r="AE74">
            <v>0.19599999999999995</v>
          </cell>
          <cell r="AF74">
            <v>0.13930348258706465</v>
          </cell>
        </row>
        <row r="76">
          <cell r="C76" t="str">
            <v>Geodis Overseas Wilson Afrique</v>
          </cell>
          <cell r="E76">
            <v>0</v>
          </cell>
          <cell r="F76">
            <v>0</v>
          </cell>
          <cell r="G76">
            <v>0</v>
          </cell>
          <cell r="H76">
            <v>0</v>
          </cell>
          <cell r="J76">
            <v>0</v>
          </cell>
          <cell r="K76" t="e">
            <v>#DIV/0!</v>
          </cell>
          <cell r="L76">
            <v>0</v>
          </cell>
          <cell r="M76" t="e">
            <v>#DIV/0!</v>
          </cell>
          <cell r="N76">
            <v>0</v>
          </cell>
          <cell r="O76" t="e">
            <v>#DIV/0!</v>
          </cell>
          <cell r="R76" t="str">
            <v>Geodis Overseas Wilson Afrique</v>
          </cell>
          <cell r="T76">
            <v>0</v>
          </cell>
          <cell r="U76">
            <v>0</v>
          </cell>
          <cell r="V76">
            <v>0</v>
          </cell>
          <cell r="W76">
            <v>0</v>
          </cell>
          <cell r="X76">
            <v>0</v>
          </cell>
          <cell r="Z76">
            <v>0</v>
          </cell>
          <cell r="AA76" t="e">
            <v>#DIV/0!</v>
          </cell>
          <cell r="AB76">
            <v>0</v>
          </cell>
          <cell r="AC76">
            <v>0</v>
          </cell>
          <cell r="AD76" t="e">
            <v>#DIV/0!</v>
          </cell>
          <cell r="AE76">
            <v>0</v>
          </cell>
          <cell r="AF76" t="e">
            <v>#DIV/0!</v>
          </cell>
        </row>
        <row r="77">
          <cell r="C77" t="str">
            <v>Geodis Overseas Wilson France et filiales</v>
          </cell>
          <cell r="E77">
            <v>0</v>
          </cell>
          <cell r="F77">
            <v>0</v>
          </cell>
          <cell r="G77">
            <v>0</v>
          </cell>
          <cell r="H77">
            <v>0</v>
          </cell>
          <cell r="J77">
            <v>0</v>
          </cell>
          <cell r="K77" t="e">
            <v>#DIV/0!</v>
          </cell>
          <cell r="L77">
            <v>0</v>
          </cell>
          <cell r="M77" t="e">
            <v>#DIV/0!</v>
          </cell>
          <cell r="N77">
            <v>0</v>
          </cell>
          <cell r="O77" t="e">
            <v>#DIV/0!</v>
          </cell>
          <cell r="R77" t="str">
            <v>Geodis Overseas Wilson France et filiales</v>
          </cell>
          <cell r="T77">
            <v>0</v>
          </cell>
          <cell r="U77">
            <v>0</v>
          </cell>
          <cell r="V77">
            <v>0</v>
          </cell>
          <cell r="W77">
            <v>0</v>
          </cell>
          <cell r="X77">
            <v>0</v>
          </cell>
          <cell r="Z77">
            <v>0</v>
          </cell>
          <cell r="AA77" t="e">
            <v>#DIV/0!</v>
          </cell>
          <cell r="AB77">
            <v>0</v>
          </cell>
          <cell r="AC77">
            <v>0</v>
          </cell>
          <cell r="AD77" t="e">
            <v>#DIV/0!</v>
          </cell>
          <cell r="AE77">
            <v>0</v>
          </cell>
          <cell r="AF77" t="e">
            <v>#DIV/0!</v>
          </cell>
        </row>
        <row r="78">
          <cell r="C78" t="str">
            <v>Geodis Overseas Wilson Europe du Sud</v>
          </cell>
          <cell r="E78">
            <v>0</v>
          </cell>
          <cell r="F78">
            <v>0</v>
          </cell>
          <cell r="G78">
            <v>0</v>
          </cell>
          <cell r="H78">
            <v>0</v>
          </cell>
          <cell r="J78">
            <v>0</v>
          </cell>
          <cell r="K78" t="e">
            <v>#DIV/0!</v>
          </cell>
          <cell r="L78">
            <v>0</v>
          </cell>
          <cell r="M78" t="e">
            <v>#DIV/0!</v>
          </cell>
          <cell r="N78">
            <v>0</v>
          </cell>
          <cell r="O78" t="e">
            <v>#DIV/0!</v>
          </cell>
          <cell r="R78" t="str">
            <v>Geodis Overseas Wilson Europe du Sud</v>
          </cell>
          <cell r="T78">
            <v>0</v>
          </cell>
          <cell r="U78">
            <v>0</v>
          </cell>
          <cell r="V78">
            <v>0</v>
          </cell>
          <cell r="W78">
            <v>0</v>
          </cell>
          <cell r="X78">
            <v>0</v>
          </cell>
          <cell r="Z78">
            <v>0</v>
          </cell>
          <cell r="AA78" t="e">
            <v>#DIV/0!</v>
          </cell>
          <cell r="AB78">
            <v>0</v>
          </cell>
          <cell r="AC78">
            <v>0</v>
          </cell>
          <cell r="AD78" t="e">
            <v>#DIV/0!</v>
          </cell>
          <cell r="AE78">
            <v>0</v>
          </cell>
          <cell r="AF78" t="e">
            <v>#DIV/0!</v>
          </cell>
        </row>
        <row r="79">
          <cell r="C79" t="str">
            <v>Freight Management Europe du Sud et Afrique</v>
          </cell>
          <cell r="E79">
            <v>0</v>
          </cell>
          <cell r="F79">
            <v>0</v>
          </cell>
          <cell r="G79">
            <v>0</v>
          </cell>
          <cell r="H79">
            <v>0</v>
          </cell>
          <cell r="J79">
            <v>0</v>
          </cell>
          <cell r="K79" t="e">
            <v>#DIV/0!</v>
          </cell>
          <cell r="L79">
            <v>0</v>
          </cell>
          <cell r="M79" t="e">
            <v>#DIV/0!</v>
          </cell>
          <cell r="N79">
            <v>0</v>
          </cell>
          <cell r="O79" t="e">
            <v>#DIV/0!</v>
          </cell>
          <cell r="R79" t="str">
            <v>Freight Management Europe du Sud et Afrique</v>
          </cell>
          <cell r="T79">
            <v>0</v>
          </cell>
          <cell r="U79">
            <v>0</v>
          </cell>
          <cell r="V79">
            <v>0</v>
          </cell>
          <cell r="W79">
            <v>0</v>
          </cell>
          <cell r="X79">
            <v>0</v>
          </cell>
          <cell r="Z79">
            <v>0</v>
          </cell>
          <cell r="AA79" t="e">
            <v>#DIV/0!</v>
          </cell>
          <cell r="AB79">
            <v>0</v>
          </cell>
          <cell r="AC79">
            <v>0</v>
          </cell>
          <cell r="AD79" t="e">
            <v>#DIV/0!</v>
          </cell>
          <cell r="AE79">
            <v>0</v>
          </cell>
          <cell r="AF79" t="e">
            <v>#DIV/0!</v>
          </cell>
        </row>
        <row r="81">
          <cell r="C81" t="str">
            <v>Freight Management Pays Nordiques</v>
          </cell>
          <cell r="E81">
            <v>0</v>
          </cell>
          <cell r="F81">
            <v>0</v>
          </cell>
          <cell r="G81">
            <v>0</v>
          </cell>
          <cell r="H81">
            <v>0</v>
          </cell>
          <cell r="J81">
            <v>0</v>
          </cell>
          <cell r="K81" t="e">
            <v>#DIV/0!</v>
          </cell>
          <cell r="L81">
            <v>0</v>
          </cell>
          <cell r="M81" t="e">
            <v>#DIV/0!</v>
          </cell>
          <cell r="N81">
            <v>0</v>
          </cell>
          <cell r="O81" t="e">
            <v>#DIV/0!</v>
          </cell>
          <cell r="R81" t="str">
            <v>Freight Management Pays Nordiques</v>
          </cell>
          <cell r="T81">
            <v>0</v>
          </cell>
          <cell r="U81">
            <v>0</v>
          </cell>
          <cell r="V81">
            <v>0</v>
          </cell>
          <cell r="W81">
            <v>0</v>
          </cell>
          <cell r="X81">
            <v>0</v>
          </cell>
          <cell r="Z81">
            <v>0</v>
          </cell>
          <cell r="AA81" t="e">
            <v>#DIV/0!</v>
          </cell>
          <cell r="AB81">
            <v>0</v>
          </cell>
          <cell r="AC81">
            <v>0</v>
          </cell>
          <cell r="AD81" t="e">
            <v>#DIV/0!</v>
          </cell>
          <cell r="AE81">
            <v>0</v>
          </cell>
          <cell r="AF81" t="e">
            <v>#DIV/0!</v>
          </cell>
        </row>
        <row r="83">
          <cell r="C83" t="str">
            <v>Freight Management Projets</v>
          </cell>
          <cell r="E83">
            <v>0</v>
          </cell>
          <cell r="F83">
            <v>0</v>
          </cell>
          <cell r="G83">
            <v>0</v>
          </cell>
          <cell r="H83">
            <v>0</v>
          </cell>
          <cell r="J83">
            <v>0</v>
          </cell>
          <cell r="K83" t="e">
            <v>#DIV/0!</v>
          </cell>
          <cell r="L83">
            <v>0</v>
          </cell>
          <cell r="M83" t="e">
            <v>#DIV/0!</v>
          </cell>
          <cell r="N83">
            <v>0</v>
          </cell>
          <cell r="O83" t="e">
            <v>#DIV/0!</v>
          </cell>
          <cell r="R83" t="str">
            <v>Freight Management Projets</v>
          </cell>
          <cell r="T83">
            <v>0</v>
          </cell>
          <cell r="U83">
            <v>0</v>
          </cell>
          <cell r="V83">
            <v>0</v>
          </cell>
          <cell r="W83">
            <v>0</v>
          </cell>
          <cell r="X83">
            <v>0</v>
          </cell>
          <cell r="Z83">
            <v>0</v>
          </cell>
          <cell r="AA83" t="e">
            <v>#DIV/0!</v>
          </cell>
          <cell r="AB83">
            <v>0</v>
          </cell>
          <cell r="AC83">
            <v>0</v>
          </cell>
          <cell r="AD83" t="e">
            <v>#DIV/0!</v>
          </cell>
          <cell r="AE83">
            <v>0</v>
          </cell>
          <cell r="AF83" t="e">
            <v>#DIV/0!</v>
          </cell>
        </row>
        <row r="85">
          <cell r="C85" t="str">
            <v>Sociétés de service &amp; Holdings</v>
          </cell>
          <cell r="E85">
            <v>0</v>
          </cell>
          <cell r="F85">
            <v>0</v>
          </cell>
          <cell r="G85">
            <v>0</v>
          </cell>
          <cell r="H85">
            <v>0</v>
          </cell>
          <cell r="J85">
            <v>0</v>
          </cell>
          <cell r="K85" t="e">
            <v>#DIV/0!</v>
          </cell>
          <cell r="L85">
            <v>0</v>
          </cell>
          <cell r="M85" t="e">
            <v>#DIV/0!</v>
          </cell>
          <cell r="N85">
            <v>0</v>
          </cell>
          <cell r="O85" t="e">
            <v>#DIV/0!</v>
          </cell>
          <cell r="R85" t="str">
            <v>Sociétés de service &amp; Holdings</v>
          </cell>
          <cell r="T85">
            <v>0</v>
          </cell>
          <cell r="U85">
            <v>0</v>
          </cell>
          <cell r="V85">
            <v>0</v>
          </cell>
          <cell r="W85">
            <v>0</v>
          </cell>
          <cell r="X85">
            <v>0</v>
          </cell>
          <cell r="Z85">
            <v>0</v>
          </cell>
          <cell r="AA85" t="e">
            <v>#DIV/0!</v>
          </cell>
          <cell r="AB85">
            <v>0</v>
          </cell>
          <cell r="AC85">
            <v>0</v>
          </cell>
          <cell r="AD85" t="e">
            <v>#DIV/0!</v>
          </cell>
          <cell r="AE85">
            <v>0</v>
          </cell>
          <cell r="AF85" t="e">
            <v>#DIV/0!</v>
          </cell>
        </row>
        <row r="87">
          <cell r="C87" t="str">
            <v>Elim inter-zone Freight Management</v>
          </cell>
          <cell r="E87">
            <v>0</v>
          </cell>
          <cell r="F87">
            <v>0</v>
          </cell>
          <cell r="G87">
            <v>0</v>
          </cell>
          <cell r="H87">
            <v>0</v>
          </cell>
          <cell r="J87">
            <v>0</v>
          </cell>
          <cell r="K87" t="e">
            <v>#DIV/0!</v>
          </cell>
          <cell r="L87">
            <v>0</v>
          </cell>
          <cell r="M87" t="e">
            <v>#DIV/0!</v>
          </cell>
          <cell r="N87">
            <v>0</v>
          </cell>
          <cell r="O87" t="e">
            <v>#DIV/0!</v>
          </cell>
          <cell r="R87" t="str">
            <v>Elim inter-zone Freight Management</v>
          </cell>
          <cell r="T87">
            <v>0</v>
          </cell>
          <cell r="U87">
            <v>0</v>
          </cell>
          <cell r="V87">
            <v>0</v>
          </cell>
          <cell r="W87">
            <v>0</v>
          </cell>
          <cell r="X87">
            <v>0</v>
          </cell>
          <cell r="Z87">
            <v>0</v>
          </cell>
          <cell r="AA87" t="e">
            <v>#DIV/0!</v>
          </cell>
          <cell r="AB87">
            <v>0</v>
          </cell>
          <cell r="AC87">
            <v>0</v>
          </cell>
          <cell r="AD87" t="e">
            <v>#DIV/0!</v>
          </cell>
          <cell r="AE87">
            <v>0</v>
          </cell>
          <cell r="AF87" t="e">
            <v>#DIV/0!</v>
          </cell>
        </row>
        <row r="89">
          <cell r="C89" t="str">
            <v>SOUS-TOTAL GEODIS WILSON net des Eliminations</v>
          </cell>
          <cell r="E89">
            <v>0.28700000000000003</v>
          </cell>
          <cell r="F89" t="e">
            <v>#VALUE!</v>
          </cell>
          <cell r="G89" t="e">
            <v>#VALUE!</v>
          </cell>
          <cell r="H89" t="e">
            <v>#VALUE!</v>
          </cell>
          <cell r="J89" t="e">
            <v>#VALUE!</v>
          </cell>
          <cell r="K89" t="e">
            <v>#VALUE!</v>
          </cell>
          <cell r="L89" t="e">
            <v>#VALUE!</v>
          </cell>
          <cell r="M89" t="e">
            <v>#VALUE!</v>
          </cell>
          <cell r="N89" t="e">
            <v>#VALUE!</v>
          </cell>
          <cell r="O89" t="e">
            <v>#VALUE!</v>
          </cell>
          <cell r="R89" t="str">
            <v>SOUS-TOTAL GEODIS WILSON net des Eliminations</v>
          </cell>
          <cell r="T89">
            <v>1.603</v>
          </cell>
          <cell r="U89" t="e">
            <v>#VALUE!</v>
          </cell>
          <cell r="V89">
            <v>1.1160000000000001</v>
          </cell>
          <cell r="W89" t="e">
            <v>#VALUE!</v>
          </cell>
          <cell r="X89" t="e">
            <v>#VALUE!</v>
          </cell>
          <cell r="Z89" t="e">
            <v>#VALUE!</v>
          </cell>
          <cell r="AA89" t="e">
            <v>#VALUE!</v>
          </cell>
          <cell r="AB89">
            <v>0.48699999999999988</v>
          </cell>
          <cell r="AC89" t="e">
            <v>#VALUE!</v>
          </cell>
          <cell r="AD89" t="e">
            <v>#VALUE!</v>
          </cell>
          <cell r="AE89" t="e">
            <v>#VALUE!</v>
          </cell>
          <cell r="AF89" t="e">
            <v>#VALUE!</v>
          </cell>
        </row>
        <row r="91">
          <cell r="C91" t="str">
            <v>TGFL</v>
          </cell>
          <cell r="E91">
            <v>0</v>
          </cell>
          <cell r="F91">
            <v>0</v>
          </cell>
          <cell r="G91">
            <v>0</v>
          </cell>
          <cell r="H91">
            <v>0</v>
          </cell>
          <cell r="J91">
            <v>0</v>
          </cell>
          <cell r="K91" t="e">
            <v>#DIV/0!</v>
          </cell>
          <cell r="L91">
            <v>0</v>
          </cell>
          <cell r="M91" t="e">
            <v>#DIV/0!</v>
          </cell>
          <cell r="N91">
            <v>0</v>
          </cell>
          <cell r="O91" t="e">
            <v>#DIV/0!</v>
          </cell>
          <cell r="R91" t="str">
            <v>TGFL</v>
          </cell>
          <cell r="T91">
            <v>0</v>
          </cell>
          <cell r="U91">
            <v>0</v>
          </cell>
          <cell r="V91">
            <v>0</v>
          </cell>
          <cell r="W91">
            <v>0</v>
          </cell>
          <cell r="X91">
            <v>0</v>
          </cell>
          <cell r="Z91">
            <v>0</v>
          </cell>
          <cell r="AA91" t="e">
            <v>#DIV/0!</v>
          </cell>
          <cell r="AB91">
            <v>0</v>
          </cell>
          <cell r="AC91">
            <v>0</v>
          </cell>
          <cell r="AD91" t="e">
            <v>#DIV/0!</v>
          </cell>
          <cell r="AE91">
            <v>0</v>
          </cell>
          <cell r="AF91" t="e">
            <v>#DIV/0!</v>
          </cell>
        </row>
        <row r="92">
          <cell r="C92" t="str">
            <v>Freight Management Autres</v>
          </cell>
          <cell r="E92">
            <v>0</v>
          </cell>
          <cell r="F92">
            <v>0</v>
          </cell>
          <cell r="G92">
            <v>0</v>
          </cell>
          <cell r="H92">
            <v>0</v>
          </cell>
          <cell r="J92">
            <v>0</v>
          </cell>
          <cell r="K92" t="e">
            <v>#DIV/0!</v>
          </cell>
          <cell r="L92">
            <v>0</v>
          </cell>
          <cell r="M92" t="e">
            <v>#DIV/0!</v>
          </cell>
          <cell r="N92">
            <v>0</v>
          </cell>
          <cell r="O92" t="e">
            <v>#DIV/0!</v>
          </cell>
          <cell r="R92" t="str">
            <v>Freight Management Autres</v>
          </cell>
          <cell r="T92">
            <v>0</v>
          </cell>
          <cell r="U92">
            <v>0</v>
          </cell>
          <cell r="V92">
            <v>0</v>
          </cell>
          <cell r="W92">
            <v>0</v>
          </cell>
          <cell r="X92">
            <v>0</v>
          </cell>
          <cell r="Z92">
            <v>0</v>
          </cell>
          <cell r="AA92" t="e">
            <v>#DIV/0!</v>
          </cell>
          <cell r="AB92">
            <v>0</v>
          </cell>
          <cell r="AC92">
            <v>0</v>
          </cell>
          <cell r="AD92" t="e">
            <v>#DIV/0!</v>
          </cell>
          <cell r="AE92">
            <v>0</v>
          </cell>
          <cell r="AF92" t="e">
            <v>#DIV/0!</v>
          </cell>
        </row>
        <row r="94">
          <cell r="C94" t="str">
            <v>FREIGHT MANAGEMENT</v>
          </cell>
          <cell r="E94">
            <v>0</v>
          </cell>
          <cell r="F94">
            <v>0</v>
          </cell>
          <cell r="G94">
            <v>0</v>
          </cell>
          <cell r="H94">
            <v>0</v>
          </cell>
          <cell r="J94">
            <v>0</v>
          </cell>
          <cell r="K94" t="e">
            <v>#DIV/0!</v>
          </cell>
          <cell r="L94">
            <v>0</v>
          </cell>
          <cell r="M94" t="e">
            <v>#DIV/0!</v>
          </cell>
          <cell r="N94">
            <v>0</v>
          </cell>
          <cell r="O94" t="e">
            <v>#DIV/0!</v>
          </cell>
          <cell r="R94" t="str">
            <v>FREIGHT MANAGEMENT</v>
          </cell>
          <cell r="T94">
            <v>0</v>
          </cell>
          <cell r="U94">
            <v>0</v>
          </cell>
          <cell r="V94">
            <v>0</v>
          </cell>
          <cell r="W94">
            <v>0</v>
          </cell>
          <cell r="X94">
            <v>0</v>
          </cell>
          <cell r="Z94">
            <v>0</v>
          </cell>
          <cell r="AA94" t="e">
            <v>#DIV/0!</v>
          </cell>
          <cell r="AB94">
            <v>0</v>
          </cell>
          <cell r="AC94">
            <v>0</v>
          </cell>
          <cell r="AD94" t="e">
            <v>#DIV/0!</v>
          </cell>
          <cell r="AE94">
            <v>0</v>
          </cell>
          <cell r="AF94" t="e">
            <v>#DIV/0!</v>
          </cell>
        </row>
        <row r="101">
          <cell r="C101" t="str">
            <v>en M€</v>
          </cell>
          <cell r="E101" t="str">
            <v>Réel 2009.12</v>
          </cell>
          <cell r="F101" t="str">
            <v>Budget 2009.12</v>
          </cell>
          <cell r="G101" t="str">
            <v>P1 2009.12</v>
          </cell>
          <cell r="H101" t="str">
            <v>Réel 2008.12</v>
          </cell>
          <cell r="J101" t="str">
            <v xml:space="preserve">     N / B
valeur</v>
          </cell>
          <cell r="K101" t="str">
            <v xml:space="preserve">     N / B
%</v>
          </cell>
          <cell r="L101" t="str">
            <v xml:space="preserve">     N / P1
valeur</v>
          </cell>
          <cell r="M101" t="str">
            <v xml:space="preserve">     N / P1
%</v>
          </cell>
          <cell r="N101" t="str">
            <v xml:space="preserve">     N / N-1
valeur</v>
          </cell>
          <cell r="O101" t="str">
            <v xml:space="preserve">     N / N-1
%</v>
          </cell>
          <cell r="R101" t="str">
            <v>en M€</v>
          </cell>
          <cell r="T101" t="str">
            <v>Réel 2009.12</v>
          </cell>
          <cell r="U101" t="str">
            <v>Budget 2009.12</v>
          </cell>
          <cell r="V101" t="str">
            <v>P3 2009.12</v>
          </cell>
          <cell r="W101" t="str">
            <v>P1 2009.12</v>
          </cell>
          <cell r="X101" t="str">
            <v>Réel 2008.12</v>
          </cell>
          <cell r="Z101" t="str">
            <v xml:space="preserve">     N / B
valeur</v>
          </cell>
          <cell r="AA101" t="str">
            <v xml:space="preserve">     N / B
%</v>
          </cell>
          <cell r="AB101" t="str">
            <v xml:space="preserve">     N / P3
valeur</v>
          </cell>
          <cell r="AC101" t="str">
            <v xml:space="preserve">     N / P1
valeur</v>
          </cell>
          <cell r="AD101" t="str">
            <v xml:space="preserve">     N / P1
%</v>
          </cell>
          <cell r="AE101" t="str">
            <v xml:space="preserve">     N / N-1
valeur</v>
          </cell>
          <cell r="AF101" t="str">
            <v xml:space="preserve">     N / N-1
%</v>
          </cell>
        </row>
        <row r="103">
          <cell r="C103" t="str">
            <v>BM</v>
          </cell>
          <cell r="E103">
            <v>0</v>
          </cell>
          <cell r="F103">
            <v>0</v>
          </cell>
          <cell r="G103">
            <v>0</v>
          </cell>
          <cell r="H103">
            <v>0</v>
          </cell>
          <cell r="J103">
            <v>0</v>
          </cell>
          <cell r="K103" t="e">
            <v>#DIV/0!</v>
          </cell>
          <cell r="L103">
            <v>0</v>
          </cell>
          <cell r="M103" t="e">
            <v>#DIV/0!</v>
          </cell>
          <cell r="N103">
            <v>0</v>
          </cell>
          <cell r="O103" t="e">
            <v>#DIV/0!</v>
          </cell>
          <cell r="R103" t="str">
            <v>BM</v>
          </cell>
          <cell r="T103">
            <v>0</v>
          </cell>
          <cell r="U103">
            <v>0</v>
          </cell>
          <cell r="V103">
            <v>0</v>
          </cell>
          <cell r="W103">
            <v>0</v>
          </cell>
          <cell r="X103">
            <v>0</v>
          </cell>
          <cell r="Z103">
            <v>0</v>
          </cell>
          <cell r="AA103" t="e">
            <v>#DIV/0!</v>
          </cell>
          <cell r="AB103">
            <v>0</v>
          </cell>
          <cell r="AC103">
            <v>0</v>
          </cell>
          <cell r="AD103" t="e">
            <v>#DIV/0!</v>
          </cell>
          <cell r="AE103">
            <v>0</v>
          </cell>
          <cell r="AF103" t="e">
            <v>#DIV/0!</v>
          </cell>
        </row>
        <row r="105">
          <cell r="C105" t="str">
            <v>Districhrono &amp; Rouch</v>
          </cell>
          <cell r="E105">
            <v>1.621</v>
          </cell>
          <cell r="F105">
            <v>0</v>
          </cell>
          <cell r="G105">
            <v>0</v>
          </cell>
          <cell r="H105">
            <v>0</v>
          </cell>
          <cell r="J105">
            <v>1.621</v>
          </cell>
          <cell r="K105" t="e">
            <v>#DIV/0!</v>
          </cell>
          <cell r="L105">
            <v>1.621</v>
          </cell>
          <cell r="M105" t="e">
            <v>#DIV/0!</v>
          </cell>
          <cell r="N105">
            <v>1.621</v>
          </cell>
          <cell r="O105" t="e">
            <v>#DIV/0!</v>
          </cell>
          <cell r="R105" t="str">
            <v>Districhrono &amp; Rouch</v>
          </cell>
          <cell r="T105">
            <v>10.861000000000001</v>
          </cell>
          <cell r="U105">
            <v>0</v>
          </cell>
          <cell r="V105">
            <v>0</v>
          </cell>
          <cell r="W105">
            <v>0</v>
          </cell>
          <cell r="X105">
            <v>0</v>
          </cell>
          <cell r="Z105">
            <v>10.861000000000001</v>
          </cell>
          <cell r="AA105" t="e">
            <v>#DIV/0!</v>
          </cell>
          <cell r="AB105">
            <v>10.861000000000001</v>
          </cell>
          <cell r="AC105">
            <v>10.861000000000001</v>
          </cell>
          <cell r="AD105" t="e">
            <v>#DIV/0!</v>
          </cell>
          <cell r="AE105">
            <v>10.861000000000001</v>
          </cell>
          <cell r="AF105" t="e">
            <v>#DIV/0!</v>
          </cell>
        </row>
        <row r="107">
          <cell r="C107" t="str">
            <v>Giraud Sidérurgie</v>
          </cell>
          <cell r="E107">
            <v>0</v>
          </cell>
          <cell r="F107">
            <v>0</v>
          </cell>
          <cell r="G107">
            <v>0</v>
          </cell>
          <cell r="H107">
            <v>0</v>
          </cell>
          <cell r="J107">
            <v>0</v>
          </cell>
          <cell r="K107" t="e">
            <v>#DIV/0!</v>
          </cell>
          <cell r="L107">
            <v>0</v>
          </cell>
          <cell r="M107" t="e">
            <v>#DIV/0!</v>
          </cell>
          <cell r="N107">
            <v>0</v>
          </cell>
          <cell r="O107" t="e">
            <v>#DIV/0!</v>
          </cell>
          <cell r="R107" t="str">
            <v>Giraud Sidérurgie</v>
          </cell>
          <cell r="T107">
            <v>0</v>
          </cell>
          <cell r="U107">
            <v>0</v>
          </cell>
          <cell r="V107">
            <v>0</v>
          </cell>
          <cell r="W107">
            <v>0</v>
          </cell>
          <cell r="X107">
            <v>0</v>
          </cell>
          <cell r="Z107">
            <v>0</v>
          </cell>
          <cell r="AA107" t="e">
            <v>#DIV/0!</v>
          </cell>
          <cell r="AB107">
            <v>0</v>
          </cell>
          <cell r="AC107">
            <v>0</v>
          </cell>
          <cell r="AD107" t="e">
            <v>#DIV/0!</v>
          </cell>
          <cell r="AE107">
            <v>0</v>
          </cell>
          <cell r="AF107" t="e">
            <v>#DIV/0!</v>
          </cell>
        </row>
        <row r="109">
          <cell r="C109" t="str">
            <v>Elim inter-zone Route</v>
          </cell>
          <cell r="E109" t="e">
            <v>#VALUE!</v>
          </cell>
          <cell r="F109">
            <v>0</v>
          </cell>
          <cell r="G109">
            <v>0</v>
          </cell>
          <cell r="H109">
            <v>0</v>
          </cell>
          <cell r="J109" t="e">
            <v>#VALUE!</v>
          </cell>
          <cell r="K109" t="e">
            <v>#VALUE!</v>
          </cell>
          <cell r="L109" t="e">
            <v>#VALUE!</v>
          </cell>
          <cell r="M109" t="e">
            <v>#VALUE!</v>
          </cell>
          <cell r="N109" t="e">
            <v>#VALUE!</v>
          </cell>
          <cell r="O109" t="e">
            <v>#VALUE!</v>
          </cell>
          <cell r="R109" t="str">
            <v>Elim inter-zone Route</v>
          </cell>
          <cell r="T109" t="e">
            <v>#VALUE!</v>
          </cell>
          <cell r="U109">
            <v>0</v>
          </cell>
          <cell r="V109" t="e">
            <v>#VALUE!</v>
          </cell>
          <cell r="W109">
            <v>0</v>
          </cell>
          <cell r="X109">
            <v>0</v>
          </cell>
          <cell r="Z109" t="e">
            <v>#VALUE!</v>
          </cell>
          <cell r="AA109" t="e">
            <v>#VALUE!</v>
          </cell>
          <cell r="AB109" t="e">
            <v>#VALUE!</v>
          </cell>
          <cell r="AC109" t="e">
            <v>#VALUE!</v>
          </cell>
          <cell r="AD109" t="e">
            <v>#VALUE!</v>
          </cell>
          <cell r="AE109" t="e">
            <v>#VALUE!</v>
          </cell>
          <cell r="AF109" t="e">
            <v>#VALUE!</v>
          </cell>
        </row>
        <row r="111">
          <cell r="C111" t="str">
            <v>ROUTE</v>
          </cell>
          <cell r="E111" t="e">
            <v>#VALUE!</v>
          </cell>
          <cell r="F111">
            <v>0</v>
          </cell>
          <cell r="G111">
            <v>0</v>
          </cell>
          <cell r="H111">
            <v>0</v>
          </cell>
          <cell r="J111" t="e">
            <v>#VALUE!</v>
          </cell>
          <cell r="K111" t="e">
            <v>#VALUE!</v>
          </cell>
          <cell r="L111" t="e">
            <v>#VALUE!</v>
          </cell>
          <cell r="M111" t="e">
            <v>#VALUE!</v>
          </cell>
          <cell r="N111" t="e">
            <v>#VALUE!</v>
          </cell>
          <cell r="O111" t="e">
            <v>#VALUE!</v>
          </cell>
          <cell r="R111" t="str">
            <v>ROUTE</v>
          </cell>
          <cell r="T111" t="e">
            <v>#VALUE!</v>
          </cell>
          <cell r="U111">
            <v>0</v>
          </cell>
          <cell r="V111" t="e">
            <v>#VALUE!</v>
          </cell>
          <cell r="W111">
            <v>0</v>
          </cell>
          <cell r="X111">
            <v>0</v>
          </cell>
          <cell r="Z111" t="e">
            <v>#VALUE!</v>
          </cell>
          <cell r="AA111" t="e">
            <v>#VALUE!</v>
          </cell>
          <cell r="AB111" t="e">
            <v>#VALUE!</v>
          </cell>
          <cell r="AC111" t="e">
            <v>#VALUE!</v>
          </cell>
          <cell r="AD111" t="e">
            <v>#VALUE!</v>
          </cell>
          <cell r="AE111" t="e">
            <v>#VALUE!</v>
          </cell>
          <cell r="AF111" t="e">
            <v>#VALUE!</v>
          </cell>
        </row>
        <row r="140">
          <cell r="R140" t="str">
            <v>en M€</v>
          </cell>
          <cell r="T140" t="str">
            <v>Réel 2009.12</v>
          </cell>
          <cell r="U140" t="str">
            <v>Budget 2009.12</v>
          </cell>
          <cell r="V140" t="str">
            <v>P3 2009.12</v>
          </cell>
          <cell r="W140" t="str">
            <v>P1 2009.12</v>
          </cell>
          <cell r="X140" t="str">
            <v>Réel 2008.12</v>
          </cell>
          <cell r="Z140" t="str">
            <v xml:space="preserve">     N / B
valeur</v>
          </cell>
          <cell r="AA140" t="str">
            <v xml:space="preserve">     N / B
%</v>
          </cell>
          <cell r="AB140" t="str">
            <v xml:space="preserve">     N / P3
valeur</v>
          </cell>
          <cell r="AC140" t="str">
            <v xml:space="preserve">     N / P1
valeur</v>
          </cell>
          <cell r="AD140" t="str">
            <v xml:space="preserve">     N / P1
%</v>
          </cell>
          <cell r="AE140" t="str">
            <v xml:space="preserve">     N / N-1
valeur</v>
          </cell>
          <cell r="AF140" t="str">
            <v xml:space="preserve">     N / N-1
%</v>
          </cell>
        </row>
        <row r="142">
          <cell r="R142" t="str">
            <v>Sociétés de service &amp; Holdings</v>
          </cell>
          <cell r="T142">
            <v>0</v>
          </cell>
          <cell r="U142">
            <v>0</v>
          </cell>
          <cell r="V142">
            <v>0</v>
          </cell>
          <cell r="W142">
            <v>0</v>
          </cell>
          <cell r="X142">
            <v>0</v>
          </cell>
          <cell r="Z142">
            <v>0</v>
          </cell>
          <cell r="AA142" t="e">
            <v>#DIV/0!</v>
          </cell>
          <cell r="AB142">
            <v>0</v>
          </cell>
          <cell r="AC142">
            <v>0</v>
          </cell>
          <cell r="AD142" t="e">
            <v>#DIV/0!</v>
          </cell>
          <cell r="AE142">
            <v>0</v>
          </cell>
          <cell r="AF142" t="e">
            <v>#DIV/0!</v>
          </cell>
        </row>
        <row r="144">
          <cell r="R144" t="str">
            <v>Autres</v>
          </cell>
          <cell r="T144">
            <v>0</v>
          </cell>
          <cell r="U144">
            <v>0</v>
          </cell>
          <cell r="V144">
            <v>0</v>
          </cell>
          <cell r="W144">
            <v>0</v>
          </cell>
          <cell r="X144">
            <v>0</v>
          </cell>
          <cell r="Z144">
            <v>0</v>
          </cell>
          <cell r="AA144" t="e">
            <v>#DIV/0!</v>
          </cell>
          <cell r="AB144">
            <v>0</v>
          </cell>
          <cell r="AC144">
            <v>0</v>
          </cell>
          <cell r="AD144" t="e">
            <v>#DIV/0!</v>
          </cell>
          <cell r="AE144">
            <v>0</v>
          </cell>
          <cell r="AF144" t="e">
            <v>#DIV/0!</v>
          </cell>
        </row>
        <row r="146">
          <cell r="R146" t="str">
            <v>AUTRES</v>
          </cell>
          <cell r="T146">
            <v>0.14200000000000002</v>
          </cell>
          <cell r="U146">
            <v>0</v>
          </cell>
          <cell r="V146">
            <v>0.10300000000000001</v>
          </cell>
          <cell r="W146">
            <v>2.3E-2</v>
          </cell>
          <cell r="X146">
            <v>0</v>
          </cell>
          <cell r="Z146">
            <v>0.14200000000000002</v>
          </cell>
          <cell r="AA146" t="e">
            <v>#DIV/0!</v>
          </cell>
          <cell r="AB146">
            <v>3.9000000000000007E-2</v>
          </cell>
          <cell r="AC146">
            <v>0.11900000000000002</v>
          </cell>
          <cell r="AD146">
            <v>5.1739130434782616</v>
          </cell>
          <cell r="AE146">
            <v>0.14200000000000002</v>
          </cell>
          <cell r="AF146" t="e">
            <v>#DIV/0!</v>
          </cell>
        </row>
        <row r="148">
          <cell r="R148" t="str">
            <v>Eliminations Groupe</v>
          </cell>
          <cell r="T148" t="e">
            <v>#VALUE!</v>
          </cell>
          <cell r="U148" t="e">
            <v>#VALUE!</v>
          </cell>
          <cell r="V148" t="e">
            <v>#VALUE!</v>
          </cell>
          <cell r="W148" t="e">
            <v>#VALUE!</v>
          </cell>
          <cell r="X148" t="e">
            <v>#VALUE!</v>
          </cell>
          <cell r="Z148" t="e">
            <v>#VALUE!</v>
          </cell>
          <cell r="AA148" t="e">
            <v>#VALUE!</v>
          </cell>
          <cell r="AB148" t="e">
            <v>#VALUE!</v>
          </cell>
          <cell r="AC148" t="e">
            <v>#VALUE!</v>
          </cell>
          <cell r="AD148" t="e">
            <v>#VALUE!</v>
          </cell>
          <cell r="AE148" t="e">
            <v>#VALUE!</v>
          </cell>
          <cell r="AF148" t="e">
            <v>#VALUE!</v>
          </cell>
        </row>
        <row r="149">
          <cell r="R149" t="str">
            <v>GROUPE GEODIS</v>
          </cell>
          <cell r="T149" t="e">
            <v>#VALUE!</v>
          </cell>
          <cell r="U149" t="e">
            <v>#VALUE!</v>
          </cell>
          <cell r="V149" t="e">
            <v>#VALUE!</v>
          </cell>
          <cell r="W149" t="e">
            <v>#VALUE!</v>
          </cell>
          <cell r="X149" t="e">
            <v>#VALUE!</v>
          </cell>
          <cell r="Z149" t="e">
            <v>#VALUE!</v>
          </cell>
          <cell r="AA149" t="e">
            <v>#VALUE!</v>
          </cell>
          <cell r="AB149" t="e">
            <v>#VALUE!</v>
          </cell>
          <cell r="AC149" t="e">
            <v>#VALUE!</v>
          </cell>
          <cell r="AD149" t="e">
            <v>#VALUE!</v>
          </cell>
          <cell r="AE149" t="e">
            <v>#VALUE!</v>
          </cell>
          <cell r="AF149" t="e">
            <v>#VALUE!</v>
          </cell>
        </row>
      </sheetData>
      <sheetData sheetId="58" refreshError="1">
        <row r="8">
          <cell r="C8" t="str">
            <v>en M€</v>
          </cell>
          <cell r="E8" t="str">
            <v>Réel 2009.12</v>
          </cell>
          <cell r="F8" t="str">
            <v>Budget 2009.12</v>
          </cell>
          <cell r="G8" t="str">
            <v>P1 2009.12</v>
          </cell>
          <cell r="H8" t="str">
            <v>Réel 2008.12</v>
          </cell>
          <cell r="J8" t="str">
            <v xml:space="preserve">     N / B
valeur</v>
          </cell>
          <cell r="K8" t="str">
            <v xml:space="preserve">     N / B
%</v>
          </cell>
          <cell r="L8" t="str">
            <v xml:space="preserve">     N / P1
valeur</v>
          </cell>
          <cell r="M8" t="str">
            <v xml:space="preserve">     N / P1
%</v>
          </cell>
          <cell r="N8" t="str">
            <v xml:space="preserve">     N / N-1
valeur</v>
          </cell>
          <cell r="O8" t="str">
            <v xml:space="preserve">     N / N-1
%</v>
          </cell>
          <cell r="R8" t="str">
            <v>en M€</v>
          </cell>
          <cell r="T8" t="str">
            <v>Réel 2009.12</v>
          </cell>
          <cell r="U8" t="str">
            <v>Budget 2009.12</v>
          </cell>
          <cell r="V8" t="str">
            <v>P3 2009.12</v>
          </cell>
          <cell r="W8" t="str">
            <v>P1 2009.12</v>
          </cell>
          <cell r="X8" t="str">
            <v>Réel 2008.12</v>
          </cell>
          <cell r="Z8" t="str">
            <v xml:space="preserve">     N / B
valeur</v>
          </cell>
          <cell r="AA8" t="str">
            <v xml:space="preserve">     N / B
%</v>
          </cell>
          <cell r="AB8" t="str">
            <v xml:space="preserve">     N / P3
valeur</v>
          </cell>
          <cell r="AC8" t="str">
            <v xml:space="preserve">     N / P1
valeur</v>
          </cell>
          <cell r="AD8" t="str">
            <v xml:space="preserve">     N / P1
%</v>
          </cell>
          <cell r="AE8" t="str">
            <v xml:space="preserve">     N / N-1
valeur</v>
          </cell>
          <cell r="AF8" t="str">
            <v xml:space="preserve">     N / N-1
%</v>
          </cell>
        </row>
        <row r="10">
          <cell r="C10" t="str">
            <v>Messagerie France</v>
          </cell>
          <cell r="E10" t="e">
            <v>#VALUE!</v>
          </cell>
          <cell r="F10" t="e">
            <v>#VALUE!</v>
          </cell>
          <cell r="G10" t="e">
            <v>#VALUE!</v>
          </cell>
          <cell r="H10" t="e">
            <v>#VALUE!</v>
          </cell>
          <cell r="J10" t="e">
            <v>#VALUE!</v>
          </cell>
          <cell r="K10" t="e">
            <v>#VALUE!</v>
          </cell>
          <cell r="L10" t="e">
            <v>#VALUE!</v>
          </cell>
          <cell r="M10" t="e">
            <v>#VALUE!</v>
          </cell>
          <cell r="N10" t="e">
            <v>#VALUE!</v>
          </cell>
          <cell r="O10" t="e">
            <v>#VALUE!</v>
          </cell>
          <cell r="R10" t="str">
            <v>Messagerie France</v>
          </cell>
          <cell r="T10" t="e">
            <v>#VALUE!</v>
          </cell>
          <cell r="U10" t="e">
            <v>#VALUE!</v>
          </cell>
          <cell r="V10" t="e">
            <v>#VALUE!</v>
          </cell>
          <cell r="W10">
            <v>79.341000000000008</v>
          </cell>
          <cell r="X10" t="e">
            <v>#VALUE!</v>
          </cell>
          <cell r="Z10" t="e">
            <v>#VALUE!</v>
          </cell>
          <cell r="AA10" t="e">
            <v>#VALUE!</v>
          </cell>
          <cell r="AB10" t="e">
            <v>#VALUE!</v>
          </cell>
          <cell r="AC10" t="e">
            <v>#VALUE!</v>
          </cell>
          <cell r="AD10" t="e">
            <v>#VALUE!</v>
          </cell>
          <cell r="AE10" t="e">
            <v>#VALUE!</v>
          </cell>
          <cell r="AF10" t="e">
            <v>#VALUE!</v>
          </cell>
        </row>
        <row r="12">
          <cell r="C12" t="str">
            <v>Euromatic</v>
          </cell>
          <cell r="E12" t="e">
            <v>#VALUE!</v>
          </cell>
          <cell r="F12">
            <v>-0.33800000000000002</v>
          </cell>
          <cell r="G12" t="e">
            <v>#VALUE!</v>
          </cell>
          <cell r="H12">
            <v>2.5569999999999999</v>
          </cell>
          <cell r="J12" t="e">
            <v>#VALUE!</v>
          </cell>
          <cell r="K12" t="e">
            <v>#VALUE!</v>
          </cell>
          <cell r="L12" t="e">
            <v>#VALUE!</v>
          </cell>
          <cell r="M12" t="e">
            <v>#VALUE!</v>
          </cell>
          <cell r="N12" t="e">
            <v>#VALUE!</v>
          </cell>
          <cell r="O12" t="e">
            <v>#VALUE!</v>
          </cell>
          <cell r="R12" t="str">
            <v>Euromatic</v>
          </cell>
          <cell r="T12">
            <v>-4.6610000000000005</v>
          </cell>
          <cell r="U12">
            <v>-4.6610000000000005</v>
          </cell>
          <cell r="V12">
            <v>-7.593</v>
          </cell>
          <cell r="W12">
            <v>-0.68300000000000005</v>
          </cell>
          <cell r="X12">
            <v>-8.1989999999999998</v>
          </cell>
          <cell r="Z12">
            <v>0</v>
          </cell>
          <cell r="AA12">
            <v>0</v>
          </cell>
          <cell r="AB12">
            <v>2.9319999999999995</v>
          </cell>
          <cell r="AC12">
            <v>-3.9780000000000006</v>
          </cell>
          <cell r="AD12">
            <v>5.8243045387994146</v>
          </cell>
          <cell r="AE12">
            <v>3.5379999999999994</v>
          </cell>
          <cell r="AF12">
            <v>-0.43151603854128545</v>
          </cell>
        </row>
        <row r="14">
          <cell r="C14" t="str">
            <v>Messagerie Royaume-Uni</v>
          </cell>
          <cell r="E14" t="e">
            <v>#VALUE!</v>
          </cell>
          <cell r="F14" t="e">
            <v>#VALUE!</v>
          </cell>
          <cell r="G14" t="e">
            <v>#VALUE!</v>
          </cell>
          <cell r="H14" t="e">
            <v>#VALUE!</v>
          </cell>
          <cell r="J14" t="e">
            <v>#VALUE!</v>
          </cell>
          <cell r="K14" t="e">
            <v>#VALUE!</v>
          </cell>
          <cell r="L14" t="e">
            <v>#VALUE!</v>
          </cell>
          <cell r="M14" t="e">
            <v>#VALUE!</v>
          </cell>
          <cell r="N14" t="e">
            <v>#VALUE!</v>
          </cell>
          <cell r="O14" t="e">
            <v>#VALUE!</v>
          </cell>
          <cell r="R14" t="str">
            <v>Messagerie Royaume-Uni</v>
          </cell>
          <cell r="T14" t="e">
            <v>#VALUE!</v>
          </cell>
          <cell r="U14" t="e">
            <v>#VALUE!</v>
          </cell>
          <cell r="V14" t="e">
            <v>#VALUE!</v>
          </cell>
          <cell r="W14" t="e">
            <v>#VALUE!</v>
          </cell>
          <cell r="X14" t="e">
            <v>#VALUE!</v>
          </cell>
          <cell r="Z14" t="e">
            <v>#VALUE!</v>
          </cell>
          <cell r="AA14" t="e">
            <v>#VALUE!</v>
          </cell>
          <cell r="AB14" t="e">
            <v>#VALUE!</v>
          </cell>
          <cell r="AC14" t="e">
            <v>#VALUE!</v>
          </cell>
          <cell r="AD14" t="e">
            <v>#VALUE!</v>
          </cell>
          <cell r="AE14" t="e">
            <v>#VALUE!</v>
          </cell>
          <cell r="AF14" t="e">
            <v>#VALUE!</v>
          </cell>
        </row>
        <row r="16">
          <cell r="C16" t="str">
            <v>Messagerie Allemagne</v>
          </cell>
          <cell r="E16">
            <v>0</v>
          </cell>
          <cell r="F16">
            <v>0</v>
          </cell>
          <cell r="G16">
            <v>0</v>
          </cell>
          <cell r="H16">
            <v>0</v>
          </cell>
          <cell r="J16">
            <v>0</v>
          </cell>
          <cell r="K16" t="e">
            <v>#DIV/0!</v>
          </cell>
          <cell r="L16">
            <v>0</v>
          </cell>
          <cell r="M16" t="e">
            <v>#DIV/0!</v>
          </cell>
          <cell r="N16">
            <v>0</v>
          </cell>
          <cell r="O16" t="e">
            <v>#DIV/0!</v>
          </cell>
          <cell r="R16" t="str">
            <v>Messagerie Allemagne</v>
          </cell>
          <cell r="T16">
            <v>0</v>
          </cell>
          <cell r="U16">
            <v>0</v>
          </cell>
          <cell r="V16">
            <v>0</v>
          </cell>
          <cell r="W16">
            <v>0</v>
          </cell>
          <cell r="X16">
            <v>0</v>
          </cell>
          <cell r="Z16">
            <v>0</v>
          </cell>
          <cell r="AA16" t="e">
            <v>#DIV/0!</v>
          </cell>
          <cell r="AB16">
            <v>0</v>
          </cell>
          <cell r="AC16">
            <v>0</v>
          </cell>
          <cell r="AD16" t="e">
            <v>#DIV/0!</v>
          </cell>
          <cell r="AE16">
            <v>0</v>
          </cell>
          <cell r="AF16" t="e">
            <v>#DIV/0!</v>
          </cell>
        </row>
        <row r="18">
          <cell r="C18" t="str">
            <v>Messagerie Espagne</v>
          </cell>
          <cell r="E18">
            <v>-0.67</v>
          </cell>
          <cell r="F18">
            <v>-0.46300000000000002</v>
          </cell>
          <cell r="G18">
            <v>-1.9120000000000001</v>
          </cell>
          <cell r="H18">
            <v>0.70000000000000007</v>
          </cell>
          <cell r="J18">
            <v>-0.20700000000000002</v>
          </cell>
          <cell r="K18">
            <v>0.44708423326133911</v>
          </cell>
          <cell r="L18">
            <v>1.242</v>
          </cell>
          <cell r="M18">
            <v>-0.64958158995815896</v>
          </cell>
          <cell r="N18">
            <v>-1.37</v>
          </cell>
          <cell r="O18">
            <v>-1.9571428571428571</v>
          </cell>
          <cell r="R18" t="str">
            <v>Messagerie Espagne</v>
          </cell>
          <cell r="T18">
            <v>-37.378999999999998</v>
          </cell>
          <cell r="U18">
            <v>-37.378999999999998</v>
          </cell>
          <cell r="V18">
            <v>-36.402999999999999</v>
          </cell>
          <cell r="W18">
            <v>-8.1120000000000001</v>
          </cell>
          <cell r="X18">
            <v>-37.939</v>
          </cell>
          <cell r="Z18">
            <v>0</v>
          </cell>
          <cell r="AA18">
            <v>0</v>
          </cell>
          <cell r="AB18">
            <v>-0.97599999999999909</v>
          </cell>
          <cell r="AC18">
            <v>-29.266999999999996</v>
          </cell>
          <cell r="AD18">
            <v>3.6078648915187372</v>
          </cell>
          <cell r="AE18">
            <v>0.56000000000000227</v>
          </cell>
          <cell r="AF18">
            <v>-1.4760536650939727E-2</v>
          </cell>
        </row>
        <row r="20">
          <cell r="C20" t="str">
            <v>Messagerie Italie</v>
          </cell>
          <cell r="E20">
            <v>-1.5880000000000001</v>
          </cell>
          <cell r="F20">
            <v>-1.2550000000000001</v>
          </cell>
          <cell r="G20">
            <v>-1.8640000000000001</v>
          </cell>
          <cell r="H20">
            <v>-0.498</v>
          </cell>
          <cell r="J20">
            <v>-0.33299999999999996</v>
          </cell>
          <cell r="K20">
            <v>0.26533864541832664</v>
          </cell>
          <cell r="L20">
            <v>0.27600000000000002</v>
          </cell>
          <cell r="M20">
            <v>-0.14806866952789699</v>
          </cell>
          <cell r="N20">
            <v>-1.0900000000000001</v>
          </cell>
          <cell r="O20">
            <v>2.1887550200803214</v>
          </cell>
          <cell r="R20" t="str">
            <v>Messagerie Italie</v>
          </cell>
          <cell r="T20">
            <v>-14.043000000000001</v>
          </cell>
          <cell r="U20">
            <v>-14.043000000000001</v>
          </cell>
          <cell r="V20">
            <v>-11.436</v>
          </cell>
          <cell r="W20">
            <v>-2.8210000000000002</v>
          </cell>
          <cell r="X20">
            <v>-13.665000000000001</v>
          </cell>
          <cell r="Z20">
            <v>0</v>
          </cell>
          <cell r="AA20">
            <v>0</v>
          </cell>
          <cell r="AB20">
            <v>-2.6070000000000011</v>
          </cell>
          <cell r="AC20">
            <v>-11.222000000000001</v>
          </cell>
          <cell r="AD20">
            <v>3.9780219780219781</v>
          </cell>
          <cell r="AE20">
            <v>-0.37800000000000011</v>
          </cell>
          <cell r="AF20">
            <v>2.7661909989023056E-2</v>
          </cell>
        </row>
        <row r="22">
          <cell r="C22" t="str">
            <v>Sociétés de service &amp; Holdings</v>
          </cell>
          <cell r="E22">
            <v>0.59799999999999998</v>
          </cell>
          <cell r="F22">
            <v>9.0000000000000011E-3</v>
          </cell>
          <cell r="G22">
            <v>0.68500000000000005</v>
          </cell>
          <cell r="H22">
            <v>-3.577</v>
          </cell>
          <cell r="J22">
            <v>0.58899999999999997</v>
          </cell>
          <cell r="K22">
            <v>65.444444444444429</v>
          </cell>
          <cell r="L22">
            <v>-8.7000000000000077E-2</v>
          </cell>
          <cell r="M22">
            <v>-0.12700729927007309</v>
          </cell>
          <cell r="N22">
            <v>4.1749999999999998</v>
          </cell>
          <cell r="O22">
            <v>-1.1671792004473023</v>
          </cell>
          <cell r="R22" t="str">
            <v>Sociétés de service &amp; Holdings</v>
          </cell>
          <cell r="T22">
            <v>0.77400000000000002</v>
          </cell>
          <cell r="U22">
            <v>0.77400000000000002</v>
          </cell>
          <cell r="V22">
            <v>-0.57500000000000007</v>
          </cell>
          <cell r="W22">
            <v>-15.712</v>
          </cell>
          <cell r="X22">
            <v>3.3319999999999999</v>
          </cell>
          <cell r="Z22">
            <v>0</v>
          </cell>
          <cell r="AA22">
            <v>0</v>
          </cell>
          <cell r="AB22">
            <v>1.3490000000000002</v>
          </cell>
          <cell r="AC22">
            <v>16.486000000000001</v>
          </cell>
          <cell r="AD22">
            <v>-1.0492617107942974</v>
          </cell>
          <cell r="AE22">
            <v>-2.5579999999999998</v>
          </cell>
          <cell r="AF22">
            <v>-0.76770708283313327</v>
          </cell>
        </row>
        <row r="24">
          <cell r="C24" t="str">
            <v>Elim inter-zones Messagerie</v>
          </cell>
          <cell r="E24" t="e">
            <v>#VALUE!</v>
          </cell>
          <cell r="F24" t="e">
            <v>#VALUE!</v>
          </cell>
          <cell r="G24" t="e">
            <v>#VALUE!</v>
          </cell>
          <cell r="H24" t="e">
            <v>#VALUE!</v>
          </cell>
          <cell r="J24" t="e">
            <v>#VALUE!</v>
          </cell>
          <cell r="K24" t="e">
            <v>#VALUE!</v>
          </cell>
          <cell r="L24" t="e">
            <v>#VALUE!</v>
          </cell>
          <cell r="M24" t="e">
            <v>#VALUE!</v>
          </cell>
          <cell r="N24" t="e">
            <v>#VALUE!</v>
          </cell>
          <cell r="O24" t="e">
            <v>#VALUE!</v>
          </cell>
          <cell r="R24" t="str">
            <v>Elim inter-zones Messagerie</v>
          </cell>
          <cell r="T24" t="e">
            <v>#VALUE!</v>
          </cell>
          <cell r="U24" t="e">
            <v>#VALUE!</v>
          </cell>
          <cell r="V24" t="e">
            <v>#VALUE!</v>
          </cell>
          <cell r="W24" t="e">
            <v>#VALUE!</v>
          </cell>
          <cell r="X24" t="e">
            <v>#VALUE!</v>
          </cell>
          <cell r="Z24" t="e">
            <v>#VALUE!</v>
          </cell>
          <cell r="AA24" t="e">
            <v>#VALUE!</v>
          </cell>
          <cell r="AB24" t="e">
            <v>#VALUE!</v>
          </cell>
          <cell r="AC24" t="e">
            <v>#VALUE!</v>
          </cell>
          <cell r="AD24" t="e">
            <v>#VALUE!</v>
          </cell>
          <cell r="AE24" t="e">
            <v>#VALUE!</v>
          </cell>
          <cell r="AF24" t="e">
            <v>#VALUE!</v>
          </cell>
        </row>
        <row r="26">
          <cell r="C26" t="str">
            <v>MESSAGERIE</v>
          </cell>
          <cell r="E26" t="e">
            <v>#VALUE!</v>
          </cell>
          <cell r="G26" t="e">
            <v>#VALUE!</v>
          </cell>
          <cell r="H26" t="e">
            <v>#VALUE!</v>
          </cell>
          <cell r="J26" t="e">
            <v>#VALUE!</v>
          </cell>
          <cell r="K26" t="e">
            <v>#VALUE!</v>
          </cell>
          <cell r="L26" t="e">
            <v>#VALUE!</v>
          </cell>
          <cell r="M26" t="e">
            <v>#VALUE!</v>
          </cell>
          <cell r="N26" t="e">
            <v>#VALUE!</v>
          </cell>
          <cell r="O26" t="e">
            <v>#VALUE!</v>
          </cell>
          <cell r="R26" t="str">
            <v>MESSAGERIE</v>
          </cell>
          <cell r="T26" t="e">
            <v>#VALUE!</v>
          </cell>
          <cell r="U26" t="e">
            <v>#VALUE!</v>
          </cell>
          <cell r="V26" t="e">
            <v>#VALUE!</v>
          </cell>
          <cell r="W26" t="e">
            <v>#VALUE!</v>
          </cell>
          <cell r="X26" t="e">
            <v>#VALUE!</v>
          </cell>
          <cell r="Z26" t="e">
            <v>#VALUE!</v>
          </cell>
          <cell r="AA26" t="e">
            <v>#VALUE!</v>
          </cell>
          <cell r="AB26" t="e">
            <v>#VALUE!</v>
          </cell>
          <cell r="AC26" t="e">
            <v>#VALUE!</v>
          </cell>
          <cell r="AD26" t="e">
            <v>#VALUE!</v>
          </cell>
          <cell r="AE26" t="e">
            <v>#VALUE!</v>
          </cell>
          <cell r="AF26" t="e">
            <v>#VALUE!</v>
          </cell>
        </row>
        <row r="33">
          <cell r="C33" t="str">
            <v>en M€</v>
          </cell>
          <cell r="E33" t="str">
            <v>Réel 2009.12</v>
          </cell>
          <cell r="F33" t="str">
            <v>Budget 2009.12</v>
          </cell>
          <cell r="G33" t="str">
            <v>P1 2009.12</v>
          </cell>
          <cell r="H33" t="str">
            <v>Réel 2008.12</v>
          </cell>
          <cell r="J33" t="str">
            <v xml:space="preserve">     N / B
valeur</v>
          </cell>
          <cell r="K33" t="str">
            <v xml:space="preserve">     N / B
%</v>
          </cell>
          <cell r="L33" t="str">
            <v xml:space="preserve">     N / P1
valeur</v>
          </cell>
          <cell r="M33" t="str">
            <v xml:space="preserve">     N / P1
%</v>
          </cell>
          <cell r="N33" t="str">
            <v xml:space="preserve">     N / N-1
valeur</v>
          </cell>
          <cell r="O33" t="str">
            <v xml:space="preserve">     N / N-1
%</v>
          </cell>
          <cell r="R33" t="str">
            <v>en M€</v>
          </cell>
          <cell r="T33" t="str">
            <v>Réel 2009.12</v>
          </cell>
          <cell r="U33" t="str">
            <v>Budget 2009.12</v>
          </cell>
          <cell r="V33" t="str">
            <v>P3 2009.12</v>
          </cell>
          <cell r="W33" t="str">
            <v>P1 2009.12</v>
          </cell>
          <cell r="X33" t="str">
            <v>Réel 2008.12</v>
          </cell>
          <cell r="Z33" t="str">
            <v xml:space="preserve">     N / B
valeur</v>
          </cell>
          <cell r="AA33" t="str">
            <v xml:space="preserve">     N / B
%</v>
          </cell>
          <cell r="AB33" t="str">
            <v xml:space="preserve">     N / P3
valeur</v>
          </cell>
          <cell r="AC33" t="str">
            <v xml:space="preserve">     N / P1
valeur</v>
          </cell>
          <cell r="AD33" t="str">
            <v xml:space="preserve">     N / P1
%</v>
          </cell>
          <cell r="AE33" t="str">
            <v xml:space="preserve">     N / N-1
valeur</v>
          </cell>
          <cell r="AF33" t="str">
            <v xml:space="preserve">     N / N-1
%</v>
          </cell>
        </row>
        <row r="35">
          <cell r="C35" t="str">
            <v>Logistique Automotive</v>
          </cell>
          <cell r="E35">
            <v>0</v>
          </cell>
          <cell r="F35">
            <v>0</v>
          </cell>
          <cell r="G35">
            <v>0</v>
          </cell>
          <cell r="H35">
            <v>0</v>
          </cell>
          <cell r="J35">
            <v>0</v>
          </cell>
          <cell r="K35" t="e">
            <v>#DIV/0!</v>
          </cell>
          <cell r="L35">
            <v>0</v>
          </cell>
          <cell r="M35" t="e">
            <v>#DIV/0!</v>
          </cell>
          <cell r="N35">
            <v>0</v>
          </cell>
          <cell r="O35" t="e">
            <v>#DIV/0!</v>
          </cell>
          <cell r="R35" t="str">
            <v>Logistique Automotive</v>
          </cell>
          <cell r="T35">
            <v>0</v>
          </cell>
          <cell r="U35">
            <v>0</v>
          </cell>
          <cell r="V35">
            <v>0</v>
          </cell>
          <cell r="W35">
            <v>0</v>
          </cell>
          <cell r="X35">
            <v>0</v>
          </cell>
          <cell r="Z35">
            <v>0</v>
          </cell>
          <cell r="AA35" t="e">
            <v>#DIV/0!</v>
          </cell>
          <cell r="AB35">
            <v>0</v>
          </cell>
          <cell r="AC35">
            <v>0</v>
          </cell>
          <cell r="AD35" t="e">
            <v>#DIV/0!</v>
          </cell>
          <cell r="AE35">
            <v>0</v>
          </cell>
          <cell r="AF35" t="e">
            <v>#DIV/0!</v>
          </cell>
        </row>
        <row r="37">
          <cell r="C37" t="str">
            <v>Europe de l'Est</v>
          </cell>
          <cell r="E37">
            <v>5.7000000000000002E-2</v>
          </cell>
          <cell r="F37">
            <v>2.6000000000000002E-2</v>
          </cell>
          <cell r="G37">
            <v>0.09</v>
          </cell>
          <cell r="H37">
            <v>-9.4E-2</v>
          </cell>
          <cell r="J37">
            <v>3.1E-2</v>
          </cell>
          <cell r="K37">
            <v>1.1923076923076923</v>
          </cell>
          <cell r="L37">
            <v>-3.2999999999999995E-2</v>
          </cell>
          <cell r="M37">
            <v>-0.36666666666666664</v>
          </cell>
          <cell r="N37">
            <v>0.151</v>
          </cell>
          <cell r="O37">
            <v>-1.6063829787234043</v>
          </cell>
          <cell r="R37" t="str">
            <v>Europe de l'Est</v>
          </cell>
          <cell r="T37">
            <v>0.56500000000000006</v>
          </cell>
          <cell r="U37">
            <v>0.56500000000000006</v>
          </cell>
          <cell r="V37">
            <v>0.42399999999999999</v>
          </cell>
          <cell r="W37">
            <v>0.94700000000000006</v>
          </cell>
          <cell r="X37">
            <v>0.61399999999999999</v>
          </cell>
          <cell r="Z37">
            <v>0</v>
          </cell>
          <cell r="AA37">
            <v>0</v>
          </cell>
          <cell r="AB37">
            <v>0.14100000000000007</v>
          </cell>
          <cell r="AC37">
            <v>-0.38200000000000001</v>
          </cell>
          <cell r="AD37">
            <v>-0.40337909186906018</v>
          </cell>
          <cell r="AE37">
            <v>-4.8999999999999932E-2</v>
          </cell>
          <cell r="AF37">
            <v>-7.9804560260586216E-2</v>
          </cell>
        </row>
        <row r="38">
          <cell r="C38" t="str">
            <v>EBITDAlberson Grèce</v>
          </cell>
          <cell r="E38" t="e">
            <v>#VALUE!</v>
          </cell>
          <cell r="F38" t="e">
            <v>#VALUE!</v>
          </cell>
          <cell r="G38" t="e">
            <v>#VALUE!</v>
          </cell>
          <cell r="H38" t="e">
            <v>#VALUE!</v>
          </cell>
          <cell r="J38" t="e">
            <v>#VALUE!</v>
          </cell>
          <cell r="K38" t="e">
            <v>#VALUE!</v>
          </cell>
          <cell r="L38" t="e">
            <v>#VALUE!</v>
          </cell>
          <cell r="M38" t="e">
            <v>#VALUE!</v>
          </cell>
          <cell r="N38" t="e">
            <v>#VALUE!</v>
          </cell>
          <cell r="O38" t="e">
            <v>#VALUE!</v>
          </cell>
          <cell r="R38" t="str">
            <v>EBITDAlberson Grèce</v>
          </cell>
          <cell r="T38" t="e">
            <v>#VALUE!</v>
          </cell>
          <cell r="U38" t="e">
            <v>#VALUE!</v>
          </cell>
          <cell r="V38" t="e">
            <v>#VALUE!</v>
          </cell>
          <cell r="W38" t="e">
            <v>#VALUE!</v>
          </cell>
          <cell r="X38" t="e">
            <v>#VALUE!</v>
          </cell>
          <cell r="Z38" t="e">
            <v>#VALUE!</v>
          </cell>
          <cell r="AA38" t="e">
            <v>#VALUE!</v>
          </cell>
          <cell r="AB38" t="e">
            <v>#VALUE!</v>
          </cell>
          <cell r="AC38" t="e">
            <v>#VALUE!</v>
          </cell>
          <cell r="AD38" t="e">
            <v>#VALUE!</v>
          </cell>
          <cell r="AE38" t="e">
            <v>#VALUE!</v>
          </cell>
          <cell r="AF38" t="e">
            <v>#VALUE!</v>
          </cell>
        </row>
        <row r="39">
          <cell r="C39" t="str">
            <v>Logistique Europe de l'Est &amp; Grèce</v>
          </cell>
          <cell r="E39">
            <v>0</v>
          </cell>
          <cell r="F39">
            <v>0</v>
          </cell>
          <cell r="G39">
            <v>0</v>
          </cell>
          <cell r="H39">
            <v>0</v>
          </cell>
          <cell r="J39">
            <v>0</v>
          </cell>
          <cell r="K39" t="e">
            <v>#DIV/0!</v>
          </cell>
          <cell r="L39">
            <v>0</v>
          </cell>
          <cell r="M39" t="e">
            <v>#DIV/0!</v>
          </cell>
          <cell r="N39">
            <v>0</v>
          </cell>
          <cell r="O39" t="e">
            <v>#DIV/0!</v>
          </cell>
          <cell r="R39" t="str">
            <v>Logistique Europe de l'Est &amp; Grèce</v>
          </cell>
          <cell r="T39">
            <v>0</v>
          </cell>
          <cell r="U39">
            <v>0</v>
          </cell>
          <cell r="V39">
            <v>0</v>
          </cell>
          <cell r="W39">
            <v>0</v>
          </cell>
          <cell r="X39">
            <v>0</v>
          </cell>
          <cell r="Z39">
            <v>0</v>
          </cell>
          <cell r="AA39" t="e">
            <v>#DIV/0!</v>
          </cell>
          <cell r="AB39">
            <v>0</v>
          </cell>
          <cell r="AC39">
            <v>0</v>
          </cell>
          <cell r="AD39" t="e">
            <v>#DIV/0!</v>
          </cell>
          <cell r="AE39">
            <v>0</v>
          </cell>
          <cell r="AF39" t="e">
            <v>#DIV/0!</v>
          </cell>
        </row>
        <row r="41">
          <cell r="C41" t="str">
            <v>Allemagne</v>
          </cell>
          <cell r="E41" t="e">
            <v>#VALUE!</v>
          </cell>
          <cell r="F41">
            <v>0</v>
          </cell>
          <cell r="G41">
            <v>0</v>
          </cell>
          <cell r="H41" t="e">
            <v>#VALUE!</v>
          </cell>
          <cell r="J41" t="e">
            <v>#VALUE!</v>
          </cell>
          <cell r="K41" t="e">
            <v>#VALUE!</v>
          </cell>
          <cell r="L41" t="e">
            <v>#VALUE!</v>
          </cell>
          <cell r="M41" t="e">
            <v>#VALUE!</v>
          </cell>
          <cell r="N41" t="e">
            <v>#VALUE!</v>
          </cell>
          <cell r="O41" t="e">
            <v>#VALUE!</v>
          </cell>
          <cell r="R41" t="str">
            <v>Allemagne</v>
          </cell>
          <cell r="T41" t="e">
            <v>#VALUE!</v>
          </cell>
          <cell r="U41" t="e">
            <v>#VALUE!</v>
          </cell>
          <cell r="V41">
            <v>0</v>
          </cell>
          <cell r="W41">
            <v>0</v>
          </cell>
          <cell r="X41">
            <v>0</v>
          </cell>
          <cell r="Z41" t="e">
            <v>#VALUE!</v>
          </cell>
          <cell r="AA41" t="e">
            <v>#VALUE!</v>
          </cell>
          <cell r="AB41" t="e">
            <v>#VALUE!</v>
          </cell>
          <cell r="AC41" t="e">
            <v>#VALUE!</v>
          </cell>
          <cell r="AD41" t="e">
            <v>#VALUE!</v>
          </cell>
          <cell r="AE41" t="e">
            <v>#VALUE!</v>
          </cell>
          <cell r="AF41" t="e">
            <v>#VALUE!</v>
          </cell>
        </row>
        <row r="42">
          <cell r="C42" t="str">
            <v>UK</v>
          </cell>
          <cell r="E42">
            <v>0</v>
          </cell>
          <cell r="F42">
            <v>0</v>
          </cell>
          <cell r="G42">
            <v>0</v>
          </cell>
          <cell r="H42">
            <v>0</v>
          </cell>
          <cell r="J42">
            <v>0</v>
          </cell>
          <cell r="K42" t="e">
            <v>#DIV/0!</v>
          </cell>
          <cell r="L42">
            <v>0</v>
          </cell>
          <cell r="M42" t="e">
            <v>#DIV/0!</v>
          </cell>
          <cell r="N42">
            <v>0</v>
          </cell>
          <cell r="O42" t="e">
            <v>#DIV/0!</v>
          </cell>
          <cell r="R42" t="str">
            <v>UK</v>
          </cell>
          <cell r="T42">
            <v>0</v>
          </cell>
          <cell r="U42">
            <v>0</v>
          </cell>
          <cell r="V42">
            <v>0</v>
          </cell>
          <cell r="W42">
            <v>0</v>
          </cell>
          <cell r="X42">
            <v>-0.2</v>
          </cell>
          <cell r="Z42">
            <v>0</v>
          </cell>
          <cell r="AA42" t="e">
            <v>#DIV/0!</v>
          </cell>
          <cell r="AB42">
            <v>0</v>
          </cell>
          <cell r="AC42">
            <v>0</v>
          </cell>
          <cell r="AD42" t="e">
            <v>#DIV/0!</v>
          </cell>
          <cell r="AE42">
            <v>0.2</v>
          </cell>
          <cell r="AF42">
            <v>-1</v>
          </cell>
        </row>
        <row r="43">
          <cell r="C43" t="str">
            <v>Irlande</v>
          </cell>
          <cell r="E43">
            <v>0</v>
          </cell>
          <cell r="F43">
            <v>0</v>
          </cell>
          <cell r="G43">
            <v>0</v>
          </cell>
          <cell r="H43">
            <v>0</v>
          </cell>
          <cell r="J43">
            <v>0</v>
          </cell>
          <cell r="K43" t="e">
            <v>#DIV/0!</v>
          </cell>
          <cell r="L43">
            <v>0</v>
          </cell>
          <cell r="M43" t="e">
            <v>#DIV/0!</v>
          </cell>
          <cell r="N43">
            <v>0</v>
          </cell>
          <cell r="O43" t="e">
            <v>#DIV/0!</v>
          </cell>
          <cell r="R43" t="str">
            <v>Irlande</v>
          </cell>
          <cell r="T43">
            <v>0</v>
          </cell>
          <cell r="U43">
            <v>0</v>
          </cell>
          <cell r="V43">
            <v>0</v>
          </cell>
          <cell r="W43">
            <v>0</v>
          </cell>
          <cell r="X43">
            <v>-0.4</v>
          </cell>
          <cell r="Z43">
            <v>0</v>
          </cell>
          <cell r="AA43" t="e">
            <v>#DIV/0!</v>
          </cell>
          <cell r="AB43">
            <v>0</v>
          </cell>
          <cell r="AC43">
            <v>0</v>
          </cell>
          <cell r="AD43" t="e">
            <v>#DIV/0!</v>
          </cell>
          <cell r="AE43">
            <v>0.4</v>
          </cell>
          <cell r="AF43">
            <v>-1</v>
          </cell>
        </row>
        <row r="44">
          <cell r="C44" t="str">
            <v>Benelux</v>
          </cell>
          <cell r="E44">
            <v>0</v>
          </cell>
          <cell r="F44">
            <v>0</v>
          </cell>
          <cell r="G44">
            <v>0</v>
          </cell>
          <cell r="H44">
            <v>0</v>
          </cell>
          <cell r="J44">
            <v>0</v>
          </cell>
          <cell r="K44" t="e">
            <v>#DIV/0!</v>
          </cell>
          <cell r="L44">
            <v>0</v>
          </cell>
          <cell r="M44" t="e">
            <v>#DIV/0!</v>
          </cell>
          <cell r="N44">
            <v>0</v>
          </cell>
          <cell r="O44" t="e">
            <v>#DIV/0!</v>
          </cell>
          <cell r="R44" t="str">
            <v>Benelux</v>
          </cell>
          <cell r="T44">
            <v>0</v>
          </cell>
          <cell r="U44">
            <v>0</v>
          </cell>
          <cell r="V44">
            <v>0</v>
          </cell>
          <cell r="W44">
            <v>0</v>
          </cell>
          <cell r="X44">
            <v>0</v>
          </cell>
          <cell r="Z44">
            <v>0</v>
          </cell>
          <cell r="AA44" t="e">
            <v>#DIV/0!</v>
          </cell>
          <cell r="AB44">
            <v>0</v>
          </cell>
          <cell r="AC44">
            <v>0</v>
          </cell>
          <cell r="AD44" t="e">
            <v>#DIV/0!</v>
          </cell>
          <cell r="AE44">
            <v>0</v>
          </cell>
          <cell r="AF44" t="e">
            <v>#DIV/0!</v>
          </cell>
        </row>
        <row r="45">
          <cell r="C45" t="str">
            <v>Logistique Europe du Nord</v>
          </cell>
          <cell r="E45">
            <v>0</v>
          </cell>
          <cell r="F45">
            <v>0</v>
          </cell>
          <cell r="G45">
            <v>0</v>
          </cell>
          <cell r="H45">
            <v>0</v>
          </cell>
          <cell r="J45">
            <v>0</v>
          </cell>
          <cell r="K45" t="e">
            <v>#DIV/0!</v>
          </cell>
          <cell r="L45">
            <v>0</v>
          </cell>
          <cell r="M45" t="e">
            <v>#DIV/0!</v>
          </cell>
          <cell r="N45">
            <v>0</v>
          </cell>
          <cell r="O45" t="e">
            <v>#DIV/0!</v>
          </cell>
          <cell r="R45" t="str">
            <v>Logistique Europe du Nord</v>
          </cell>
          <cell r="T45">
            <v>0</v>
          </cell>
          <cell r="U45">
            <v>0</v>
          </cell>
          <cell r="V45">
            <v>0</v>
          </cell>
          <cell r="W45">
            <v>0</v>
          </cell>
          <cell r="X45">
            <v>0</v>
          </cell>
          <cell r="Z45">
            <v>0</v>
          </cell>
          <cell r="AA45" t="e">
            <v>#DIV/0!</v>
          </cell>
          <cell r="AB45">
            <v>0</v>
          </cell>
          <cell r="AC45">
            <v>0</v>
          </cell>
          <cell r="AD45" t="e">
            <v>#DIV/0!</v>
          </cell>
          <cell r="AE45">
            <v>0</v>
          </cell>
          <cell r="AF45" t="e">
            <v>#DIV/0!</v>
          </cell>
        </row>
        <row r="47">
          <cell r="C47" t="str">
            <v>Logistique France</v>
          </cell>
          <cell r="E47">
            <v>0</v>
          </cell>
          <cell r="F47">
            <v>0</v>
          </cell>
          <cell r="G47">
            <v>0</v>
          </cell>
          <cell r="H47">
            <v>0</v>
          </cell>
          <cell r="J47">
            <v>0</v>
          </cell>
          <cell r="K47" t="e">
            <v>#DIV/0!</v>
          </cell>
          <cell r="L47">
            <v>0</v>
          </cell>
          <cell r="M47" t="e">
            <v>#DIV/0!</v>
          </cell>
          <cell r="N47">
            <v>0</v>
          </cell>
          <cell r="O47" t="e">
            <v>#DIV/0!</v>
          </cell>
          <cell r="R47" t="str">
            <v>Logistique France</v>
          </cell>
          <cell r="T47">
            <v>0</v>
          </cell>
          <cell r="U47">
            <v>0</v>
          </cell>
          <cell r="V47">
            <v>0</v>
          </cell>
          <cell r="W47">
            <v>0</v>
          </cell>
          <cell r="X47">
            <v>0</v>
          </cell>
          <cell r="Z47">
            <v>0</v>
          </cell>
          <cell r="AA47" t="e">
            <v>#DIV/0!</v>
          </cell>
          <cell r="AB47">
            <v>0</v>
          </cell>
          <cell r="AC47">
            <v>0</v>
          </cell>
          <cell r="AD47" t="e">
            <v>#DIV/0!</v>
          </cell>
          <cell r="AE47">
            <v>0</v>
          </cell>
          <cell r="AF47" t="e">
            <v>#DIV/0!</v>
          </cell>
        </row>
        <row r="48">
          <cell r="C48" t="str">
            <v>Logistique Espagne</v>
          </cell>
          <cell r="E48">
            <v>-0.11900000000000001</v>
          </cell>
          <cell r="F48">
            <v>-8.7000000000000008E-2</v>
          </cell>
          <cell r="G48">
            <v>-0.37</v>
          </cell>
          <cell r="H48">
            <v>-0.19700000000000001</v>
          </cell>
          <cell r="J48">
            <v>-3.2000000000000001E-2</v>
          </cell>
          <cell r="K48">
            <v>0.36781609195402298</v>
          </cell>
          <cell r="L48">
            <v>0.251</v>
          </cell>
          <cell r="M48">
            <v>-0.67837837837837844</v>
          </cell>
          <cell r="N48">
            <v>7.8E-2</v>
          </cell>
          <cell r="O48">
            <v>-0.39593908629441621</v>
          </cell>
          <cell r="R48" t="str">
            <v>Logistique Espagne</v>
          </cell>
          <cell r="T48">
            <v>-1.119</v>
          </cell>
          <cell r="U48">
            <v>-1.119</v>
          </cell>
          <cell r="V48">
            <v>-1.3860000000000001</v>
          </cell>
          <cell r="W48">
            <v>-1.9530000000000001</v>
          </cell>
          <cell r="X48">
            <v>0</v>
          </cell>
          <cell r="Z48">
            <v>0</v>
          </cell>
          <cell r="AA48">
            <v>0</v>
          </cell>
          <cell r="AB48">
            <v>0.26700000000000013</v>
          </cell>
          <cell r="AC48">
            <v>0.83400000000000007</v>
          </cell>
          <cell r="AD48">
            <v>-0.42703533026113671</v>
          </cell>
          <cell r="AE48">
            <v>-1.119</v>
          </cell>
          <cell r="AF48" t="e">
            <v>#DIV/0!</v>
          </cell>
        </row>
        <row r="49">
          <cell r="C49" t="str">
            <v>Logistique Italie</v>
          </cell>
          <cell r="E49">
            <v>9.7000000000000003E-2</v>
          </cell>
          <cell r="F49">
            <v>3.9E-2</v>
          </cell>
          <cell r="G49">
            <v>0</v>
          </cell>
          <cell r="H49">
            <v>-9.0999999999999998E-2</v>
          </cell>
          <cell r="J49">
            <v>5.8000000000000003E-2</v>
          </cell>
          <cell r="K49">
            <v>1.4871794871794872</v>
          </cell>
          <cell r="L49">
            <v>9.7000000000000003E-2</v>
          </cell>
          <cell r="M49" t="e">
            <v>#DIV/0!</v>
          </cell>
          <cell r="N49">
            <v>0.188</v>
          </cell>
          <cell r="O49">
            <v>-2.0659340659340661</v>
          </cell>
          <cell r="R49" t="str">
            <v>Logistique Italie</v>
          </cell>
          <cell r="T49">
            <v>0.47900000000000004</v>
          </cell>
          <cell r="U49">
            <v>0.47900000000000004</v>
          </cell>
          <cell r="V49">
            <v>0.70100000000000007</v>
          </cell>
          <cell r="W49">
            <v>0</v>
          </cell>
          <cell r="X49">
            <v>0.8</v>
          </cell>
          <cell r="Z49">
            <v>0</v>
          </cell>
          <cell r="AA49">
            <v>0</v>
          </cell>
          <cell r="AB49">
            <v>-0.22200000000000003</v>
          </cell>
          <cell r="AC49">
            <v>0.47900000000000004</v>
          </cell>
          <cell r="AD49" t="e">
            <v>#DIV/0!</v>
          </cell>
          <cell r="AE49">
            <v>-0.32100000000000001</v>
          </cell>
          <cell r="AF49">
            <v>-0.40125</v>
          </cell>
        </row>
        <row r="50">
          <cell r="C50" t="str">
            <v>Logistique Maroc</v>
          </cell>
          <cell r="E50">
            <v>0.64300000000000002</v>
          </cell>
          <cell r="F50">
            <v>0.81500000000000006</v>
          </cell>
          <cell r="G50">
            <v>-0.67400000000000004</v>
          </cell>
          <cell r="H50" t="e">
            <v>#VALUE!</v>
          </cell>
          <cell r="J50">
            <v>-0.17200000000000004</v>
          </cell>
          <cell r="K50">
            <v>-0.2110429447852761</v>
          </cell>
          <cell r="L50">
            <v>1.3170000000000002</v>
          </cell>
          <cell r="M50">
            <v>-1.9540059347181009</v>
          </cell>
          <cell r="N50" t="e">
            <v>#VALUE!</v>
          </cell>
          <cell r="O50" t="e">
            <v>#VALUE!</v>
          </cell>
          <cell r="R50" t="str">
            <v>Logistique Maroc</v>
          </cell>
          <cell r="T50">
            <v>3.835</v>
          </cell>
          <cell r="U50">
            <v>3.835</v>
          </cell>
          <cell r="V50">
            <v>3.355</v>
          </cell>
          <cell r="W50">
            <v>3.109</v>
          </cell>
          <cell r="X50">
            <v>3.69</v>
          </cell>
          <cell r="Z50">
            <v>0</v>
          </cell>
          <cell r="AA50">
            <v>0</v>
          </cell>
          <cell r="AB50">
            <v>0.48</v>
          </cell>
          <cell r="AC50">
            <v>0.72599999999999998</v>
          </cell>
          <cell r="AD50">
            <v>0.23351559987134127</v>
          </cell>
          <cell r="AE50">
            <v>0.14500000000000002</v>
          </cell>
          <cell r="AF50">
            <v>3.9295392953929545E-2</v>
          </cell>
        </row>
        <row r="51">
          <cell r="C51" t="str">
            <v>Logistique Europe du Sud</v>
          </cell>
          <cell r="E51">
            <v>0</v>
          </cell>
          <cell r="F51">
            <v>0</v>
          </cell>
          <cell r="G51">
            <v>0</v>
          </cell>
          <cell r="H51">
            <v>0</v>
          </cell>
          <cell r="J51">
            <v>0</v>
          </cell>
          <cell r="K51" t="e">
            <v>#DIV/0!</v>
          </cell>
          <cell r="L51">
            <v>0</v>
          </cell>
          <cell r="M51" t="e">
            <v>#DIV/0!</v>
          </cell>
          <cell r="N51">
            <v>0</v>
          </cell>
          <cell r="O51" t="e">
            <v>#DIV/0!</v>
          </cell>
          <cell r="R51" t="str">
            <v>Logistique Europe du Sud</v>
          </cell>
          <cell r="T51">
            <v>0</v>
          </cell>
          <cell r="U51">
            <v>0</v>
          </cell>
          <cell r="V51">
            <v>0</v>
          </cell>
          <cell r="W51">
            <v>0</v>
          </cell>
          <cell r="X51">
            <v>0</v>
          </cell>
          <cell r="Z51">
            <v>0</v>
          </cell>
          <cell r="AA51" t="e">
            <v>#DIV/0!</v>
          </cell>
          <cell r="AB51">
            <v>0</v>
          </cell>
          <cell r="AC51">
            <v>0</v>
          </cell>
          <cell r="AD51" t="e">
            <v>#DIV/0!</v>
          </cell>
          <cell r="AE51">
            <v>0</v>
          </cell>
          <cell r="AF51" t="e">
            <v>#DIV/0!</v>
          </cell>
        </row>
        <row r="53">
          <cell r="C53" t="str">
            <v>Logistique Autres</v>
          </cell>
          <cell r="E53">
            <v>0</v>
          </cell>
          <cell r="F53">
            <v>0</v>
          </cell>
          <cell r="G53">
            <v>0</v>
          </cell>
          <cell r="H53">
            <v>0</v>
          </cell>
          <cell r="J53">
            <v>0</v>
          </cell>
          <cell r="K53" t="e">
            <v>#DIV/0!</v>
          </cell>
          <cell r="L53">
            <v>0</v>
          </cell>
          <cell r="M53" t="e">
            <v>#DIV/0!</v>
          </cell>
          <cell r="N53">
            <v>0</v>
          </cell>
          <cell r="O53" t="e">
            <v>#DIV/0!</v>
          </cell>
          <cell r="R53" t="str">
            <v>Logistique Autres</v>
          </cell>
          <cell r="T53">
            <v>0</v>
          </cell>
          <cell r="U53">
            <v>0</v>
          </cell>
          <cell r="V53">
            <v>0</v>
          </cell>
          <cell r="W53">
            <v>0</v>
          </cell>
          <cell r="X53">
            <v>0</v>
          </cell>
          <cell r="Z53">
            <v>0</v>
          </cell>
          <cell r="AA53" t="e">
            <v>#DIV/0!</v>
          </cell>
          <cell r="AB53">
            <v>0</v>
          </cell>
          <cell r="AC53">
            <v>0</v>
          </cell>
          <cell r="AD53" t="e">
            <v>#DIV/0!</v>
          </cell>
          <cell r="AE53">
            <v>0</v>
          </cell>
          <cell r="AF53" t="e">
            <v>#DIV/0!</v>
          </cell>
        </row>
        <row r="55">
          <cell r="C55" t="str">
            <v>Sociétés de service &amp; Holdings</v>
          </cell>
          <cell r="E55">
            <v>0</v>
          </cell>
          <cell r="F55">
            <v>0</v>
          </cell>
          <cell r="G55">
            <v>0</v>
          </cell>
          <cell r="H55">
            <v>0</v>
          </cell>
          <cell r="J55">
            <v>0</v>
          </cell>
          <cell r="K55" t="e">
            <v>#DIV/0!</v>
          </cell>
          <cell r="L55">
            <v>0</v>
          </cell>
          <cell r="M55" t="e">
            <v>#DIV/0!</v>
          </cell>
          <cell r="N55">
            <v>0</v>
          </cell>
          <cell r="O55" t="e">
            <v>#DIV/0!</v>
          </cell>
          <cell r="R55" t="str">
            <v>Sociétés de service &amp; Holdings</v>
          </cell>
          <cell r="T55">
            <v>0</v>
          </cell>
          <cell r="U55">
            <v>0</v>
          </cell>
          <cell r="V55">
            <v>0</v>
          </cell>
          <cell r="W55">
            <v>0</v>
          </cell>
          <cell r="X55">
            <v>0</v>
          </cell>
          <cell r="Z55">
            <v>0</v>
          </cell>
          <cell r="AA55" t="e">
            <v>#DIV/0!</v>
          </cell>
          <cell r="AB55">
            <v>0</v>
          </cell>
          <cell r="AC55">
            <v>0</v>
          </cell>
          <cell r="AD55" t="e">
            <v>#DIV/0!</v>
          </cell>
          <cell r="AE55">
            <v>0</v>
          </cell>
          <cell r="AF55" t="e">
            <v>#DIV/0!</v>
          </cell>
        </row>
        <row r="57">
          <cell r="C57" t="str">
            <v>Elim inter-zones Logistique</v>
          </cell>
          <cell r="E57">
            <v>0</v>
          </cell>
          <cell r="F57">
            <v>0</v>
          </cell>
          <cell r="G57">
            <v>0</v>
          </cell>
          <cell r="H57">
            <v>0</v>
          </cell>
          <cell r="J57">
            <v>0</v>
          </cell>
          <cell r="K57" t="e">
            <v>#DIV/0!</v>
          </cell>
          <cell r="L57">
            <v>0</v>
          </cell>
          <cell r="M57" t="e">
            <v>#DIV/0!</v>
          </cell>
          <cell r="N57">
            <v>0</v>
          </cell>
          <cell r="O57" t="e">
            <v>#DIV/0!</v>
          </cell>
          <cell r="R57" t="str">
            <v>Elim inter-zones Logistique</v>
          </cell>
          <cell r="T57">
            <v>0</v>
          </cell>
          <cell r="U57">
            <v>0</v>
          </cell>
          <cell r="V57">
            <v>0</v>
          </cell>
          <cell r="W57">
            <v>0</v>
          </cell>
          <cell r="X57">
            <v>0</v>
          </cell>
          <cell r="Z57">
            <v>0</v>
          </cell>
          <cell r="AA57" t="e">
            <v>#DIV/0!</v>
          </cell>
          <cell r="AB57">
            <v>0</v>
          </cell>
          <cell r="AC57">
            <v>0</v>
          </cell>
          <cell r="AD57" t="e">
            <v>#DIV/0!</v>
          </cell>
          <cell r="AE57">
            <v>0</v>
          </cell>
          <cell r="AF57" t="e">
            <v>#DIV/0!</v>
          </cell>
        </row>
        <row r="59">
          <cell r="C59" t="str">
            <v>LOGISTIQUE CONTRACTUELLE</v>
          </cell>
          <cell r="E59">
            <v>0</v>
          </cell>
          <cell r="F59">
            <v>0</v>
          </cell>
          <cell r="G59">
            <v>0</v>
          </cell>
          <cell r="H59">
            <v>0</v>
          </cell>
          <cell r="J59">
            <v>0</v>
          </cell>
          <cell r="K59" t="e">
            <v>#DIV/0!</v>
          </cell>
          <cell r="L59">
            <v>0</v>
          </cell>
          <cell r="M59" t="e">
            <v>#DIV/0!</v>
          </cell>
          <cell r="N59">
            <v>0</v>
          </cell>
          <cell r="O59" t="e">
            <v>#DIV/0!</v>
          </cell>
          <cell r="R59" t="str">
            <v>LOGISTIQUE CONTRACTUELLE</v>
          </cell>
          <cell r="T59">
            <v>0</v>
          </cell>
          <cell r="U59">
            <v>0</v>
          </cell>
          <cell r="V59">
            <v>0</v>
          </cell>
          <cell r="W59">
            <v>0</v>
          </cell>
          <cell r="X59">
            <v>0</v>
          </cell>
          <cell r="Z59">
            <v>0</v>
          </cell>
          <cell r="AA59" t="e">
            <v>#DIV/0!</v>
          </cell>
          <cell r="AB59">
            <v>0</v>
          </cell>
          <cell r="AC59">
            <v>0</v>
          </cell>
          <cell r="AD59" t="e">
            <v>#DIV/0!</v>
          </cell>
          <cell r="AE59">
            <v>0</v>
          </cell>
          <cell r="AF59" t="e">
            <v>#DIV/0!</v>
          </cell>
        </row>
        <row r="66">
          <cell r="C66" t="str">
            <v>en M€</v>
          </cell>
          <cell r="E66" t="str">
            <v>Réel 2009.12</v>
          </cell>
          <cell r="F66" t="str">
            <v>Budget 2009.12</v>
          </cell>
          <cell r="G66" t="str">
            <v>P1 2009.12</v>
          </cell>
          <cell r="H66" t="str">
            <v>Réel 2008.12</v>
          </cell>
          <cell r="J66" t="str">
            <v xml:space="preserve">     N / B
valeur</v>
          </cell>
          <cell r="K66" t="str">
            <v xml:space="preserve">     N / B
%</v>
          </cell>
          <cell r="L66" t="str">
            <v xml:space="preserve">     N / P1
valeur</v>
          </cell>
          <cell r="M66" t="str">
            <v xml:space="preserve">     N / P1
%</v>
          </cell>
          <cell r="N66" t="str">
            <v xml:space="preserve">     N / N-1
valeur</v>
          </cell>
          <cell r="O66" t="str">
            <v xml:space="preserve">     N / N-1
%</v>
          </cell>
          <cell r="R66" t="str">
            <v>en M€</v>
          </cell>
          <cell r="T66" t="str">
            <v>Réel 2009.12</v>
          </cell>
          <cell r="U66" t="str">
            <v>Budget 2009.12</v>
          </cell>
          <cell r="V66" t="str">
            <v>P3 2009.12</v>
          </cell>
          <cell r="W66" t="str">
            <v>P1 2009.12</v>
          </cell>
          <cell r="X66" t="str">
            <v>Réel 2008.12</v>
          </cell>
          <cell r="Z66" t="str">
            <v xml:space="preserve">     N / B
valeur</v>
          </cell>
          <cell r="AA66" t="str">
            <v xml:space="preserve">     N / B
%</v>
          </cell>
          <cell r="AB66" t="str">
            <v xml:space="preserve">     N / P3
valeur</v>
          </cell>
          <cell r="AC66" t="str">
            <v xml:space="preserve">     N / P1
valeur</v>
          </cell>
          <cell r="AD66" t="str">
            <v xml:space="preserve">     N / P1
%</v>
          </cell>
          <cell r="AE66" t="str">
            <v xml:space="preserve">     N / N-1
valeur</v>
          </cell>
          <cell r="AF66" t="str">
            <v xml:space="preserve">     N / N-1
%</v>
          </cell>
        </row>
        <row r="68">
          <cell r="C68" t="str">
            <v>Freight Management Amériques</v>
          </cell>
          <cell r="E68">
            <v>0</v>
          </cell>
          <cell r="F68">
            <v>0</v>
          </cell>
          <cell r="G68">
            <v>0</v>
          </cell>
          <cell r="H68">
            <v>0.11900000000000001</v>
          </cell>
          <cell r="J68">
            <v>0</v>
          </cell>
          <cell r="K68" t="e">
            <v>#DIV/0!</v>
          </cell>
          <cell r="L68">
            <v>0</v>
          </cell>
          <cell r="M68" t="e">
            <v>#DIV/0!</v>
          </cell>
          <cell r="N68">
            <v>-0.11900000000000001</v>
          </cell>
          <cell r="O68">
            <v>-1</v>
          </cell>
          <cell r="R68" t="str">
            <v>Freight Management Amériques</v>
          </cell>
          <cell r="T68">
            <v>0</v>
          </cell>
          <cell r="U68">
            <v>0</v>
          </cell>
          <cell r="V68">
            <v>0</v>
          </cell>
          <cell r="W68">
            <v>0</v>
          </cell>
          <cell r="X68">
            <v>0</v>
          </cell>
          <cell r="Z68">
            <v>0</v>
          </cell>
          <cell r="AA68" t="e">
            <v>#DIV/0!</v>
          </cell>
          <cell r="AB68">
            <v>0</v>
          </cell>
          <cell r="AC68">
            <v>0</v>
          </cell>
          <cell r="AD68" t="e">
            <v>#DIV/0!</v>
          </cell>
          <cell r="AE68">
            <v>0</v>
          </cell>
          <cell r="AF68" t="e">
            <v>#DIV/0!</v>
          </cell>
        </row>
        <row r="70">
          <cell r="C70" t="str">
            <v>Freight Management Asie du Nord</v>
          </cell>
          <cell r="E70" t="e">
            <v>#VALUE!</v>
          </cell>
          <cell r="F70" t="e">
            <v>#VALUE!</v>
          </cell>
          <cell r="G70" t="e">
            <v>#VALUE!</v>
          </cell>
          <cell r="H70" t="e">
            <v>#VALUE!</v>
          </cell>
          <cell r="J70" t="e">
            <v>#VALUE!</v>
          </cell>
          <cell r="K70" t="e">
            <v>#VALUE!</v>
          </cell>
          <cell r="L70" t="e">
            <v>#VALUE!</v>
          </cell>
          <cell r="M70" t="e">
            <v>#VALUE!</v>
          </cell>
          <cell r="N70" t="e">
            <v>#VALUE!</v>
          </cell>
          <cell r="O70" t="e">
            <v>#VALUE!</v>
          </cell>
          <cell r="R70" t="str">
            <v>Freight Management Asie du Nord</v>
          </cell>
          <cell r="T70" t="e">
            <v>#VALUE!</v>
          </cell>
          <cell r="U70" t="e">
            <v>#VALUE!</v>
          </cell>
          <cell r="V70" t="e">
            <v>#VALUE!</v>
          </cell>
          <cell r="W70" t="e">
            <v>#VALUE!</v>
          </cell>
          <cell r="X70" t="e">
            <v>#VALUE!</v>
          </cell>
          <cell r="Z70" t="e">
            <v>#VALUE!</v>
          </cell>
          <cell r="AA70" t="e">
            <v>#VALUE!</v>
          </cell>
          <cell r="AB70" t="e">
            <v>#VALUE!</v>
          </cell>
          <cell r="AC70" t="e">
            <v>#VALUE!</v>
          </cell>
          <cell r="AD70" t="e">
            <v>#VALUE!</v>
          </cell>
          <cell r="AE70" t="e">
            <v>#VALUE!</v>
          </cell>
          <cell r="AF70" t="e">
            <v>#VALUE!</v>
          </cell>
        </row>
        <row r="72">
          <cell r="C72" t="str">
            <v>Freight Management Asie du Sud</v>
          </cell>
          <cell r="E72">
            <v>0</v>
          </cell>
          <cell r="F72">
            <v>0</v>
          </cell>
          <cell r="G72">
            <v>0</v>
          </cell>
          <cell r="H72">
            <v>0</v>
          </cell>
          <cell r="J72">
            <v>0</v>
          </cell>
          <cell r="K72" t="e">
            <v>#DIV/0!</v>
          </cell>
          <cell r="L72">
            <v>0</v>
          </cell>
          <cell r="M72" t="e">
            <v>#DIV/0!</v>
          </cell>
          <cell r="N72">
            <v>0</v>
          </cell>
          <cell r="O72" t="e">
            <v>#DIV/0!</v>
          </cell>
          <cell r="R72" t="str">
            <v>Freight Management Asie du Sud</v>
          </cell>
          <cell r="T72">
            <v>0</v>
          </cell>
          <cell r="U72">
            <v>0</v>
          </cell>
          <cell r="V72">
            <v>0</v>
          </cell>
          <cell r="W72">
            <v>0</v>
          </cell>
          <cell r="X72">
            <v>0</v>
          </cell>
          <cell r="Z72">
            <v>0</v>
          </cell>
          <cell r="AA72" t="e">
            <v>#DIV/0!</v>
          </cell>
          <cell r="AB72">
            <v>0</v>
          </cell>
          <cell r="AC72">
            <v>0</v>
          </cell>
          <cell r="AD72" t="e">
            <v>#DIV/0!</v>
          </cell>
          <cell r="AE72">
            <v>0</v>
          </cell>
          <cell r="AF72" t="e">
            <v>#DIV/0!</v>
          </cell>
        </row>
        <row r="74">
          <cell r="C74" t="str">
            <v>Freight Management Europe Centrale et Moyen Orient</v>
          </cell>
          <cell r="E74">
            <v>0</v>
          </cell>
          <cell r="F74">
            <v>0</v>
          </cell>
          <cell r="G74">
            <v>0</v>
          </cell>
          <cell r="H74">
            <v>0</v>
          </cell>
          <cell r="J74">
            <v>0</v>
          </cell>
          <cell r="K74" t="e">
            <v>#DIV/0!</v>
          </cell>
          <cell r="L74">
            <v>0</v>
          </cell>
          <cell r="M74" t="e">
            <v>#DIV/0!</v>
          </cell>
          <cell r="N74">
            <v>0</v>
          </cell>
          <cell r="O74" t="e">
            <v>#DIV/0!</v>
          </cell>
          <cell r="R74" t="str">
            <v>Freight Management Europe Centrale et Moyen Orient</v>
          </cell>
          <cell r="T74">
            <v>0</v>
          </cell>
          <cell r="U74">
            <v>0</v>
          </cell>
          <cell r="V74">
            <v>0</v>
          </cell>
          <cell r="W74">
            <v>0</v>
          </cell>
          <cell r="X74">
            <v>0</v>
          </cell>
          <cell r="Z74">
            <v>0</v>
          </cell>
          <cell r="AA74" t="e">
            <v>#DIV/0!</v>
          </cell>
          <cell r="AB74">
            <v>0</v>
          </cell>
          <cell r="AC74">
            <v>0</v>
          </cell>
          <cell r="AD74" t="e">
            <v>#DIV/0!</v>
          </cell>
          <cell r="AE74">
            <v>0</v>
          </cell>
          <cell r="AF74" t="e">
            <v>#DIV/0!</v>
          </cell>
        </row>
        <row r="76">
          <cell r="C76" t="str">
            <v>Geodis Overseas Wilson Afrique</v>
          </cell>
          <cell r="E76" t="e">
            <v>#VALUE!</v>
          </cell>
          <cell r="F76">
            <v>0</v>
          </cell>
          <cell r="G76">
            <v>0</v>
          </cell>
          <cell r="H76" t="e">
            <v>#VALUE!</v>
          </cell>
          <cell r="J76" t="e">
            <v>#VALUE!</v>
          </cell>
          <cell r="K76" t="e">
            <v>#VALUE!</v>
          </cell>
          <cell r="L76" t="e">
            <v>#VALUE!</v>
          </cell>
          <cell r="M76" t="e">
            <v>#VALUE!</v>
          </cell>
          <cell r="N76" t="e">
            <v>#VALUE!</v>
          </cell>
          <cell r="O76" t="e">
            <v>#VALUE!</v>
          </cell>
          <cell r="R76" t="str">
            <v>Geodis Overseas Wilson Afrique</v>
          </cell>
          <cell r="T76" t="e">
            <v>#VALUE!</v>
          </cell>
          <cell r="U76" t="e">
            <v>#VALUE!</v>
          </cell>
          <cell r="V76">
            <v>0</v>
          </cell>
          <cell r="W76">
            <v>0</v>
          </cell>
          <cell r="X76" t="e">
            <v>#VALUE!</v>
          </cell>
          <cell r="Z76" t="e">
            <v>#VALUE!</v>
          </cell>
          <cell r="AA76" t="e">
            <v>#VALUE!</v>
          </cell>
          <cell r="AB76" t="e">
            <v>#VALUE!</v>
          </cell>
          <cell r="AC76" t="e">
            <v>#VALUE!</v>
          </cell>
          <cell r="AD76" t="e">
            <v>#VALUE!</v>
          </cell>
          <cell r="AE76" t="e">
            <v>#VALUE!</v>
          </cell>
          <cell r="AF76" t="e">
            <v>#VALUE!</v>
          </cell>
        </row>
        <row r="77">
          <cell r="C77" t="str">
            <v>Geodis Overseas Wilson France et filiales</v>
          </cell>
          <cell r="E77">
            <v>0</v>
          </cell>
          <cell r="F77">
            <v>0.125</v>
          </cell>
          <cell r="G77">
            <v>0</v>
          </cell>
          <cell r="H77">
            <v>0.10200000000000001</v>
          </cell>
          <cell r="J77">
            <v>-0.125</v>
          </cell>
          <cell r="K77">
            <v>-1</v>
          </cell>
          <cell r="L77">
            <v>0</v>
          </cell>
          <cell r="M77" t="e">
            <v>#DIV/0!</v>
          </cell>
          <cell r="N77">
            <v>-0.10200000000000001</v>
          </cell>
          <cell r="O77">
            <v>-1</v>
          </cell>
          <cell r="R77" t="str">
            <v>Geodis Overseas Wilson France et filiales</v>
          </cell>
          <cell r="T77">
            <v>0</v>
          </cell>
          <cell r="U77">
            <v>0</v>
          </cell>
          <cell r="V77">
            <v>1</v>
          </cell>
          <cell r="W77">
            <v>-2.6619999999999999</v>
          </cell>
          <cell r="X77">
            <v>0</v>
          </cell>
          <cell r="Z77">
            <v>0</v>
          </cell>
          <cell r="AA77" t="e">
            <v>#DIV/0!</v>
          </cell>
          <cell r="AB77">
            <v>-1</v>
          </cell>
          <cell r="AC77">
            <v>2.6619999999999999</v>
          </cell>
          <cell r="AD77">
            <v>-1</v>
          </cell>
          <cell r="AE77">
            <v>0</v>
          </cell>
          <cell r="AF77" t="e">
            <v>#DIV/0!</v>
          </cell>
        </row>
        <row r="78">
          <cell r="C78" t="str">
            <v>Geodis Overseas Wilson Europe du Sud</v>
          </cell>
          <cell r="E78">
            <v>0</v>
          </cell>
          <cell r="F78" t="e">
            <v>#VALUE!</v>
          </cell>
          <cell r="G78">
            <v>0</v>
          </cell>
          <cell r="H78" t="e">
            <v>#VALUE!</v>
          </cell>
          <cell r="J78" t="e">
            <v>#VALUE!</v>
          </cell>
          <cell r="K78" t="e">
            <v>#VALUE!</v>
          </cell>
          <cell r="L78">
            <v>0</v>
          </cell>
          <cell r="M78" t="e">
            <v>#DIV/0!</v>
          </cell>
          <cell r="N78" t="e">
            <v>#VALUE!</v>
          </cell>
          <cell r="O78" t="e">
            <v>#VALUE!</v>
          </cell>
          <cell r="R78" t="str">
            <v>Geodis Overseas Wilson Europe du Sud</v>
          </cell>
          <cell r="T78">
            <v>0</v>
          </cell>
          <cell r="U78">
            <v>0</v>
          </cell>
          <cell r="V78">
            <v>0</v>
          </cell>
          <cell r="W78">
            <v>0</v>
          </cell>
          <cell r="X78">
            <v>0</v>
          </cell>
          <cell r="Z78">
            <v>0</v>
          </cell>
          <cell r="AA78" t="e">
            <v>#DIV/0!</v>
          </cell>
          <cell r="AB78">
            <v>0</v>
          </cell>
          <cell r="AC78">
            <v>0</v>
          </cell>
          <cell r="AD78" t="e">
            <v>#DIV/0!</v>
          </cell>
          <cell r="AE78">
            <v>0</v>
          </cell>
          <cell r="AF78" t="e">
            <v>#DIV/0!</v>
          </cell>
        </row>
        <row r="79">
          <cell r="C79" t="str">
            <v>Freight Management Europe du Sud et Afrique</v>
          </cell>
          <cell r="E79">
            <v>-0.89600000000000002</v>
          </cell>
          <cell r="F79">
            <v>-0.02</v>
          </cell>
          <cell r="G79">
            <v>4.1000000000000002E-2</v>
          </cell>
          <cell r="H79">
            <v>-0.68</v>
          </cell>
          <cell r="J79">
            <v>-0.876</v>
          </cell>
          <cell r="K79">
            <v>43.8</v>
          </cell>
          <cell r="L79">
            <v>-0.93700000000000006</v>
          </cell>
          <cell r="M79">
            <v>-22.853658536585368</v>
          </cell>
          <cell r="N79">
            <v>-0.21599999999999997</v>
          </cell>
          <cell r="O79">
            <v>0.31764705882352934</v>
          </cell>
          <cell r="R79" t="str">
            <v>Freight Management Europe du Sud et Afrique</v>
          </cell>
          <cell r="T79">
            <v>-6.9990000000000006</v>
          </cell>
          <cell r="U79">
            <v>-6.9990000000000006</v>
          </cell>
          <cell r="V79">
            <v>-3.5990000000000002</v>
          </cell>
          <cell r="W79">
            <v>1.921</v>
          </cell>
          <cell r="X79">
            <v>0</v>
          </cell>
          <cell r="Z79">
            <v>0</v>
          </cell>
          <cell r="AA79">
            <v>0</v>
          </cell>
          <cell r="AB79">
            <v>-3.4000000000000004</v>
          </cell>
          <cell r="AC79">
            <v>-8.92</v>
          </cell>
          <cell r="AD79">
            <v>-4.6434148880791257</v>
          </cell>
          <cell r="AE79">
            <v>-6.9990000000000006</v>
          </cell>
          <cell r="AF79" t="e">
            <v>#DIV/0!</v>
          </cell>
        </row>
        <row r="81">
          <cell r="C81" t="str">
            <v>Freight Management Pays Nordiques</v>
          </cell>
          <cell r="E81">
            <v>0</v>
          </cell>
          <cell r="F81">
            <v>0</v>
          </cell>
          <cell r="G81">
            <v>0</v>
          </cell>
          <cell r="H81">
            <v>0.16600000000000001</v>
          </cell>
          <cell r="J81">
            <v>0</v>
          </cell>
          <cell r="K81" t="e">
            <v>#DIV/0!</v>
          </cell>
          <cell r="L81">
            <v>0</v>
          </cell>
          <cell r="M81" t="e">
            <v>#DIV/0!</v>
          </cell>
          <cell r="N81">
            <v>-0.16600000000000001</v>
          </cell>
          <cell r="O81">
            <v>-1</v>
          </cell>
          <cell r="R81" t="str">
            <v>Freight Management Pays Nordiques</v>
          </cell>
          <cell r="T81">
            <v>0</v>
          </cell>
          <cell r="U81">
            <v>0</v>
          </cell>
          <cell r="V81">
            <v>0</v>
          </cell>
          <cell r="W81">
            <v>-2.3000000000000003</v>
          </cell>
          <cell r="X81">
            <v>0.28000000000000003</v>
          </cell>
          <cell r="Z81">
            <v>0</v>
          </cell>
          <cell r="AA81" t="e">
            <v>#DIV/0!</v>
          </cell>
          <cell r="AB81">
            <v>0</v>
          </cell>
          <cell r="AC81">
            <v>2.3000000000000003</v>
          </cell>
          <cell r="AD81">
            <v>-1</v>
          </cell>
          <cell r="AE81">
            <v>-0.28000000000000003</v>
          </cell>
          <cell r="AF81">
            <v>-1</v>
          </cell>
        </row>
        <row r="83">
          <cell r="C83" t="str">
            <v>Freight Management Projets</v>
          </cell>
          <cell r="E83">
            <v>0</v>
          </cell>
          <cell r="F83">
            <v>0</v>
          </cell>
          <cell r="G83">
            <v>0</v>
          </cell>
          <cell r="H83">
            <v>0</v>
          </cell>
          <cell r="J83">
            <v>0</v>
          </cell>
          <cell r="K83" t="e">
            <v>#DIV/0!</v>
          </cell>
          <cell r="L83">
            <v>0</v>
          </cell>
          <cell r="M83" t="e">
            <v>#DIV/0!</v>
          </cell>
          <cell r="N83">
            <v>0</v>
          </cell>
          <cell r="O83" t="e">
            <v>#DIV/0!</v>
          </cell>
          <cell r="R83" t="str">
            <v>Freight Management Projets</v>
          </cell>
          <cell r="T83">
            <v>0</v>
          </cell>
          <cell r="U83">
            <v>0</v>
          </cell>
          <cell r="V83">
            <v>0</v>
          </cell>
          <cell r="W83">
            <v>0</v>
          </cell>
          <cell r="X83">
            <v>0</v>
          </cell>
          <cell r="Z83">
            <v>0</v>
          </cell>
          <cell r="AA83" t="e">
            <v>#DIV/0!</v>
          </cell>
          <cell r="AB83">
            <v>0</v>
          </cell>
          <cell r="AC83">
            <v>0</v>
          </cell>
          <cell r="AD83" t="e">
            <v>#DIV/0!</v>
          </cell>
          <cell r="AE83">
            <v>0</v>
          </cell>
          <cell r="AF83" t="e">
            <v>#DIV/0!</v>
          </cell>
        </row>
        <row r="85">
          <cell r="C85" t="str">
            <v>Sociétés de service &amp; Holdings</v>
          </cell>
          <cell r="E85">
            <v>0</v>
          </cell>
          <cell r="F85">
            <v>0</v>
          </cell>
          <cell r="G85">
            <v>0</v>
          </cell>
          <cell r="H85">
            <v>0</v>
          </cell>
          <cell r="J85">
            <v>0</v>
          </cell>
          <cell r="K85" t="e">
            <v>#DIV/0!</v>
          </cell>
          <cell r="L85">
            <v>0</v>
          </cell>
          <cell r="M85" t="e">
            <v>#DIV/0!</v>
          </cell>
          <cell r="N85">
            <v>0</v>
          </cell>
          <cell r="O85" t="e">
            <v>#DIV/0!</v>
          </cell>
          <cell r="R85" t="str">
            <v>Sociétés de service &amp; Holdings</v>
          </cell>
          <cell r="T85">
            <v>0</v>
          </cell>
          <cell r="U85">
            <v>0</v>
          </cell>
          <cell r="V85">
            <v>0</v>
          </cell>
          <cell r="W85">
            <v>0</v>
          </cell>
          <cell r="X85">
            <v>0</v>
          </cell>
          <cell r="Z85">
            <v>0</v>
          </cell>
          <cell r="AA85" t="e">
            <v>#DIV/0!</v>
          </cell>
          <cell r="AB85">
            <v>0</v>
          </cell>
          <cell r="AC85">
            <v>0</v>
          </cell>
          <cell r="AD85" t="e">
            <v>#DIV/0!</v>
          </cell>
          <cell r="AE85">
            <v>0</v>
          </cell>
          <cell r="AF85" t="e">
            <v>#DIV/0!</v>
          </cell>
        </row>
        <row r="87">
          <cell r="C87" t="str">
            <v>Elim inter-zones Freight Management</v>
          </cell>
          <cell r="E87">
            <v>0</v>
          </cell>
          <cell r="F87">
            <v>0</v>
          </cell>
          <cell r="G87">
            <v>0</v>
          </cell>
          <cell r="H87">
            <v>0</v>
          </cell>
          <cell r="J87">
            <v>0</v>
          </cell>
          <cell r="K87" t="e">
            <v>#DIV/0!</v>
          </cell>
          <cell r="L87">
            <v>0</v>
          </cell>
          <cell r="M87" t="e">
            <v>#DIV/0!</v>
          </cell>
          <cell r="N87">
            <v>0</v>
          </cell>
          <cell r="O87" t="e">
            <v>#DIV/0!</v>
          </cell>
          <cell r="R87" t="str">
            <v>Elim inter-zones Freight Management</v>
          </cell>
          <cell r="T87">
            <v>0</v>
          </cell>
          <cell r="U87">
            <v>0</v>
          </cell>
          <cell r="V87">
            <v>0</v>
          </cell>
          <cell r="W87">
            <v>0</v>
          </cell>
          <cell r="X87">
            <v>0</v>
          </cell>
          <cell r="Z87">
            <v>0</v>
          </cell>
          <cell r="AA87" t="e">
            <v>#DIV/0!</v>
          </cell>
          <cell r="AB87">
            <v>0</v>
          </cell>
          <cell r="AC87">
            <v>0</v>
          </cell>
          <cell r="AD87" t="e">
            <v>#DIV/0!</v>
          </cell>
          <cell r="AE87">
            <v>0</v>
          </cell>
          <cell r="AF87" t="e">
            <v>#DIV/0!</v>
          </cell>
        </row>
        <row r="89">
          <cell r="C89" t="str">
            <v>SOUS-TOTAL GEODIS WILSON net des Eliminations</v>
          </cell>
          <cell r="E89">
            <v>0.107</v>
          </cell>
          <cell r="F89" t="e">
            <v>#VALUE!</v>
          </cell>
          <cell r="G89">
            <v>5.5E-2</v>
          </cell>
          <cell r="H89" t="e">
            <v>#VALUE!</v>
          </cell>
          <cell r="J89" t="e">
            <v>#VALUE!</v>
          </cell>
          <cell r="K89" t="e">
            <v>#VALUE!</v>
          </cell>
          <cell r="L89">
            <v>5.1999999999999998E-2</v>
          </cell>
          <cell r="M89">
            <v>0.94545454545454544</v>
          </cell>
          <cell r="N89" t="e">
            <v>#VALUE!</v>
          </cell>
          <cell r="O89" t="e">
            <v>#VALUE!</v>
          </cell>
          <cell r="R89" t="str">
            <v>SOUS-TOTAL GEODIS WILSON net des Eliminations</v>
          </cell>
          <cell r="T89" t="e">
            <v>#VALUE!</v>
          </cell>
          <cell r="U89" t="e">
            <v>#VALUE!</v>
          </cell>
          <cell r="V89">
            <v>0.58899999999999997</v>
          </cell>
          <cell r="W89" t="e">
            <v>#VALUE!</v>
          </cell>
          <cell r="X89" t="e">
            <v>#VALUE!</v>
          </cell>
          <cell r="Z89" t="e">
            <v>#VALUE!</v>
          </cell>
          <cell r="AA89" t="e">
            <v>#VALUE!</v>
          </cell>
          <cell r="AB89" t="e">
            <v>#VALUE!</v>
          </cell>
          <cell r="AC89" t="e">
            <v>#VALUE!</v>
          </cell>
          <cell r="AD89" t="e">
            <v>#VALUE!</v>
          </cell>
          <cell r="AE89" t="e">
            <v>#VALUE!</v>
          </cell>
          <cell r="AF89" t="e">
            <v>#VALUE!</v>
          </cell>
        </row>
        <row r="91">
          <cell r="C91" t="str">
            <v>TGFL</v>
          </cell>
          <cell r="E91">
            <v>0.107</v>
          </cell>
          <cell r="F91" t="e">
            <v>#VALUE!</v>
          </cell>
          <cell r="G91">
            <v>5.5E-2</v>
          </cell>
          <cell r="H91" t="e">
            <v>#VALUE!</v>
          </cell>
          <cell r="J91" t="e">
            <v>#VALUE!</v>
          </cell>
          <cell r="K91" t="e">
            <v>#VALUE!</v>
          </cell>
          <cell r="L91">
            <v>5.1999999999999998E-2</v>
          </cell>
          <cell r="M91">
            <v>0.94545454545454544</v>
          </cell>
          <cell r="N91" t="e">
            <v>#VALUE!</v>
          </cell>
          <cell r="O91" t="e">
            <v>#VALUE!</v>
          </cell>
          <cell r="R91" t="str">
            <v>TGFL</v>
          </cell>
          <cell r="T91" t="e">
            <v>#VALUE!</v>
          </cell>
          <cell r="U91" t="e">
            <v>#VALUE!</v>
          </cell>
          <cell r="V91">
            <v>0.58899999999999997</v>
          </cell>
          <cell r="W91" t="e">
            <v>#VALUE!</v>
          </cell>
          <cell r="X91" t="e">
            <v>#VALUE!</v>
          </cell>
          <cell r="Z91" t="e">
            <v>#VALUE!</v>
          </cell>
          <cell r="AA91" t="e">
            <v>#VALUE!</v>
          </cell>
          <cell r="AB91" t="e">
            <v>#VALUE!</v>
          </cell>
          <cell r="AC91" t="e">
            <v>#VALUE!</v>
          </cell>
          <cell r="AD91" t="e">
            <v>#VALUE!</v>
          </cell>
          <cell r="AE91" t="e">
            <v>#VALUE!</v>
          </cell>
          <cell r="AF91" t="e">
            <v>#VALUE!</v>
          </cell>
        </row>
        <row r="92">
          <cell r="C92" t="str">
            <v>Freight Management Autres</v>
          </cell>
          <cell r="E92" t="e">
            <v>#VALUE!</v>
          </cell>
          <cell r="F92" t="e">
            <v>#VALUE!</v>
          </cell>
          <cell r="G92" t="e">
            <v>#VALUE!</v>
          </cell>
          <cell r="H92" t="e">
            <v>#VALUE!</v>
          </cell>
          <cell r="J92" t="e">
            <v>#VALUE!</v>
          </cell>
          <cell r="K92" t="e">
            <v>#VALUE!</v>
          </cell>
          <cell r="L92" t="e">
            <v>#VALUE!</v>
          </cell>
          <cell r="M92" t="e">
            <v>#VALUE!</v>
          </cell>
          <cell r="N92" t="e">
            <v>#VALUE!</v>
          </cell>
          <cell r="O92" t="e">
            <v>#VALUE!</v>
          </cell>
          <cell r="R92" t="str">
            <v>Freight Management Autres</v>
          </cell>
          <cell r="T92" t="e">
            <v>#VALUE!</v>
          </cell>
          <cell r="U92" t="e">
            <v>#VALUE!</v>
          </cell>
          <cell r="V92" t="e">
            <v>#VALUE!</v>
          </cell>
          <cell r="W92" t="e">
            <v>#VALUE!</v>
          </cell>
          <cell r="X92" t="e">
            <v>#VALUE!</v>
          </cell>
          <cell r="Z92" t="e">
            <v>#VALUE!</v>
          </cell>
          <cell r="AA92" t="e">
            <v>#VALUE!</v>
          </cell>
          <cell r="AB92" t="e">
            <v>#VALUE!</v>
          </cell>
          <cell r="AC92" t="e">
            <v>#VALUE!</v>
          </cell>
          <cell r="AD92" t="e">
            <v>#VALUE!</v>
          </cell>
          <cell r="AE92" t="e">
            <v>#VALUE!</v>
          </cell>
          <cell r="AF92" t="e">
            <v>#VALUE!</v>
          </cell>
        </row>
        <row r="94">
          <cell r="C94" t="str">
            <v>FREIGHT MANAGEMENT</v>
          </cell>
          <cell r="E94">
            <v>0</v>
          </cell>
          <cell r="F94">
            <v>0</v>
          </cell>
          <cell r="G94">
            <v>0</v>
          </cell>
          <cell r="H94">
            <v>0</v>
          </cell>
          <cell r="J94">
            <v>0</v>
          </cell>
          <cell r="K94" t="e">
            <v>#DIV/0!</v>
          </cell>
          <cell r="L94">
            <v>0</v>
          </cell>
          <cell r="M94" t="e">
            <v>#DIV/0!</v>
          </cell>
          <cell r="N94">
            <v>0</v>
          </cell>
          <cell r="O94" t="e">
            <v>#DIV/0!</v>
          </cell>
          <cell r="R94" t="str">
            <v>FREIGHT MANAGEMENT</v>
          </cell>
          <cell r="T94">
            <v>0</v>
          </cell>
          <cell r="U94">
            <v>0</v>
          </cell>
          <cell r="V94">
            <v>0</v>
          </cell>
          <cell r="W94">
            <v>0</v>
          </cell>
          <cell r="X94">
            <v>0</v>
          </cell>
          <cell r="Z94">
            <v>0</v>
          </cell>
          <cell r="AA94" t="e">
            <v>#DIV/0!</v>
          </cell>
          <cell r="AB94">
            <v>0</v>
          </cell>
          <cell r="AC94">
            <v>0</v>
          </cell>
          <cell r="AD94" t="e">
            <v>#DIV/0!</v>
          </cell>
          <cell r="AE94">
            <v>0</v>
          </cell>
          <cell r="AF94" t="e">
            <v>#DIV/0!</v>
          </cell>
        </row>
        <row r="101">
          <cell r="C101" t="str">
            <v>en M€</v>
          </cell>
          <cell r="E101" t="str">
            <v>Réel 2009.12</v>
          </cell>
          <cell r="F101" t="str">
            <v>Budget 2009.12</v>
          </cell>
          <cell r="G101" t="str">
            <v>P1 2009.12</v>
          </cell>
          <cell r="H101" t="str">
            <v>Réel 2008.12</v>
          </cell>
          <cell r="J101" t="str">
            <v xml:space="preserve">     N / B
valeur</v>
          </cell>
          <cell r="K101" t="str">
            <v xml:space="preserve">     N / B
%</v>
          </cell>
          <cell r="L101" t="str">
            <v xml:space="preserve">     N / P1
valeur</v>
          </cell>
          <cell r="M101" t="str">
            <v xml:space="preserve">     N / P1
%</v>
          </cell>
          <cell r="N101" t="str">
            <v xml:space="preserve">     N / N-1
valeur</v>
          </cell>
          <cell r="O101" t="str">
            <v xml:space="preserve">     N / N-1
%</v>
          </cell>
          <cell r="R101" t="str">
            <v>en M€</v>
          </cell>
          <cell r="T101" t="str">
            <v>Réel 2009.12</v>
          </cell>
          <cell r="U101" t="str">
            <v>Budget 2009.12</v>
          </cell>
          <cell r="V101" t="str">
            <v>P3 2009.12</v>
          </cell>
          <cell r="W101" t="str">
            <v>P1 2009.12</v>
          </cell>
          <cell r="X101" t="str">
            <v>Réel 2008.12</v>
          </cell>
          <cell r="Z101" t="str">
            <v xml:space="preserve">     N / B
valeur</v>
          </cell>
          <cell r="AA101" t="str">
            <v xml:space="preserve">     N / B
%</v>
          </cell>
          <cell r="AB101" t="str">
            <v xml:space="preserve">     N / P3
valeur</v>
          </cell>
          <cell r="AC101" t="str">
            <v xml:space="preserve">     N / P1
valeur</v>
          </cell>
          <cell r="AD101" t="str">
            <v xml:space="preserve">     N / P1
%</v>
          </cell>
          <cell r="AE101" t="str">
            <v xml:space="preserve">     N / N-1
valeur</v>
          </cell>
          <cell r="AF101" t="str">
            <v xml:space="preserve">     N / N-1
%</v>
          </cell>
        </row>
        <row r="103">
          <cell r="C103" t="str">
            <v>BM</v>
          </cell>
          <cell r="E103" t="e">
            <v>#VALUE!</v>
          </cell>
          <cell r="F103">
            <v>0</v>
          </cell>
          <cell r="G103">
            <v>0</v>
          </cell>
          <cell r="H103" t="e">
            <v>#VALUE!</v>
          </cell>
          <cell r="J103" t="e">
            <v>#VALUE!</v>
          </cell>
          <cell r="K103" t="e">
            <v>#VALUE!</v>
          </cell>
          <cell r="L103" t="e">
            <v>#VALUE!</v>
          </cell>
          <cell r="M103" t="e">
            <v>#VALUE!</v>
          </cell>
          <cell r="N103" t="e">
            <v>#VALUE!</v>
          </cell>
          <cell r="O103" t="e">
            <v>#VALUE!</v>
          </cell>
          <cell r="R103" t="str">
            <v>BM</v>
          </cell>
          <cell r="T103" t="e">
            <v>#VALUE!</v>
          </cell>
          <cell r="U103" t="e">
            <v>#VALUE!</v>
          </cell>
          <cell r="V103">
            <v>0</v>
          </cell>
          <cell r="W103">
            <v>0</v>
          </cell>
          <cell r="X103" t="e">
            <v>#VALUE!</v>
          </cell>
          <cell r="Z103" t="e">
            <v>#VALUE!</v>
          </cell>
          <cell r="AA103" t="e">
            <v>#VALUE!</v>
          </cell>
          <cell r="AB103" t="e">
            <v>#VALUE!</v>
          </cell>
          <cell r="AC103" t="e">
            <v>#VALUE!</v>
          </cell>
          <cell r="AD103" t="e">
            <v>#VALUE!</v>
          </cell>
          <cell r="AE103" t="e">
            <v>#VALUE!</v>
          </cell>
          <cell r="AF103" t="e">
            <v>#VALUE!</v>
          </cell>
        </row>
        <row r="105">
          <cell r="C105" t="str">
            <v>Vitesse Container Trucking</v>
          </cell>
          <cell r="E105" t="e">
            <v>#VALUE!</v>
          </cell>
          <cell r="F105">
            <v>0</v>
          </cell>
          <cell r="G105">
            <v>0</v>
          </cell>
          <cell r="H105" t="e">
            <v>#VALUE!</v>
          </cell>
          <cell r="J105" t="e">
            <v>#VALUE!</v>
          </cell>
          <cell r="K105" t="e">
            <v>#VALUE!</v>
          </cell>
          <cell r="L105" t="e">
            <v>#VALUE!</v>
          </cell>
          <cell r="M105" t="e">
            <v>#VALUE!</v>
          </cell>
          <cell r="N105" t="e">
            <v>#VALUE!</v>
          </cell>
          <cell r="O105" t="e">
            <v>#VALUE!</v>
          </cell>
          <cell r="R105" t="str">
            <v>Vitesse Container Trucking</v>
          </cell>
          <cell r="T105" t="e">
            <v>#VALUE!</v>
          </cell>
          <cell r="U105" t="e">
            <v>#VALUE!</v>
          </cell>
          <cell r="V105">
            <v>0</v>
          </cell>
          <cell r="W105">
            <v>0</v>
          </cell>
          <cell r="X105" t="e">
            <v>#VALUE!</v>
          </cell>
          <cell r="Z105" t="e">
            <v>#VALUE!</v>
          </cell>
          <cell r="AA105" t="e">
            <v>#VALUE!</v>
          </cell>
          <cell r="AB105" t="e">
            <v>#VALUE!</v>
          </cell>
          <cell r="AC105" t="e">
            <v>#VALUE!</v>
          </cell>
          <cell r="AD105" t="e">
            <v>#VALUE!</v>
          </cell>
          <cell r="AE105" t="e">
            <v>#VALUE!</v>
          </cell>
          <cell r="AF105" t="e">
            <v>#VALUE!</v>
          </cell>
        </row>
        <row r="107">
          <cell r="C107" t="str">
            <v>Elim inter-zones Route</v>
          </cell>
          <cell r="E107">
            <v>0</v>
          </cell>
          <cell r="F107">
            <v>0</v>
          </cell>
          <cell r="G107">
            <v>0</v>
          </cell>
          <cell r="H107">
            <v>0</v>
          </cell>
          <cell r="J107">
            <v>0</v>
          </cell>
          <cell r="K107" t="e">
            <v>#DIV/0!</v>
          </cell>
          <cell r="L107">
            <v>0</v>
          </cell>
          <cell r="M107" t="e">
            <v>#DIV/0!</v>
          </cell>
          <cell r="N107">
            <v>0</v>
          </cell>
          <cell r="O107" t="e">
            <v>#DIV/0!</v>
          </cell>
          <cell r="R107" t="str">
            <v>Elim inter-zones Route</v>
          </cell>
          <cell r="T107">
            <v>0</v>
          </cell>
          <cell r="U107">
            <v>0</v>
          </cell>
          <cell r="V107">
            <v>0</v>
          </cell>
          <cell r="W107">
            <v>0</v>
          </cell>
          <cell r="X107">
            <v>0</v>
          </cell>
          <cell r="Z107">
            <v>0</v>
          </cell>
          <cell r="AA107" t="e">
            <v>#DIV/0!</v>
          </cell>
          <cell r="AB107">
            <v>0</v>
          </cell>
          <cell r="AC107">
            <v>0</v>
          </cell>
          <cell r="AD107" t="e">
            <v>#DIV/0!</v>
          </cell>
          <cell r="AE107">
            <v>0</v>
          </cell>
          <cell r="AF107" t="e">
            <v>#DIV/0!</v>
          </cell>
        </row>
        <row r="108">
          <cell r="C108" t="str">
            <v>ROUTE</v>
          </cell>
          <cell r="E108" t="e">
            <v>#VALUE!</v>
          </cell>
          <cell r="F108">
            <v>0</v>
          </cell>
          <cell r="G108">
            <v>0</v>
          </cell>
          <cell r="H108" t="e">
            <v>#VALUE!</v>
          </cell>
          <cell r="J108" t="e">
            <v>#VALUE!</v>
          </cell>
          <cell r="K108" t="e">
            <v>#VALUE!</v>
          </cell>
          <cell r="L108" t="e">
            <v>#VALUE!</v>
          </cell>
          <cell r="M108" t="e">
            <v>#VALUE!</v>
          </cell>
          <cell r="N108" t="e">
            <v>#VALUE!</v>
          </cell>
          <cell r="O108" t="e">
            <v>#VALUE!</v>
          </cell>
          <cell r="R108" t="str">
            <v>ROUTE</v>
          </cell>
          <cell r="T108" t="e">
            <v>#VALUE!</v>
          </cell>
          <cell r="U108" t="e">
            <v>#VALUE!</v>
          </cell>
          <cell r="V108">
            <v>0</v>
          </cell>
          <cell r="W108">
            <v>0</v>
          </cell>
          <cell r="X108" t="e">
            <v>#VALUE!</v>
          </cell>
          <cell r="Z108" t="e">
            <v>#VALUE!</v>
          </cell>
          <cell r="AA108" t="e">
            <v>#VALUE!</v>
          </cell>
          <cell r="AB108" t="e">
            <v>#VALUE!</v>
          </cell>
          <cell r="AC108" t="e">
            <v>#VALUE!</v>
          </cell>
          <cell r="AD108" t="e">
            <v>#VALUE!</v>
          </cell>
          <cell r="AE108" t="e">
            <v>#VALUE!</v>
          </cell>
          <cell r="AF108" t="e">
            <v>#VALUE!</v>
          </cell>
        </row>
        <row r="115">
          <cell r="C115" t="str">
            <v>en M€</v>
          </cell>
          <cell r="E115" t="str">
            <v>Réel 2009.12</v>
          </cell>
          <cell r="F115" t="str">
            <v>Budget 2009.12</v>
          </cell>
          <cell r="G115" t="str">
            <v>P1 2009.12</v>
          </cell>
          <cell r="H115" t="str">
            <v>Réel 2008.12</v>
          </cell>
          <cell r="J115" t="str">
            <v xml:space="preserve">     N / B
valeur</v>
          </cell>
          <cell r="K115" t="str">
            <v xml:space="preserve">     N / B
%</v>
          </cell>
          <cell r="L115" t="str">
            <v xml:space="preserve">     N / P1
valeur</v>
          </cell>
          <cell r="M115" t="str">
            <v xml:space="preserve">     N / P1
%</v>
          </cell>
          <cell r="N115" t="str">
            <v xml:space="preserve">     N / N-1
valeur</v>
          </cell>
          <cell r="O115" t="str">
            <v xml:space="preserve">     N / N-1
%</v>
          </cell>
          <cell r="R115" t="str">
            <v>en M€</v>
          </cell>
          <cell r="T115" t="str">
            <v>Réel 2009.12</v>
          </cell>
          <cell r="U115" t="str">
            <v>Budget 2009.12</v>
          </cell>
          <cell r="V115" t="str">
            <v>P3 2009.12</v>
          </cell>
          <cell r="W115" t="str">
            <v>P1 2009.12</v>
          </cell>
          <cell r="X115" t="str">
            <v>Réel 2008.12</v>
          </cell>
          <cell r="Z115" t="str">
            <v xml:space="preserve">     N / B
valeur</v>
          </cell>
          <cell r="AA115" t="str">
            <v xml:space="preserve">     N / B
%</v>
          </cell>
          <cell r="AB115" t="str">
            <v xml:space="preserve">     N / P3
valeur</v>
          </cell>
          <cell r="AC115" t="str">
            <v xml:space="preserve">     N / P1
valeur</v>
          </cell>
          <cell r="AD115" t="str">
            <v xml:space="preserve">     N / P1
%</v>
          </cell>
          <cell r="AE115" t="str">
            <v xml:space="preserve">     N / N-1
valeur</v>
          </cell>
          <cell r="AF115" t="str">
            <v xml:space="preserve">     N / N-1
%</v>
          </cell>
        </row>
        <row r="117">
          <cell r="C117" t="str">
            <v>Sociétés de service &amp; Holdings</v>
          </cell>
          <cell r="E117">
            <v>0</v>
          </cell>
          <cell r="F117">
            <v>0</v>
          </cell>
          <cell r="G117">
            <v>0</v>
          </cell>
          <cell r="H117">
            <v>0</v>
          </cell>
          <cell r="J117">
            <v>0</v>
          </cell>
          <cell r="K117" t="e">
            <v>#DIV/0!</v>
          </cell>
          <cell r="L117">
            <v>0</v>
          </cell>
          <cell r="M117" t="e">
            <v>#DIV/0!</v>
          </cell>
          <cell r="N117">
            <v>0</v>
          </cell>
          <cell r="O117" t="e">
            <v>#DIV/0!</v>
          </cell>
          <cell r="R117" t="str">
            <v>Sociétés de service &amp; Holdings</v>
          </cell>
          <cell r="T117">
            <v>0</v>
          </cell>
          <cell r="U117">
            <v>0</v>
          </cell>
          <cell r="V117">
            <v>0</v>
          </cell>
          <cell r="W117">
            <v>0</v>
          </cell>
          <cell r="X117">
            <v>0</v>
          </cell>
          <cell r="Z117">
            <v>0</v>
          </cell>
          <cell r="AA117" t="e">
            <v>#DIV/0!</v>
          </cell>
          <cell r="AB117">
            <v>0</v>
          </cell>
          <cell r="AC117">
            <v>0</v>
          </cell>
          <cell r="AD117" t="e">
            <v>#DIV/0!</v>
          </cell>
          <cell r="AE117">
            <v>0</v>
          </cell>
          <cell r="AF117" t="e">
            <v>#DIV/0!</v>
          </cell>
        </row>
        <row r="119">
          <cell r="C119" t="str">
            <v>Autres</v>
          </cell>
          <cell r="E119">
            <v>0</v>
          </cell>
          <cell r="F119">
            <v>0</v>
          </cell>
          <cell r="G119">
            <v>0</v>
          </cell>
          <cell r="H119">
            <v>0</v>
          </cell>
          <cell r="J119">
            <v>0</v>
          </cell>
          <cell r="K119" t="e">
            <v>#DIV/0!</v>
          </cell>
          <cell r="L119">
            <v>0</v>
          </cell>
          <cell r="M119" t="e">
            <v>#DIV/0!</v>
          </cell>
          <cell r="N119">
            <v>0</v>
          </cell>
          <cell r="O119" t="e">
            <v>#DIV/0!</v>
          </cell>
          <cell r="R119" t="str">
            <v>Autres</v>
          </cell>
          <cell r="T119">
            <v>0</v>
          </cell>
          <cell r="U119">
            <v>0</v>
          </cell>
          <cell r="V119">
            <v>0</v>
          </cell>
          <cell r="W119">
            <v>0</v>
          </cell>
          <cell r="X119">
            <v>0</v>
          </cell>
          <cell r="Z119">
            <v>0</v>
          </cell>
          <cell r="AA119" t="e">
            <v>#DIV/0!</v>
          </cell>
          <cell r="AB119">
            <v>0</v>
          </cell>
          <cell r="AC119">
            <v>0</v>
          </cell>
          <cell r="AD119" t="e">
            <v>#DIV/0!</v>
          </cell>
          <cell r="AE119">
            <v>0</v>
          </cell>
          <cell r="AF119" t="e">
            <v>#DIV/0!</v>
          </cell>
        </row>
        <row r="121">
          <cell r="C121" t="str">
            <v>AUTRES</v>
          </cell>
          <cell r="E121">
            <v>0</v>
          </cell>
          <cell r="F121">
            <v>0</v>
          </cell>
          <cell r="G121">
            <v>0</v>
          </cell>
          <cell r="H121">
            <v>0</v>
          </cell>
          <cell r="J121">
            <v>0</v>
          </cell>
          <cell r="K121" t="e">
            <v>#DIV/0!</v>
          </cell>
          <cell r="L121">
            <v>0</v>
          </cell>
          <cell r="M121" t="e">
            <v>#DIV/0!</v>
          </cell>
          <cell r="N121">
            <v>0</v>
          </cell>
          <cell r="O121" t="e">
            <v>#DIV/0!</v>
          </cell>
          <cell r="R121" t="str">
            <v>AUTRES</v>
          </cell>
          <cell r="T121">
            <v>0</v>
          </cell>
          <cell r="U121">
            <v>0</v>
          </cell>
          <cell r="V121">
            <v>0</v>
          </cell>
          <cell r="W121">
            <v>0</v>
          </cell>
          <cell r="X121">
            <v>0</v>
          </cell>
          <cell r="Z121">
            <v>0</v>
          </cell>
          <cell r="AA121" t="e">
            <v>#DIV/0!</v>
          </cell>
          <cell r="AB121">
            <v>0</v>
          </cell>
          <cell r="AC121">
            <v>0</v>
          </cell>
          <cell r="AD121" t="e">
            <v>#DIV/0!</v>
          </cell>
          <cell r="AE121">
            <v>0</v>
          </cell>
          <cell r="AF121" t="e">
            <v>#DIV/0!</v>
          </cell>
        </row>
        <row r="123">
          <cell r="C123" t="str">
            <v>Eliminations Groupe</v>
          </cell>
          <cell r="E123">
            <v>0</v>
          </cell>
          <cell r="F123">
            <v>0</v>
          </cell>
          <cell r="G123">
            <v>0</v>
          </cell>
          <cell r="H123">
            <v>3.2</v>
          </cell>
          <cell r="J123">
            <v>0</v>
          </cell>
          <cell r="K123" t="e">
            <v>#DIV/0!</v>
          </cell>
          <cell r="L123">
            <v>0</v>
          </cell>
          <cell r="M123" t="e">
            <v>#DIV/0!</v>
          </cell>
          <cell r="N123">
            <v>-3.2</v>
          </cell>
          <cell r="O123">
            <v>-1</v>
          </cell>
          <cell r="R123" t="str">
            <v>Eliminations Groupe</v>
          </cell>
          <cell r="T123">
            <v>0</v>
          </cell>
          <cell r="U123">
            <v>0</v>
          </cell>
          <cell r="V123">
            <v>0</v>
          </cell>
          <cell r="W123">
            <v>-16</v>
          </cell>
          <cell r="X123">
            <v>0</v>
          </cell>
          <cell r="Z123">
            <v>0</v>
          </cell>
          <cell r="AA123" t="e">
            <v>#DIV/0!</v>
          </cell>
          <cell r="AB123">
            <v>0</v>
          </cell>
          <cell r="AC123">
            <v>16</v>
          </cell>
          <cell r="AD123">
            <v>-1</v>
          </cell>
          <cell r="AE123">
            <v>0</v>
          </cell>
          <cell r="AF123" t="e">
            <v>#DIV/0!</v>
          </cell>
        </row>
        <row r="124">
          <cell r="C124" t="str">
            <v>GROUPE GEODIS</v>
          </cell>
          <cell r="E124">
            <v>0</v>
          </cell>
          <cell r="F124">
            <v>0</v>
          </cell>
          <cell r="G124">
            <v>0</v>
          </cell>
          <cell r="H124">
            <v>-1E-3</v>
          </cell>
          <cell r="J124">
            <v>0</v>
          </cell>
          <cell r="K124" t="e">
            <v>#DIV/0!</v>
          </cell>
          <cell r="L124">
            <v>0</v>
          </cell>
          <cell r="M124" t="e">
            <v>#DIV/0!</v>
          </cell>
          <cell r="N124">
            <v>1E-3</v>
          </cell>
          <cell r="O124">
            <v>-1</v>
          </cell>
          <cell r="R124" t="str">
            <v>GROUPE GEODIS</v>
          </cell>
          <cell r="T124">
            <v>-2E-3</v>
          </cell>
          <cell r="U124">
            <v>-2E-3</v>
          </cell>
          <cell r="V124">
            <v>0</v>
          </cell>
          <cell r="W124">
            <v>0</v>
          </cell>
          <cell r="X124">
            <v>-3.0000000000000001E-3</v>
          </cell>
          <cell r="Z124">
            <v>0</v>
          </cell>
          <cell r="AA124">
            <v>0</v>
          </cell>
          <cell r="AB124">
            <v>-2E-3</v>
          </cell>
          <cell r="AC124">
            <v>-2E-3</v>
          </cell>
          <cell r="AD124" t="e">
            <v>#DIV/0!</v>
          </cell>
          <cell r="AE124">
            <v>1E-3</v>
          </cell>
          <cell r="AF124">
            <v>-0.33333333333333331</v>
          </cell>
        </row>
      </sheetData>
      <sheetData sheetId="59" refreshError="1">
        <row r="8">
          <cell r="C8" t="str">
            <v>en M€</v>
          </cell>
          <cell r="E8" t="str">
            <v>Réel 2009.12</v>
          </cell>
          <cell r="F8" t="str">
            <v>Budget 2009.12</v>
          </cell>
          <cell r="G8" t="str">
            <v>P1 2009.12</v>
          </cell>
          <cell r="H8" t="str">
            <v>Réel 2008.12</v>
          </cell>
          <cell r="J8" t="str">
            <v xml:space="preserve">     N / B
valeur</v>
          </cell>
          <cell r="K8" t="str">
            <v xml:space="preserve">     N / B
%</v>
          </cell>
          <cell r="L8" t="str">
            <v xml:space="preserve">     N / P1
valeur</v>
          </cell>
          <cell r="M8" t="str">
            <v xml:space="preserve">     N / P1
%</v>
          </cell>
          <cell r="N8" t="str">
            <v xml:space="preserve">     N / N-1
valeur</v>
          </cell>
          <cell r="O8" t="str">
            <v xml:space="preserve">     N / N-1
%</v>
          </cell>
          <cell r="R8" t="str">
            <v>en M€</v>
          </cell>
          <cell r="T8" t="str">
            <v>Réel 2009.12</v>
          </cell>
          <cell r="U8" t="str">
            <v>Budget 2009.12</v>
          </cell>
          <cell r="V8" t="str">
            <v>P3 2009.12</v>
          </cell>
          <cell r="W8" t="str">
            <v>P1 2009.12</v>
          </cell>
          <cell r="X8" t="str">
            <v>Réel 2008.12</v>
          </cell>
          <cell r="Z8" t="str">
            <v xml:space="preserve">     N / B
valeur</v>
          </cell>
          <cell r="AA8" t="str">
            <v xml:space="preserve">     N / B
%</v>
          </cell>
          <cell r="AB8" t="str">
            <v xml:space="preserve">     N / P3
valeur</v>
          </cell>
          <cell r="AC8" t="str">
            <v xml:space="preserve">     N / P1
valeur</v>
          </cell>
          <cell r="AD8" t="str">
            <v xml:space="preserve">     N / P1
%</v>
          </cell>
          <cell r="AE8" t="str">
            <v xml:space="preserve">     N / N-1
valeur</v>
          </cell>
          <cell r="AF8" t="str">
            <v xml:space="preserve">     N / N-1
%</v>
          </cell>
        </row>
        <row r="10">
          <cell r="C10" t="str">
            <v>Messagerie France</v>
          </cell>
          <cell r="E10" t="e">
            <v>#VALUE!</v>
          </cell>
          <cell r="F10" t="e">
            <v>#VALUE!</v>
          </cell>
          <cell r="G10" t="e">
            <v>#VALUE!</v>
          </cell>
          <cell r="H10" t="e">
            <v>#VALUE!</v>
          </cell>
          <cell r="J10" t="e">
            <v>#VALUE!</v>
          </cell>
          <cell r="K10" t="e">
            <v>#VALUE!</v>
          </cell>
          <cell r="L10" t="e">
            <v>#VALUE!</v>
          </cell>
          <cell r="M10" t="e">
            <v>#VALUE!</v>
          </cell>
          <cell r="N10" t="e">
            <v>#VALUE!</v>
          </cell>
          <cell r="O10" t="e">
            <v>#VALUE!</v>
          </cell>
          <cell r="R10" t="str">
            <v>Messagerie France</v>
          </cell>
          <cell r="T10" t="e">
            <v>#VALUE!</v>
          </cell>
          <cell r="U10" t="e">
            <v>#VALUE!</v>
          </cell>
          <cell r="V10" t="e">
            <v>#VALUE!</v>
          </cell>
          <cell r="W10" t="e">
            <v>#VALUE!</v>
          </cell>
          <cell r="X10" t="e">
            <v>#VALUE!</v>
          </cell>
          <cell r="Z10" t="e">
            <v>#VALUE!</v>
          </cell>
          <cell r="AA10" t="e">
            <v>#VALUE!</v>
          </cell>
          <cell r="AB10" t="e">
            <v>#VALUE!</v>
          </cell>
          <cell r="AC10" t="e">
            <v>#VALUE!</v>
          </cell>
          <cell r="AD10" t="e">
            <v>#VALUE!</v>
          </cell>
          <cell r="AE10" t="e">
            <v>#VALUE!</v>
          </cell>
          <cell r="AF10" t="e">
            <v>#VALUE!</v>
          </cell>
        </row>
        <row r="12">
          <cell r="C12" t="str">
            <v>Euromatic</v>
          </cell>
          <cell r="E12" t="e">
            <v>#VALUE!</v>
          </cell>
          <cell r="F12" t="e">
            <v>#VALUE!</v>
          </cell>
          <cell r="G12" t="e">
            <v>#VALUE!</v>
          </cell>
          <cell r="H12">
            <v>2.2930000000000001</v>
          </cell>
          <cell r="J12" t="e">
            <v>#VALUE!</v>
          </cell>
          <cell r="K12" t="e">
            <v>#VALUE!</v>
          </cell>
          <cell r="L12" t="e">
            <v>#VALUE!</v>
          </cell>
          <cell r="M12" t="e">
            <v>#VALUE!</v>
          </cell>
          <cell r="N12" t="e">
            <v>#VALUE!</v>
          </cell>
          <cell r="O12" t="e">
            <v>#VALUE!</v>
          </cell>
          <cell r="R12" t="str">
            <v>Euromatic</v>
          </cell>
          <cell r="T12">
            <v>-5.1539999999999999</v>
          </cell>
          <cell r="U12">
            <v>-5.1539999999999999</v>
          </cell>
          <cell r="V12" t="e">
            <v>#VALUE!</v>
          </cell>
          <cell r="W12">
            <v>-1.496</v>
          </cell>
          <cell r="X12">
            <v>-8.4760000000000009</v>
          </cell>
          <cell r="Z12">
            <v>0</v>
          </cell>
          <cell r="AA12">
            <v>0</v>
          </cell>
          <cell r="AB12" t="e">
            <v>#VALUE!</v>
          </cell>
          <cell r="AC12">
            <v>-3.6579999999999999</v>
          </cell>
          <cell r="AD12">
            <v>2.4451871657754012</v>
          </cell>
          <cell r="AE12">
            <v>3.322000000000001</v>
          </cell>
          <cell r="AF12">
            <v>-0.39193015573383677</v>
          </cell>
        </row>
        <row r="14">
          <cell r="C14" t="str">
            <v>Messagerie Royaume-Uni</v>
          </cell>
          <cell r="E14" t="e">
            <v>#VALUE!</v>
          </cell>
          <cell r="F14" t="e">
            <v>#VALUE!</v>
          </cell>
          <cell r="G14" t="e">
            <v>#VALUE!</v>
          </cell>
          <cell r="H14" t="e">
            <v>#VALUE!</v>
          </cell>
          <cell r="J14" t="e">
            <v>#VALUE!</v>
          </cell>
          <cell r="K14" t="e">
            <v>#VALUE!</v>
          </cell>
          <cell r="L14" t="e">
            <v>#VALUE!</v>
          </cell>
          <cell r="M14" t="e">
            <v>#VALUE!</v>
          </cell>
          <cell r="N14" t="e">
            <v>#VALUE!</v>
          </cell>
          <cell r="O14" t="e">
            <v>#VALUE!</v>
          </cell>
          <cell r="R14" t="str">
            <v>Messagerie Royaume-Uni</v>
          </cell>
          <cell r="T14" t="e">
            <v>#VALUE!</v>
          </cell>
          <cell r="U14" t="e">
            <v>#VALUE!</v>
          </cell>
          <cell r="V14" t="e">
            <v>#VALUE!</v>
          </cell>
          <cell r="W14" t="e">
            <v>#VALUE!</v>
          </cell>
          <cell r="X14" t="e">
            <v>#VALUE!</v>
          </cell>
          <cell r="Z14" t="e">
            <v>#VALUE!</v>
          </cell>
          <cell r="AA14" t="e">
            <v>#VALUE!</v>
          </cell>
          <cell r="AB14" t="e">
            <v>#VALUE!</v>
          </cell>
          <cell r="AC14" t="e">
            <v>#VALUE!</v>
          </cell>
          <cell r="AD14" t="e">
            <v>#VALUE!</v>
          </cell>
          <cell r="AE14" t="e">
            <v>#VALUE!</v>
          </cell>
          <cell r="AF14" t="e">
            <v>#VALUE!</v>
          </cell>
        </row>
        <row r="16">
          <cell r="C16" t="str">
            <v>Messagerie Allemagne</v>
          </cell>
          <cell r="E16">
            <v>0</v>
          </cell>
          <cell r="F16">
            <v>0</v>
          </cell>
          <cell r="G16">
            <v>0</v>
          </cell>
          <cell r="H16">
            <v>0</v>
          </cell>
          <cell r="J16">
            <v>0</v>
          </cell>
          <cell r="K16" t="e">
            <v>#DIV/0!</v>
          </cell>
          <cell r="L16">
            <v>0</v>
          </cell>
          <cell r="M16" t="e">
            <v>#DIV/0!</v>
          </cell>
          <cell r="N16">
            <v>0</v>
          </cell>
          <cell r="O16" t="e">
            <v>#DIV/0!</v>
          </cell>
          <cell r="R16" t="str">
            <v>Messagerie Allemagne</v>
          </cell>
          <cell r="T16">
            <v>0</v>
          </cell>
          <cell r="U16">
            <v>0</v>
          </cell>
          <cell r="V16">
            <v>0</v>
          </cell>
          <cell r="W16">
            <v>0</v>
          </cell>
          <cell r="X16">
            <v>0</v>
          </cell>
          <cell r="Z16">
            <v>0</v>
          </cell>
          <cell r="AA16" t="e">
            <v>#DIV/0!</v>
          </cell>
          <cell r="AB16">
            <v>0</v>
          </cell>
          <cell r="AC16">
            <v>0</v>
          </cell>
          <cell r="AD16" t="e">
            <v>#DIV/0!</v>
          </cell>
          <cell r="AE16">
            <v>0</v>
          </cell>
          <cell r="AF16" t="e">
            <v>#DIV/0!</v>
          </cell>
        </row>
        <row r="18">
          <cell r="C18" t="str">
            <v>Messagerie Espagne</v>
          </cell>
          <cell r="E18">
            <v>0.78900000000000003</v>
          </cell>
          <cell r="F18" t="e">
            <v>#VALUE!</v>
          </cell>
          <cell r="G18">
            <v>-27.932000000000002</v>
          </cell>
          <cell r="H18" t="e">
            <v>#VALUE!</v>
          </cell>
          <cell r="J18" t="e">
            <v>#VALUE!</v>
          </cell>
          <cell r="K18" t="e">
            <v>#VALUE!</v>
          </cell>
          <cell r="L18">
            <v>28.721000000000004</v>
          </cell>
          <cell r="M18">
            <v>-1.0282471717027066</v>
          </cell>
          <cell r="N18" t="e">
            <v>#VALUE!</v>
          </cell>
          <cell r="O18" t="e">
            <v>#VALUE!</v>
          </cell>
          <cell r="R18" t="str">
            <v>Messagerie Espagne</v>
          </cell>
          <cell r="T18">
            <v>-17.346</v>
          </cell>
          <cell r="U18">
            <v>-17.346</v>
          </cell>
          <cell r="V18" t="e">
            <v>#VALUE!</v>
          </cell>
          <cell r="W18" t="e">
            <v>#VALUE!</v>
          </cell>
          <cell r="X18">
            <v>-15.962</v>
          </cell>
          <cell r="Z18">
            <v>0</v>
          </cell>
          <cell r="AA18">
            <v>0</v>
          </cell>
          <cell r="AB18" t="e">
            <v>#VALUE!</v>
          </cell>
          <cell r="AC18" t="e">
            <v>#VALUE!</v>
          </cell>
          <cell r="AD18" t="e">
            <v>#VALUE!</v>
          </cell>
          <cell r="AE18">
            <v>-1.3840000000000003</v>
          </cell>
          <cell r="AF18">
            <v>8.6705926575617112E-2</v>
          </cell>
        </row>
        <row r="20">
          <cell r="C20" t="str">
            <v>Messagerie Italie</v>
          </cell>
          <cell r="E20">
            <v>-1.6759999999999999</v>
          </cell>
          <cell r="F20">
            <v>-1.488</v>
          </cell>
          <cell r="G20">
            <v>-2.133</v>
          </cell>
          <cell r="H20">
            <v>0.60599999999999998</v>
          </cell>
          <cell r="J20">
            <v>-0.18799999999999994</v>
          </cell>
          <cell r="K20">
            <v>0.12634408602150535</v>
          </cell>
          <cell r="L20">
            <v>0.45700000000000007</v>
          </cell>
          <cell r="M20">
            <v>-0.21425222691045478</v>
          </cell>
          <cell r="N20">
            <v>-2.282</v>
          </cell>
          <cell r="O20">
            <v>-3.7656765676567656</v>
          </cell>
          <cell r="R20" t="str">
            <v>Messagerie Italie</v>
          </cell>
          <cell r="T20">
            <v>-12.07</v>
          </cell>
          <cell r="U20">
            <v>-12.07</v>
          </cell>
          <cell r="V20">
            <v>-10.841000000000001</v>
          </cell>
          <cell r="W20">
            <v>-3.093</v>
          </cell>
          <cell r="X20">
            <v>-12.42</v>
          </cell>
          <cell r="Z20">
            <v>0</v>
          </cell>
          <cell r="AA20">
            <v>0</v>
          </cell>
          <cell r="AB20">
            <v>-1.2289999999999992</v>
          </cell>
          <cell r="AC20">
            <v>-8.9770000000000003</v>
          </cell>
          <cell r="AD20">
            <v>2.9023601681215649</v>
          </cell>
          <cell r="AE20">
            <v>0.34999999999999964</v>
          </cell>
          <cell r="AF20">
            <v>-2.8180354267310762E-2</v>
          </cell>
        </row>
        <row r="22">
          <cell r="C22" t="str">
            <v>Sociétés de service &amp; Holdings</v>
          </cell>
          <cell r="E22">
            <v>0.54700000000000004</v>
          </cell>
          <cell r="F22">
            <v>-4.9000000000000002E-2</v>
          </cell>
          <cell r="G22">
            <v>0.57000000000000006</v>
          </cell>
          <cell r="H22" t="e">
            <v>#VALUE!</v>
          </cell>
          <cell r="J22">
            <v>0.59600000000000009</v>
          </cell>
          <cell r="K22">
            <v>-12.163265306122451</v>
          </cell>
          <cell r="L22">
            <v>-2.300000000000002E-2</v>
          </cell>
          <cell r="M22">
            <v>-4.0350877192982484E-2</v>
          </cell>
          <cell r="N22" t="e">
            <v>#VALUE!</v>
          </cell>
          <cell r="O22" t="e">
            <v>#VALUE!</v>
          </cell>
          <cell r="R22" t="str">
            <v>Sociétés de service &amp; Holdings</v>
          </cell>
          <cell r="T22">
            <v>-0.48399999999999999</v>
          </cell>
          <cell r="U22">
            <v>-0.48399999999999999</v>
          </cell>
          <cell r="V22">
            <v>-1.393</v>
          </cell>
          <cell r="W22" t="e">
            <v>#VALUE!</v>
          </cell>
          <cell r="X22" t="e">
            <v>#VALUE!</v>
          </cell>
          <cell r="Z22">
            <v>0</v>
          </cell>
          <cell r="AA22">
            <v>0</v>
          </cell>
          <cell r="AB22">
            <v>0.90900000000000003</v>
          </cell>
          <cell r="AC22" t="e">
            <v>#VALUE!</v>
          </cell>
          <cell r="AD22" t="e">
            <v>#VALUE!</v>
          </cell>
          <cell r="AE22" t="e">
            <v>#VALUE!</v>
          </cell>
          <cell r="AF22" t="e">
            <v>#VALUE!</v>
          </cell>
        </row>
        <row r="24">
          <cell r="C24" t="str">
            <v>Elim inter-zones Messagerie</v>
          </cell>
          <cell r="E24" t="e">
            <v>#VALUE!</v>
          </cell>
          <cell r="F24" t="e">
            <v>#VALUE!</v>
          </cell>
          <cell r="G24" t="e">
            <v>#VALUE!</v>
          </cell>
          <cell r="H24" t="e">
            <v>#VALUE!</v>
          </cell>
          <cell r="J24" t="e">
            <v>#VALUE!</v>
          </cell>
          <cell r="K24" t="e">
            <v>#VALUE!</v>
          </cell>
          <cell r="L24" t="e">
            <v>#VALUE!</v>
          </cell>
          <cell r="M24" t="e">
            <v>#VALUE!</v>
          </cell>
          <cell r="N24" t="e">
            <v>#VALUE!</v>
          </cell>
          <cell r="O24" t="e">
            <v>#VALUE!</v>
          </cell>
          <cell r="R24" t="str">
            <v>Elim inter-zones Messagerie</v>
          </cell>
          <cell r="T24" t="e">
            <v>#VALUE!</v>
          </cell>
          <cell r="U24" t="e">
            <v>#VALUE!</v>
          </cell>
          <cell r="V24" t="e">
            <v>#VALUE!</v>
          </cell>
          <cell r="W24" t="e">
            <v>#VALUE!</v>
          </cell>
          <cell r="X24" t="e">
            <v>#VALUE!</v>
          </cell>
          <cell r="Z24" t="e">
            <v>#VALUE!</v>
          </cell>
          <cell r="AA24" t="e">
            <v>#VALUE!</v>
          </cell>
          <cell r="AB24" t="e">
            <v>#VALUE!</v>
          </cell>
          <cell r="AC24" t="e">
            <v>#VALUE!</v>
          </cell>
          <cell r="AD24" t="e">
            <v>#VALUE!</v>
          </cell>
          <cell r="AE24" t="e">
            <v>#VALUE!</v>
          </cell>
          <cell r="AF24" t="e">
            <v>#VALUE!</v>
          </cell>
        </row>
        <row r="26">
          <cell r="C26" t="str">
            <v>MESSAGERIE</v>
          </cell>
          <cell r="E26" t="e">
            <v>#VALUE!</v>
          </cell>
          <cell r="F26" t="e">
            <v>#VALUE!</v>
          </cell>
          <cell r="H26" t="e">
            <v>#VALUE!</v>
          </cell>
          <cell r="J26" t="e">
            <v>#VALUE!</v>
          </cell>
          <cell r="K26" t="e">
            <v>#VALUE!</v>
          </cell>
          <cell r="L26" t="e">
            <v>#VALUE!</v>
          </cell>
          <cell r="M26" t="e">
            <v>#VALUE!</v>
          </cell>
          <cell r="N26" t="e">
            <v>#VALUE!</v>
          </cell>
          <cell r="O26" t="e">
            <v>#VALUE!</v>
          </cell>
          <cell r="R26" t="str">
            <v>MESSAGERIE</v>
          </cell>
          <cell r="T26" t="e">
            <v>#VALUE!</v>
          </cell>
          <cell r="U26" t="e">
            <v>#VALUE!</v>
          </cell>
          <cell r="X26" t="e">
            <v>#VALUE!</v>
          </cell>
          <cell r="Z26" t="e">
            <v>#VALUE!</v>
          </cell>
          <cell r="AA26" t="e">
            <v>#VALUE!</v>
          </cell>
          <cell r="AB26" t="e">
            <v>#VALUE!</v>
          </cell>
          <cell r="AC26" t="e">
            <v>#VALUE!</v>
          </cell>
          <cell r="AD26" t="e">
            <v>#VALUE!</v>
          </cell>
          <cell r="AE26" t="e">
            <v>#VALUE!</v>
          </cell>
          <cell r="AF26" t="e">
            <v>#VALUE!</v>
          </cell>
        </row>
        <row r="33">
          <cell r="C33" t="str">
            <v>en M€</v>
          </cell>
          <cell r="E33" t="str">
            <v>Réel 2009.12</v>
          </cell>
          <cell r="F33" t="str">
            <v>Budget 2009.12</v>
          </cell>
          <cell r="G33" t="str">
            <v>P1 2009.12</v>
          </cell>
          <cell r="H33" t="str">
            <v>Réel 2008.12</v>
          </cell>
          <cell r="J33" t="str">
            <v xml:space="preserve">     N / B
valeur</v>
          </cell>
          <cell r="K33" t="str">
            <v xml:space="preserve">     N / B
%</v>
          </cell>
          <cell r="L33" t="str">
            <v xml:space="preserve">     N / P1
valeur</v>
          </cell>
          <cell r="M33" t="str">
            <v xml:space="preserve">     N / P1
%</v>
          </cell>
          <cell r="N33" t="str">
            <v xml:space="preserve">     N / N-1
valeur</v>
          </cell>
          <cell r="O33" t="str">
            <v xml:space="preserve">     N / N-1
%</v>
          </cell>
          <cell r="R33" t="str">
            <v>en M€</v>
          </cell>
          <cell r="T33" t="str">
            <v>Réel 2009.12</v>
          </cell>
          <cell r="U33" t="str">
            <v>Budget 2009.12</v>
          </cell>
          <cell r="V33" t="str">
            <v>P3 2009.12</v>
          </cell>
          <cell r="W33" t="str">
            <v>P1 2009.12</v>
          </cell>
          <cell r="X33" t="str">
            <v>Réel 2008.12</v>
          </cell>
          <cell r="Z33" t="str">
            <v xml:space="preserve">     N / B
valeur</v>
          </cell>
          <cell r="AA33" t="str">
            <v xml:space="preserve">     N / B
%</v>
          </cell>
          <cell r="AB33" t="str">
            <v xml:space="preserve">     N / P3
valeur</v>
          </cell>
          <cell r="AC33" t="str">
            <v xml:space="preserve">     N / P1
valeur</v>
          </cell>
          <cell r="AD33" t="str">
            <v xml:space="preserve">     N / P1
%</v>
          </cell>
          <cell r="AE33" t="str">
            <v xml:space="preserve">     N / N-1
valeur</v>
          </cell>
          <cell r="AF33" t="str">
            <v xml:space="preserve">     N / N-1
%</v>
          </cell>
        </row>
        <row r="35">
          <cell r="C35" t="str">
            <v>Logistique Automotive</v>
          </cell>
          <cell r="E35">
            <v>0</v>
          </cell>
          <cell r="F35">
            <v>0</v>
          </cell>
          <cell r="G35">
            <v>0</v>
          </cell>
          <cell r="H35">
            <v>0</v>
          </cell>
          <cell r="J35">
            <v>0</v>
          </cell>
          <cell r="K35" t="e">
            <v>#DIV/0!</v>
          </cell>
          <cell r="L35">
            <v>0</v>
          </cell>
          <cell r="M35" t="e">
            <v>#DIV/0!</v>
          </cell>
          <cell r="N35">
            <v>0</v>
          </cell>
          <cell r="O35" t="e">
            <v>#DIV/0!</v>
          </cell>
          <cell r="R35" t="str">
            <v>Logistique Automotive</v>
          </cell>
          <cell r="T35">
            <v>0</v>
          </cell>
          <cell r="U35">
            <v>0</v>
          </cell>
          <cell r="V35">
            <v>0</v>
          </cell>
          <cell r="W35">
            <v>0</v>
          </cell>
          <cell r="X35">
            <v>0</v>
          </cell>
          <cell r="Z35">
            <v>0</v>
          </cell>
          <cell r="AA35" t="e">
            <v>#DIV/0!</v>
          </cell>
          <cell r="AB35">
            <v>0</v>
          </cell>
          <cell r="AC35">
            <v>0</v>
          </cell>
          <cell r="AD35" t="e">
            <v>#DIV/0!</v>
          </cell>
          <cell r="AE35">
            <v>0</v>
          </cell>
          <cell r="AF35" t="e">
            <v>#DIV/0!</v>
          </cell>
        </row>
        <row r="37">
          <cell r="C37" t="str">
            <v>Europe de l'Est</v>
          </cell>
          <cell r="E37">
            <v>4.7E-2</v>
          </cell>
          <cell r="F37">
            <v>1.3000000000000001E-2</v>
          </cell>
          <cell r="G37">
            <v>7.9000000000000001E-2</v>
          </cell>
          <cell r="H37">
            <v>8.4000000000000005E-2</v>
          </cell>
          <cell r="J37">
            <v>3.4000000000000002E-2</v>
          </cell>
          <cell r="K37">
            <v>2.6153846153846154</v>
          </cell>
          <cell r="L37">
            <v>-3.2000000000000001E-2</v>
          </cell>
          <cell r="M37">
            <v>-0.4050632911392405</v>
          </cell>
          <cell r="N37">
            <v>-3.7000000000000005E-2</v>
          </cell>
          <cell r="O37">
            <v>-0.44047619047619052</v>
          </cell>
          <cell r="R37" t="str">
            <v>Europe de l'Est</v>
          </cell>
          <cell r="T37">
            <v>0.65800000000000003</v>
          </cell>
          <cell r="U37">
            <v>0.65800000000000003</v>
          </cell>
          <cell r="V37">
            <v>0.317</v>
          </cell>
          <cell r="W37">
            <v>0.81400000000000006</v>
          </cell>
          <cell r="X37">
            <v>0.51900000000000002</v>
          </cell>
          <cell r="Z37">
            <v>0</v>
          </cell>
          <cell r="AA37">
            <v>0</v>
          </cell>
          <cell r="AB37">
            <v>0.34100000000000003</v>
          </cell>
          <cell r="AC37">
            <v>-0.15600000000000003</v>
          </cell>
          <cell r="AD37">
            <v>-0.19164619164619168</v>
          </cell>
          <cell r="AE37">
            <v>0.13900000000000001</v>
          </cell>
          <cell r="AF37">
            <v>0.26782273603082851</v>
          </cell>
        </row>
        <row r="38">
          <cell r="C38" t="str">
            <v>ROPlberson Grèce</v>
          </cell>
          <cell r="E38" t="e">
            <v>#VALUE!</v>
          </cell>
          <cell r="F38" t="e">
            <v>#VALUE!</v>
          </cell>
          <cell r="G38" t="e">
            <v>#VALUE!</v>
          </cell>
          <cell r="H38" t="e">
            <v>#VALUE!</v>
          </cell>
          <cell r="J38" t="e">
            <v>#VALUE!</v>
          </cell>
          <cell r="K38" t="e">
            <v>#VALUE!</v>
          </cell>
          <cell r="L38" t="e">
            <v>#VALUE!</v>
          </cell>
          <cell r="M38" t="e">
            <v>#VALUE!</v>
          </cell>
          <cell r="N38" t="e">
            <v>#VALUE!</v>
          </cell>
          <cell r="O38" t="e">
            <v>#VALUE!</v>
          </cell>
          <cell r="R38" t="str">
            <v>ROPlberson Grèce</v>
          </cell>
          <cell r="T38" t="e">
            <v>#VALUE!</v>
          </cell>
          <cell r="U38" t="e">
            <v>#VALUE!</v>
          </cell>
          <cell r="V38" t="e">
            <v>#VALUE!</v>
          </cell>
          <cell r="W38" t="e">
            <v>#VALUE!</v>
          </cell>
          <cell r="X38" t="e">
            <v>#VALUE!</v>
          </cell>
          <cell r="Z38" t="e">
            <v>#VALUE!</v>
          </cell>
          <cell r="AA38" t="e">
            <v>#VALUE!</v>
          </cell>
          <cell r="AB38" t="e">
            <v>#VALUE!</v>
          </cell>
          <cell r="AC38" t="e">
            <v>#VALUE!</v>
          </cell>
          <cell r="AD38" t="e">
            <v>#VALUE!</v>
          </cell>
          <cell r="AE38" t="e">
            <v>#VALUE!</v>
          </cell>
          <cell r="AF38" t="e">
            <v>#VALUE!</v>
          </cell>
        </row>
        <row r="39">
          <cell r="C39" t="str">
            <v>Logistique Europe de l'Est &amp; Grèce</v>
          </cell>
          <cell r="E39">
            <v>0</v>
          </cell>
          <cell r="F39">
            <v>0</v>
          </cell>
          <cell r="G39">
            <v>0</v>
          </cell>
          <cell r="H39">
            <v>0</v>
          </cell>
          <cell r="J39">
            <v>0</v>
          </cell>
          <cell r="K39" t="e">
            <v>#DIV/0!</v>
          </cell>
          <cell r="L39">
            <v>0</v>
          </cell>
          <cell r="M39" t="e">
            <v>#DIV/0!</v>
          </cell>
          <cell r="N39">
            <v>0</v>
          </cell>
          <cell r="O39" t="e">
            <v>#DIV/0!</v>
          </cell>
          <cell r="R39" t="str">
            <v>Logistique Europe de l'Est &amp; Grèce</v>
          </cell>
          <cell r="T39">
            <v>0</v>
          </cell>
          <cell r="U39">
            <v>0</v>
          </cell>
          <cell r="V39">
            <v>0</v>
          </cell>
          <cell r="W39">
            <v>0</v>
          </cell>
          <cell r="X39">
            <v>0</v>
          </cell>
          <cell r="Z39">
            <v>0</v>
          </cell>
          <cell r="AA39" t="e">
            <v>#DIV/0!</v>
          </cell>
          <cell r="AB39">
            <v>0</v>
          </cell>
          <cell r="AC39">
            <v>0</v>
          </cell>
          <cell r="AD39" t="e">
            <v>#DIV/0!</v>
          </cell>
          <cell r="AE39">
            <v>0</v>
          </cell>
          <cell r="AF39" t="e">
            <v>#DIV/0!</v>
          </cell>
        </row>
        <row r="41">
          <cell r="C41" t="str">
            <v>Allemagne</v>
          </cell>
          <cell r="E41" t="e">
            <v>#VALUE!</v>
          </cell>
          <cell r="F41">
            <v>0</v>
          </cell>
          <cell r="G41">
            <v>0</v>
          </cell>
          <cell r="H41" t="e">
            <v>#VALUE!</v>
          </cell>
          <cell r="J41" t="e">
            <v>#VALUE!</v>
          </cell>
          <cell r="K41" t="e">
            <v>#VALUE!</v>
          </cell>
          <cell r="L41" t="e">
            <v>#VALUE!</v>
          </cell>
          <cell r="M41" t="e">
            <v>#VALUE!</v>
          </cell>
          <cell r="N41" t="e">
            <v>#VALUE!</v>
          </cell>
          <cell r="O41" t="e">
            <v>#VALUE!</v>
          </cell>
          <cell r="R41" t="str">
            <v>Allemagne</v>
          </cell>
          <cell r="T41" t="e">
            <v>#VALUE!</v>
          </cell>
          <cell r="U41" t="e">
            <v>#VALUE!</v>
          </cell>
          <cell r="V41">
            <v>0</v>
          </cell>
          <cell r="W41">
            <v>0</v>
          </cell>
          <cell r="X41">
            <v>0</v>
          </cell>
          <cell r="Z41" t="e">
            <v>#VALUE!</v>
          </cell>
          <cell r="AA41" t="e">
            <v>#VALUE!</v>
          </cell>
          <cell r="AB41" t="e">
            <v>#VALUE!</v>
          </cell>
          <cell r="AC41" t="e">
            <v>#VALUE!</v>
          </cell>
          <cell r="AD41" t="e">
            <v>#VALUE!</v>
          </cell>
          <cell r="AE41" t="e">
            <v>#VALUE!</v>
          </cell>
          <cell r="AF41" t="e">
            <v>#VALUE!</v>
          </cell>
        </row>
        <row r="42">
          <cell r="C42" t="str">
            <v>UK</v>
          </cell>
          <cell r="E42">
            <v>0</v>
          </cell>
          <cell r="F42">
            <v>0</v>
          </cell>
          <cell r="G42">
            <v>0</v>
          </cell>
          <cell r="H42">
            <v>0</v>
          </cell>
          <cell r="J42">
            <v>0</v>
          </cell>
          <cell r="K42" t="e">
            <v>#DIV/0!</v>
          </cell>
          <cell r="L42">
            <v>0</v>
          </cell>
          <cell r="M42" t="e">
            <v>#DIV/0!</v>
          </cell>
          <cell r="N42">
            <v>0</v>
          </cell>
          <cell r="O42" t="e">
            <v>#DIV/0!</v>
          </cell>
          <cell r="R42" t="str">
            <v>UK</v>
          </cell>
          <cell r="T42">
            <v>0</v>
          </cell>
          <cell r="U42">
            <v>0</v>
          </cell>
          <cell r="V42">
            <v>0</v>
          </cell>
          <cell r="W42">
            <v>0</v>
          </cell>
          <cell r="X42">
            <v>-0.2</v>
          </cell>
          <cell r="Z42">
            <v>0</v>
          </cell>
          <cell r="AA42" t="e">
            <v>#DIV/0!</v>
          </cell>
          <cell r="AB42">
            <v>0</v>
          </cell>
          <cell r="AC42">
            <v>0</v>
          </cell>
          <cell r="AD42" t="e">
            <v>#DIV/0!</v>
          </cell>
          <cell r="AE42">
            <v>0.2</v>
          </cell>
          <cell r="AF42">
            <v>-1</v>
          </cell>
        </row>
        <row r="43">
          <cell r="C43" t="str">
            <v>Irlande</v>
          </cell>
          <cell r="E43">
            <v>0</v>
          </cell>
          <cell r="F43">
            <v>0</v>
          </cell>
          <cell r="G43">
            <v>0</v>
          </cell>
          <cell r="H43">
            <v>0</v>
          </cell>
          <cell r="J43">
            <v>0</v>
          </cell>
          <cell r="K43" t="e">
            <v>#DIV/0!</v>
          </cell>
          <cell r="L43">
            <v>0</v>
          </cell>
          <cell r="M43" t="e">
            <v>#DIV/0!</v>
          </cell>
          <cell r="N43">
            <v>0</v>
          </cell>
          <cell r="O43" t="e">
            <v>#DIV/0!</v>
          </cell>
          <cell r="R43" t="str">
            <v>Irlande</v>
          </cell>
          <cell r="T43">
            <v>0</v>
          </cell>
          <cell r="U43">
            <v>0</v>
          </cell>
          <cell r="V43">
            <v>0</v>
          </cell>
          <cell r="W43">
            <v>0</v>
          </cell>
          <cell r="X43">
            <v>-0.4</v>
          </cell>
          <cell r="Z43">
            <v>0</v>
          </cell>
          <cell r="AA43" t="e">
            <v>#DIV/0!</v>
          </cell>
          <cell r="AB43">
            <v>0</v>
          </cell>
          <cell r="AC43">
            <v>0</v>
          </cell>
          <cell r="AD43" t="e">
            <v>#DIV/0!</v>
          </cell>
          <cell r="AE43">
            <v>0.4</v>
          </cell>
          <cell r="AF43">
            <v>-1</v>
          </cell>
        </row>
        <row r="44">
          <cell r="C44" t="str">
            <v>Benelux</v>
          </cell>
          <cell r="E44">
            <v>0</v>
          </cell>
          <cell r="F44">
            <v>0</v>
          </cell>
          <cell r="G44">
            <v>0</v>
          </cell>
          <cell r="H44">
            <v>0</v>
          </cell>
          <cell r="J44">
            <v>0</v>
          </cell>
          <cell r="K44" t="e">
            <v>#DIV/0!</v>
          </cell>
          <cell r="L44">
            <v>0</v>
          </cell>
          <cell r="M44" t="e">
            <v>#DIV/0!</v>
          </cell>
          <cell r="N44">
            <v>0</v>
          </cell>
          <cell r="O44" t="e">
            <v>#DIV/0!</v>
          </cell>
          <cell r="R44" t="str">
            <v>Benelux</v>
          </cell>
          <cell r="T44">
            <v>0</v>
          </cell>
          <cell r="U44">
            <v>0</v>
          </cell>
          <cell r="V44">
            <v>0</v>
          </cell>
          <cell r="W44">
            <v>0</v>
          </cell>
          <cell r="X44">
            <v>0</v>
          </cell>
          <cell r="Z44">
            <v>0</v>
          </cell>
          <cell r="AA44" t="e">
            <v>#DIV/0!</v>
          </cell>
          <cell r="AB44">
            <v>0</v>
          </cell>
          <cell r="AC44">
            <v>0</v>
          </cell>
          <cell r="AD44" t="e">
            <v>#DIV/0!</v>
          </cell>
          <cell r="AE44">
            <v>0</v>
          </cell>
          <cell r="AF44" t="e">
            <v>#DIV/0!</v>
          </cell>
        </row>
        <row r="45">
          <cell r="C45" t="str">
            <v>Logistique Europe du Nord</v>
          </cell>
          <cell r="E45">
            <v>0</v>
          </cell>
          <cell r="F45" t="e">
            <v>#VALUE!</v>
          </cell>
          <cell r="G45" t="e">
            <v>#VALUE!</v>
          </cell>
          <cell r="H45" t="e">
            <v>#VALUE!</v>
          </cell>
          <cell r="J45" t="e">
            <v>#VALUE!</v>
          </cell>
          <cell r="K45" t="e">
            <v>#VALUE!</v>
          </cell>
          <cell r="L45" t="e">
            <v>#VALUE!</v>
          </cell>
          <cell r="M45" t="e">
            <v>#VALUE!</v>
          </cell>
          <cell r="N45" t="e">
            <v>#VALUE!</v>
          </cell>
          <cell r="O45" t="e">
            <v>#VALUE!</v>
          </cell>
          <cell r="R45" t="str">
            <v>Logistique Europe du Nord</v>
          </cell>
          <cell r="T45" t="e">
            <v>#VALUE!</v>
          </cell>
          <cell r="U45" t="e">
            <v>#VALUE!</v>
          </cell>
          <cell r="V45" t="e">
            <v>#VALUE!</v>
          </cell>
          <cell r="W45">
            <v>0</v>
          </cell>
          <cell r="X45" t="e">
            <v>#VALUE!</v>
          </cell>
          <cell r="Z45" t="e">
            <v>#VALUE!</v>
          </cell>
          <cell r="AA45" t="e">
            <v>#VALUE!</v>
          </cell>
          <cell r="AB45" t="e">
            <v>#VALUE!</v>
          </cell>
          <cell r="AC45" t="e">
            <v>#VALUE!</v>
          </cell>
          <cell r="AD45" t="e">
            <v>#VALUE!</v>
          </cell>
          <cell r="AE45" t="e">
            <v>#VALUE!</v>
          </cell>
          <cell r="AF45" t="e">
            <v>#VALUE!</v>
          </cell>
        </row>
        <row r="47">
          <cell r="C47" t="str">
            <v>Logistique France</v>
          </cell>
          <cell r="E47">
            <v>0</v>
          </cell>
          <cell r="F47">
            <v>0</v>
          </cell>
          <cell r="G47">
            <v>0</v>
          </cell>
          <cell r="H47">
            <v>0</v>
          </cell>
          <cell r="J47">
            <v>0</v>
          </cell>
          <cell r="K47" t="e">
            <v>#DIV/0!</v>
          </cell>
          <cell r="L47">
            <v>0</v>
          </cell>
          <cell r="M47" t="e">
            <v>#DIV/0!</v>
          </cell>
          <cell r="N47">
            <v>0</v>
          </cell>
          <cell r="O47" t="e">
            <v>#DIV/0!</v>
          </cell>
          <cell r="R47" t="str">
            <v>Logistique France</v>
          </cell>
          <cell r="T47">
            <v>0</v>
          </cell>
          <cell r="U47">
            <v>0</v>
          </cell>
          <cell r="V47">
            <v>0</v>
          </cell>
          <cell r="W47">
            <v>0</v>
          </cell>
          <cell r="X47">
            <v>0</v>
          </cell>
          <cell r="Z47">
            <v>0</v>
          </cell>
          <cell r="AA47" t="e">
            <v>#DIV/0!</v>
          </cell>
          <cell r="AB47">
            <v>0</v>
          </cell>
          <cell r="AC47">
            <v>0</v>
          </cell>
          <cell r="AD47" t="e">
            <v>#DIV/0!</v>
          </cell>
          <cell r="AE47">
            <v>0</v>
          </cell>
          <cell r="AF47" t="e">
            <v>#DIV/0!</v>
          </cell>
        </row>
        <row r="48">
          <cell r="C48" t="str">
            <v>Logistique Espagne</v>
          </cell>
          <cell r="E48">
            <v>-0.111</v>
          </cell>
          <cell r="F48">
            <v>-0.14000000000000001</v>
          </cell>
          <cell r="G48">
            <v>-0.82300000000000006</v>
          </cell>
          <cell r="H48">
            <v>6.6000000000000003E-2</v>
          </cell>
          <cell r="J48">
            <v>2.9000000000000012E-2</v>
          </cell>
          <cell r="K48">
            <v>-0.20714285714285721</v>
          </cell>
          <cell r="L48">
            <v>0.71200000000000008</v>
          </cell>
          <cell r="M48">
            <v>-0.86512758201701101</v>
          </cell>
          <cell r="N48">
            <v>-0.17699999999999999</v>
          </cell>
          <cell r="O48">
            <v>-2.6818181818181817</v>
          </cell>
          <cell r="R48" t="str">
            <v>Logistique Espagne</v>
          </cell>
          <cell r="T48">
            <v>-1.554</v>
          </cell>
          <cell r="U48">
            <v>-1.554</v>
          </cell>
          <cell r="V48">
            <v>-1.587</v>
          </cell>
          <cell r="W48">
            <v>-1.196</v>
          </cell>
          <cell r="X48" t="e">
            <v>#VALUE!</v>
          </cell>
          <cell r="Z48">
            <v>0</v>
          </cell>
          <cell r="AA48">
            <v>0</v>
          </cell>
          <cell r="AB48">
            <v>3.2999999999999918E-2</v>
          </cell>
          <cell r="AC48">
            <v>-0.3580000000000001</v>
          </cell>
          <cell r="AD48">
            <v>0.29933110367892984</v>
          </cell>
          <cell r="AE48" t="e">
            <v>#VALUE!</v>
          </cell>
          <cell r="AF48" t="e">
            <v>#VALUE!</v>
          </cell>
        </row>
        <row r="49">
          <cell r="C49" t="str">
            <v>Logistique Italie</v>
          </cell>
          <cell r="E49">
            <v>6.9000000000000006E-2</v>
          </cell>
          <cell r="F49">
            <v>5.5E-2</v>
          </cell>
          <cell r="G49">
            <v>0</v>
          </cell>
          <cell r="H49">
            <v>-5.5E-2</v>
          </cell>
          <cell r="J49">
            <v>1.4000000000000005E-2</v>
          </cell>
          <cell r="K49">
            <v>0.25454545454545463</v>
          </cell>
          <cell r="L49">
            <v>6.9000000000000006E-2</v>
          </cell>
          <cell r="M49" t="e">
            <v>#DIV/0!</v>
          </cell>
          <cell r="N49">
            <v>0.124</v>
          </cell>
          <cell r="O49">
            <v>-2.2545454545454544</v>
          </cell>
          <cell r="R49" t="str">
            <v>Logistique Italie</v>
          </cell>
          <cell r="T49">
            <v>0.64700000000000002</v>
          </cell>
          <cell r="U49">
            <v>0.64700000000000002</v>
          </cell>
          <cell r="V49">
            <v>0.53700000000000003</v>
          </cell>
          <cell r="W49">
            <v>0</v>
          </cell>
          <cell r="X49">
            <v>0.71899999999999997</v>
          </cell>
          <cell r="Z49">
            <v>0</v>
          </cell>
          <cell r="AA49">
            <v>0</v>
          </cell>
          <cell r="AB49">
            <v>0.10999999999999999</v>
          </cell>
          <cell r="AC49">
            <v>0.64700000000000002</v>
          </cell>
          <cell r="AD49" t="e">
            <v>#DIV/0!</v>
          </cell>
          <cell r="AE49">
            <v>-7.1999999999999953E-2</v>
          </cell>
          <cell r="AF49">
            <v>-0.1001390820584144</v>
          </cell>
        </row>
        <row r="50">
          <cell r="C50" t="str">
            <v>Logistique Maroc</v>
          </cell>
          <cell r="E50">
            <v>0.19400000000000001</v>
          </cell>
          <cell r="F50">
            <v>0.56000000000000005</v>
          </cell>
          <cell r="G50">
            <v>-0.47900000000000004</v>
          </cell>
          <cell r="H50" t="e">
            <v>#VALUE!</v>
          </cell>
          <cell r="J50">
            <v>-0.36600000000000005</v>
          </cell>
          <cell r="K50">
            <v>-0.65357142857142858</v>
          </cell>
          <cell r="L50">
            <v>0.67300000000000004</v>
          </cell>
          <cell r="M50">
            <v>-1.405010438413361</v>
          </cell>
          <cell r="N50" t="e">
            <v>#VALUE!</v>
          </cell>
          <cell r="O50" t="e">
            <v>#VALUE!</v>
          </cell>
          <cell r="R50" t="str">
            <v>Logistique Maroc</v>
          </cell>
          <cell r="T50">
            <v>1.984</v>
          </cell>
          <cell r="U50">
            <v>1.984</v>
          </cell>
          <cell r="V50">
            <v>1.6480000000000001</v>
          </cell>
          <cell r="W50">
            <v>2.6859999999999999</v>
          </cell>
          <cell r="X50">
            <v>1.8820000000000001</v>
          </cell>
          <cell r="Z50">
            <v>0</v>
          </cell>
          <cell r="AA50">
            <v>0</v>
          </cell>
          <cell r="AB50">
            <v>0.33599999999999985</v>
          </cell>
          <cell r="AC50">
            <v>-0.70199999999999996</v>
          </cell>
          <cell r="AD50">
            <v>-0.26135517498138494</v>
          </cell>
          <cell r="AE50">
            <v>0.10199999999999987</v>
          </cell>
          <cell r="AF50">
            <v>5.4197662061636481E-2</v>
          </cell>
        </row>
        <row r="51">
          <cell r="C51" t="str">
            <v>Logistique Europe du Sud</v>
          </cell>
          <cell r="E51">
            <v>0</v>
          </cell>
          <cell r="F51">
            <v>0</v>
          </cell>
          <cell r="G51">
            <v>0</v>
          </cell>
          <cell r="H51">
            <v>0</v>
          </cell>
          <cell r="J51">
            <v>0</v>
          </cell>
          <cell r="K51" t="e">
            <v>#DIV/0!</v>
          </cell>
          <cell r="L51">
            <v>0</v>
          </cell>
          <cell r="M51" t="e">
            <v>#DIV/0!</v>
          </cell>
          <cell r="N51">
            <v>0</v>
          </cell>
          <cell r="O51" t="e">
            <v>#DIV/0!</v>
          </cell>
          <cell r="R51" t="str">
            <v>Logistique Europe du Sud</v>
          </cell>
          <cell r="T51">
            <v>0</v>
          </cell>
          <cell r="U51">
            <v>0</v>
          </cell>
          <cell r="V51">
            <v>0</v>
          </cell>
          <cell r="W51">
            <v>0</v>
          </cell>
          <cell r="X51">
            <v>0</v>
          </cell>
          <cell r="Z51">
            <v>0</v>
          </cell>
          <cell r="AA51" t="e">
            <v>#DIV/0!</v>
          </cell>
          <cell r="AB51">
            <v>0</v>
          </cell>
          <cell r="AC51">
            <v>0</v>
          </cell>
          <cell r="AD51" t="e">
            <v>#DIV/0!</v>
          </cell>
          <cell r="AE51">
            <v>0</v>
          </cell>
          <cell r="AF51" t="e">
            <v>#DIV/0!</v>
          </cell>
        </row>
        <row r="53">
          <cell r="C53" t="str">
            <v>Logistique Autres</v>
          </cell>
          <cell r="E53">
            <v>0</v>
          </cell>
          <cell r="F53">
            <v>0</v>
          </cell>
          <cell r="G53">
            <v>0</v>
          </cell>
          <cell r="H53">
            <v>0</v>
          </cell>
          <cell r="J53">
            <v>0</v>
          </cell>
          <cell r="K53" t="e">
            <v>#DIV/0!</v>
          </cell>
          <cell r="L53">
            <v>0</v>
          </cell>
          <cell r="M53" t="e">
            <v>#DIV/0!</v>
          </cell>
          <cell r="N53">
            <v>0</v>
          </cell>
          <cell r="O53" t="e">
            <v>#DIV/0!</v>
          </cell>
          <cell r="R53" t="str">
            <v>Logistique Autres</v>
          </cell>
          <cell r="T53">
            <v>0</v>
          </cell>
          <cell r="U53">
            <v>0</v>
          </cell>
          <cell r="V53">
            <v>0</v>
          </cell>
          <cell r="W53">
            <v>0</v>
          </cell>
          <cell r="X53">
            <v>0</v>
          </cell>
          <cell r="Z53">
            <v>0</v>
          </cell>
          <cell r="AA53" t="e">
            <v>#DIV/0!</v>
          </cell>
          <cell r="AB53">
            <v>0</v>
          </cell>
          <cell r="AC53">
            <v>0</v>
          </cell>
          <cell r="AD53" t="e">
            <v>#DIV/0!</v>
          </cell>
          <cell r="AE53">
            <v>0</v>
          </cell>
          <cell r="AF53" t="e">
            <v>#DIV/0!</v>
          </cell>
        </row>
        <row r="55">
          <cell r="C55" t="str">
            <v>Sociétés de service &amp; Holdings</v>
          </cell>
          <cell r="E55">
            <v>0</v>
          </cell>
          <cell r="F55">
            <v>0</v>
          </cell>
          <cell r="G55">
            <v>0</v>
          </cell>
          <cell r="H55">
            <v>0</v>
          </cell>
          <cell r="J55">
            <v>0</v>
          </cell>
          <cell r="K55" t="e">
            <v>#DIV/0!</v>
          </cell>
          <cell r="L55">
            <v>0</v>
          </cell>
          <cell r="M55" t="e">
            <v>#DIV/0!</v>
          </cell>
          <cell r="N55">
            <v>0</v>
          </cell>
          <cell r="O55" t="e">
            <v>#DIV/0!</v>
          </cell>
          <cell r="R55" t="str">
            <v>Sociétés de service &amp; Holdings</v>
          </cell>
          <cell r="T55">
            <v>0</v>
          </cell>
          <cell r="U55">
            <v>0</v>
          </cell>
          <cell r="V55">
            <v>0</v>
          </cell>
          <cell r="W55">
            <v>0</v>
          </cell>
          <cell r="X55">
            <v>0</v>
          </cell>
          <cell r="Z55">
            <v>0</v>
          </cell>
          <cell r="AA55" t="e">
            <v>#DIV/0!</v>
          </cell>
          <cell r="AB55">
            <v>0</v>
          </cell>
          <cell r="AC55">
            <v>0</v>
          </cell>
          <cell r="AD55" t="e">
            <v>#DIV/0!</v>
          </cell>
          <cell r="AE55">
            <v>0</v>
          </cell>
          <cell r="AF55" t="e">
            <v>#DIV/0!</v>
          </cell>
        </row>
        <row r="57">
          <cell r="C57" t="str">
            <v>Elim inter-zones Logistique</v>
          </cell>
          <cell r="E57">
            <v>0</v>
          </cell>
          <cell r="F57">
            <v>0</v>
          </cell>
          <cell r="G57">
            <v>0</v>
          </cell>
          <cell r="H57">
            <v>0</v>
          </cell>
          <cell r="J57">
            <v>0</v>
          </cell>
          <cell r="K57" t="e">
            <v>#DIV/0!</v>
          </cell>
          <cell r="L57">
            <v>0</v>
          </cell>
          <cell r="M57" t="e">
            <v>#DIV/0!</v>
          </cell>
          <cell r="N57">
            <v>0</v>
          </cell>
          <cell r="O57" t="e">
            <v>#DIV/0!</v>
          </cell>
          <cell r="R57" t="str">
            <v>Elim inter-zones Logistique</v>
          </cell>
          <cell r="T57">
            <v>0</v>
          </cell>
          <cell r="U57">
            <v>0</v>
          </cell>
          <cell r="V57">
            <v>0</v>
          </cell>
          <cell r="W57">
            <v>0</v>
          </cell>
          <cell r="X57">
            <v>0</v>
          </cell>
          <cell r="Z57">
            <v>0</v>
          </cell>
          <cell r="AA57" t="e">
            <v>#DIV/0!</v>
          </cell>
          <cell r="AB57">
            <v>0</v>
          </cell>
          <cell r="AC57">
            <v>0</v>
          </cell>
          <cell r="AD57" t="e">
            <v>#DIV/0!</v>
          </cell>
          <cell r="AE57">
            <v>0</v>
          </cell>
          <cell r="AF57" t="e">
            <v>#DIV/0!</v>
          </cell>
        </row>
        <row r="59">
          <cell r="C59" t="str">
            <v>LOGISTIQUE CONTRACTUELLE</v>
          </cell>
          <cell r="E59">
            <v>-0.27300000000000002</v>
          </cell>
          <cell r="F59" t="e">
            <v>#VALUE!</v>
          </cell>
          <cell r="G59">
            <v>-0.53300000000000003</v>
          </cell>
          <cell r="H59">
            <v>0.47300000000000003</v>
          </cell>
          <cell r="J59" t="e">
            <v>#VALUE!</v>
          </cell>
          <cell r="K59" t="e">
            <v>#VALUE!</v>
          </cell>
          <cell r="L59">
            <v>0.26</v>
          </cell>
          <cell r="M59">
            <v>-0.48780487804878048</v>
          </cell>
          <cell r="N59">
            <v>-0.746</v>
          </cell>
          <cell r="O59">
            <v>-1.577167019027484</v>
          </cell>
          <cell r="R59" t="str">
            <v>LOGISTIQUE CONTRACTUELLE</v>
          </cell>
          <cell r="T59">
            <v>-5.657</v>
          </cell>
          <cell r="U59">
            <v>-5.657</v>
          </cell>
          <cell r="V59" t="e">
            <v>#VALUE!</v>
          </cell>
          <cell r="W59">
            <v>-7.3620000000000001</v>
          </cell>
          <cell r="X59" t="e">
            <v>#VALUE!</v>
          </cell>
          <cell r="Z59">
            <v>0</v>
          </cell>
          <cell r="AA59">
            <v>0</v>
          </cell>
          <cell r="AB59" t="e">
            <v>#VALUE!</v>
          </cell>
          <cell r="AC59">
            <v>1.7050000000000001</v>
          </cell>
          <cell r="AD59">
            <v>-0.23159467535995654</v>
          </cell>
          <cell r="AE59" t="e">
            <v>#VALUE!</v>
          </cell>
          <cell r="AF59" t="e">
            <v>#VALUE!</v>
          </cell>
        </row>
        <row r="66">
          <cell r="C66" t="str">
            <v>en M€</v>
          </cell>
          <cell r="E66" t="str">
            <v>Réel 2009.12</v>
          </cell>
          <cell r="F66" t="str">
            <v>Budget 2009.12</v>
          </cell>
          <cell r="G66" t="str">
            <v>P1 2009.12</v>
          </cell>
          <cell r="H66" t="str">
            <v>Réel 2008.12</v>
          </cell>
          <cell r="J66" t="str">
            <v xml:space="preserve">     N / B
valeur</v>
          </cell>
          <cell r="K66" t="str">
            <v xml:space="preserve">     N / B
%</v>
          </cell>
          <cell r="L66" t="str">
            <v xml:space="preserve">     N / P1
valeur</v>
          </cell>
          <cell r="M66" t="str">
            <v xml:space="preserve">     N / P1
%</v>
          </cell>
          <cell r="N66" t="str">
            <v xml:space="preserve">     N / N-1
valeur</v>
          </cell>
          <cell r="O66" t="str">
            <v xml:space="preserve">     N / N-1
%</v>
          </cell>
          <cell r="R66" t="str">
            <v>en M€</v>
          </cell>
          <cell r="T66" t="str">
            <v>Réel 2009.12</v>
          </cell>
          <cell r="U66" t="str">
            <v>Budget 2009.12</v>
          </cell>
          <cell r="V66" t="str">
            <v>P3 2009.12</v>
          </cell>
          <cell r="W66" t="str">
            <v>P1 2009.12</v>
          </cell>
          <cell r="X66" t="str">
            <v>Réel 2008.12</v>
          </cell>
          <cell r="Z66" t="str">
            <v xml:space="preserve">     N / B
valeur</v>
          </cell>
          <cell r="AA66" t="str">
            <v xml:space="preserve">     N / B
%</v>
          </cell>
          <cell r="AB66" t="str">
            <v xml:space="preserve">     N / P3
valeur</v>
          </cell>
          <cell r="AC66" t="str">
            <v xml:space="preserve">     N / P1
valeur</v>
          </cell>
          <cell r="AD66" t="str">
            <v xml:space="preserve">     N / P1
%</v>
          </cell>
          <cell r="AE66" t="str">
            <v xml:space="preserve">     N / N-1
valeur</v>
          </cell>
          <cell r="AF66" t="str">
            <v xml:space="preserve">     N / N-1
%</v>
          </cell>
        </row>
        <row r="68">
          <cell r="C68" t="str">
            <v>Freight Management Amériques</v>
          </cell>
          <cell r="E68" t="e">
            <v>#VALUE!</v>
          </cell>
          <cell r="F68" t="e">
            <v>#VALUE!</v>
          </cell>
          <cell r="G68" t="e">
            <v>#VALUE!</v>
          </cell>
          <cell r="H68" t="e">
            <v>#VALUE!</v>
          </cell>
          <cell r="J68" t="e">
            <v>#VALUE!</v>
          </cell>
          <cell r="K68" t="e">
            <v>#VALUE!</v>
          </cell>
          <cell r="L68" t="e">
            <v>#VALUE!</v>
          </cell>
          <cell r="M68" t="e">
            <v>#VALUE!</v>
          </cell>
          <cell r="N68" t="e">
            <v>#VALUE!</v>
          </cell>
          <cell r="O68" t="e">
            <v>#VALUE!</v>
          </cell>
          <cell r="R68" t="str">
            <v>Freight Management Amériques</v>
          </cell>
          <cell r="T68">
            <v>0</v>
          </cell>
          <cell r="U68">
            <v>0</v>
          </cell>
          <cell r="V68">
            <v>0</v>
          </cell>
          <cell r="W68">
            <v>-1.5</v>
          </cell>
          <cell r="X68">
            <v>0</v>
          </cell>
          <cell r="Z68">
            <v>0</v>
          </cell>
          <cell r="AA68" t="e">
            <v>#DIV/0!</v>
          </cell>
          <cell r="AB68">
            <v>0</v>
          </cell>
          <cell r="AC68">
            <v>1.5</v>
          </cell>
          <cell r="AD68">
            <v>-1</v>
          </cell>
          <cell r="AE68">
            <v>0</v>
          </cell>
          <cell r="AF68" t="e">
            <v>#DIV/0!</v>
          </cell>
        </row>
        <row r="70">
          <cell r="C70" t="str">
            <v>Freight Management Asie du Nord</v>
          </cell>
          <cell r="E70">
            <v>0</v>
          </cell>
          <cell r="F70">
            <v>0</v>
          </cell>
          <cell r="G70">
            <v>0</v>
          </cell>
          <cell r="H70">
            <v>0</v>
          </cell>
          <cell r="J70">
            <v>0</v>
          </cell>
          <cell r="K70" t="e">
            <v>#DIV/0!</v>
          </cell>
          <cell r="L70">
            <v>0</v>
          </cell>
          <cell r="M70" t="e">
            <v>#DIV/0!</v>
          </cell>
          <cell r="N70">
            <v>0</v>
          </cell>
          <cell r="O70" t="e">
            <v>#DIV/0!</v>
          </cell>
          <cell r="R70" t="str">
            <v>Freight Management Asie du Nord</v>
          </cell>
          <cell r="T70">
            <v>0</v>
          </cell>
          <cell r="U70">
            <v>0</v>
          </cell>
          <cell r="V70">
            <v>0</v>
          </cell>
          <cell r="W70">
            <v>0</v>
          </cell>
          <cell r="X70">
            <v>0</v>
          </cell>
          <cell r="Z70">
            <v>0</v>
          </cell>
          <cell r="AA70" t="e">
            <v>#DIV/0!</v>
          </cell>
          <cell r="AB70">
            <v>0</v>
          </cell>
          <cell r="AC70">
            <v>0</v>
          </cell>
          <cell r="AD70" t="e">
            <v>#DIV/0!</v>
          </cell>
          <cell r="AE70">
            <v>0</v>
          </cell>
          <cell r="AF70" t="e">
            <v>#DIV/0!</v>
          </cell>
        </row>
        <row r="72">
          <cell r="C72" t="str">
            <v>Freight Management Asie du Sud</v>
          </cell>
          <cell r="E72" t="e">
            <v>#VALUE!</v>
          </cell>
          <cell r="F72" t="e">
            <v>#VALUE!</v>
          </cell>
          <cell r="G72" t="e">
            <v>#VALUE!</v>
          </cell>
          <cell r="H72" t="e">
            <v>#VALUE!</v>
          </cell>
          <cell r="J72" t="e">
            <v>#VALUE!</v>
          </cell>
          <cell r="K72" t="e">
            <v>#VALUE!</v>
          </cell>
          <cell r="L72" t="e">
            <v>#VALUE!</v>
          </cell>
          <cell r="M72" t="e">
            <v>#VALUE!</v>
          </cell>
          <cell r="N72" t="e">
            <v>#VALUE!</v>
          </cell>
          <cell r="O72" t="e">
            <v>#VALUE!</v>
          </cell>
          <cell r="R72" t="str">
            <v>Freight Management Asie du Sud</v>
          </cell>
          <cell r="T72">
            <v>0</v>
          </cell>
          <cell r="U72">
            <v>0</v>
          </cell>
          <cell r="V72">
            <v>0</v>
          </cell>
          <cell r="W72">
            <v>0</v>
          </cell>
          <cell r="X72">
            <v>0</v>
          </cell>
          <cell r="Z72">
            <v>0</v>
          </cell>
          <cell r="AA72" t="e">
            <v>#DIV/0!</v>
          </cell>
          <cell r="AB72">
            <v>0</v>
          </cell>
          <cell r="AC72">
            <v>0</v>
          </cell>
          <cell r="AD72" t="e">
            <v>#DIV/0!</v>
          </cell>
          <cell r="AE72">
            <v>0</v>
          </cell>
          <cell r="AF72" t="e">
            <v>#DIV/0!</v>
          </cell>
        </row>
        <row r="74">
          <cell r="C74" t="str">
            <v>Freight Management Europe Centrale et Moyen Orient</v>
          </cell>
          <cell r="E74">
            <v>0</v>
          </cell>
          <cell r="F74">
            <v>0</v>
          </cell>
          <cell r="G74">
            <v>0</v>
          </cell>
          <cell r="H74" t="e">
            <v>#VALUE!</v>
          </cell>
          <cell r="J74">
            <v>0</v>
          </cell>
          <cell r="K74" t="e">
            <v>#DIV/0!</v>
          </cell>
          <cell r="L74">
            <v>0</v>
          </cell>
          <cell r="M74" t="e">
            <v>#DIV/0!</v>
          </cell>
          <cell r="N74" t="e">
            <v>#VALUE!</v>
          </cell>
          <cell r="O74" t="e">
            <v>#VALUE!</v>
          </cell>
          <cell r="R74" t="str">
            <v>Freight Management Europe Centrale et Moyen Orient</v>
          </cell>
          <cell r="T74">
            <v>0</v>
          </cell>
          <cell r="U74">
            <v>0</v>
          </cell>
          <cell r="V74">
            <v>0</v>
          </cell>
          <cell r="W74" t="e">
            <v>#VALUE!</v>
          </cell>
          <cell r="X74">
            <v>0</v>
          </cell>
          <cell r="Z74">
            <v>0</v>
          </cell>
          <cell r="AA74" t="e">
            <v>#DIV/0!</v>
          </cell>
          <cell r="AB74">
            <v>0</v>
          </cell>
          <cell r="AC74" t="e">
            <v>#VALUE!</v>
          </cell>
          <cell r="AD74" t="e">
            <v>#VALUE!</v>
          </cell>
          <cell r="AE74">
            <v>0</v>
          </cell>
          <cell r="AF74" t="e">
            <v>#DIV/0!</v>
          </cell>
        </row>
        <row r="76">
          <cell r="C76" t="str">
            <v>Geodis Overseas Wilson Afrique</v>
          </cell>
          <cell r="E76" t="e">
            <v>#VALUE!</v>
          </cell>
          <cell r="F76" t="e">
            <v>#VALUE!</v>
          </cell>
          <cell r="G76" t="e">
            <v>#VALUE!</v>
          </cell>
          <cell r="H76" t="e">
            <v>#VALUE!</v>
          </cell>
          <cell r="J76" t="e">
            <v>#VALUE!</v>
          </cell>
          <cell r="K76" t="e">
            <v>#VALUE!</v>
          </cell>
          <cell r="L76" t="e">
            <v>#VALUE!</v>
          </cell>
          <cell r="M76" t="e">
            <v>#VALUE!</v>
          </cell>
          <cell r="N76" t="e">
            <v>#VALUE!</v>
          </cell>
          <cell r="O76" t="e">
            <v>#VALUE!</v>
          </cell>
          <cell r="R76" t="str">
            <v>Geodis Overseas Wilson Afrique</v>
          </cell>
          <cell r="T76" t="e">
            <v>#VALUE!</v>
          </cell>
          <cell r="U76" t="e">
            <v>#VALUE!</v>
          </cell>
          <cell r="V76" t="e">
            <v>#VALUE!</v>
          </cell>
          <cell r="W76" t="e">
            <v>#VALUE!</v>
          </cell>
          <cell r="X76" t="e">
            <v>#VALUE!</v>
          </cell>
          <cell r="Z76" t="e">
            <v>#VALUE!</v>
          </cell>
          <cell r="AA76" t="e">
            <v>#VALUE!</v>
          </cell>
          <cell r="AB76" t="e">
            <v>#VALUE!</v>
          </cell>
          <cell r="AC76" t="e">
            <v>#VALUE!</v>
          </cell>
          <cell r="AD76" t="e">
            <v>#VALUE!</v>
          </cell>
          <cell r="AE76" t="e">
            <v>#VALUE!</v>
          </cell>
          <cell r="AF76" t="e">
            <v>#VALUE!</v>
          </cell>
        </row>
        <row r="77">
          <cell r="C77" t="str">
            <v>Geodis Overseas Wilson France et filiales</v>
          </cell>
          <cell r="E77" t="e">
            <v>#VALUE!</v>
          </cell>
          <cell r="F77" t="e">
            <v>#VALUE!</v>
          </cell>
          <cell r="G77" t="e">
            <v>#VALUE!</v>
          </cell>
          <cell r="H77" t="e">
            <v>#VALUE!</v>
          </cell>
          <cell r="J77" t="e">
            <v>#VALUE!</v>
          </cell>
          <cell r="K77" t="e">
            <v>#VALUE!</v>
          </cell>
          <cell r="L77" t="e">
            <v>#VALUE!</v>
          </cell>
          <cell r="M77" t="e">
            <v>#VALUE!</v>
          </cell>
          <cell r="N77" t="e">
            <v>#VALUE!</v>
          </cell>
          <cell r="O77" t="e">
            <v>#VALUE!</v>
          </cell>
          <cell r="R77" t="str">
            <v>Geodis Overseas Wilson France et filiales</v>
          </cell>
          <cell r="T77" t="e">
            <v>#VALUE!</v>
          </cell>
          <cell r="U77" t="e">
            <v>#VALUE!</v>
          </cell>
          <cell r="V77" t="e">
            <v>#VALUE!</v>
          </cell>
          <cell r="W77" t="e">
            <v>#VALUE!</v>
          </cell>
          <cell r="X77" t="e">
            <v>#VALUE!</v>
          </cell>
          <cell r="Z77" t="e">
            <v>#VALUE!</v>
          </cell>
          <cell r="AA77" t="e">
            <v>#VALUE!</v>
          </cell>
          <cell r="AB77" t="e">
            <v>#VALUE!</v>
          </cell>
          <cell r="AC77" t="e">
            <v>#VALUE!</v>
          </cell>
          <cell r="AD77" t="e">
            <v>#VALUE!</v>
          </cell>
          <cell r="AE77" t="e">
            <v>#VALUE!</v>
          </cell>
          <cell r="AF77" t="e">
            <v>#VALUE!</v>
          </cell>
        </row>
        <row r="78">
          <cell r="C78" t="str">
            <v>Geodis Overseas Wilson Europe du Sud</v>
          </cell>
          <cell r="E78">
            <v>-3.0000000000000001E-3</v>
          </cell>
          <cell r="F78" t="e">
            <v>#VALUE!</v>
          </cell>
          <cell r="G78">
            <v>-5.0000000000000001E-3</v>
          </cell>
          <cell r="H78" t="e">
            <v>#VALUE!</v>
          </cell>
          <cell r="J78" t="e">
            <v>#VALUE!</v>
          </cell>
          <cell r="K78" t="e">
            <v>#VALUE!</v>
          </cell>
          <cell r="L78">
            <v>2E-3</v>
          </cell>
          <cell r="M78">
            <v>-0.4</v>
          </cell>
          <cell r="N78" t="e">
            <v>#VALUE!</v>
          </cell>
          <cell r="O78" t="e">
            <v>#VALUE!</v>
          </cell>
          <cell r="R78" t="str">
            <v>Geodis Overseas Wilson Europe du Sud</v>
          </cell>
          <cell r="T78">
            <v>0.01</v>
          </cell>
          <cell r="U78">
            <v>0.01</v>
          </cell>
          <cell r="V78">
            <v>-7.0000000000000001E-3</v>
          </cell>
          <cell r="W78">
            <v>-6.0000000000000001E-3</v>
          </cell>
          <cell r="X78">
            <v>-6.0000000000000001E-3</v>
          </cell>
          <cell r="Z78">
            <v>0</v>
          </cell>
          <cell r="AA78">
            <v>0</v>
          </cell>
          <cell r="AB78">
            <v>1.7000000000000001E-2</v>
          </cell>
          <cell r="AC78">
            <v>1.6E-2</v>
          </cell>
          <cell r="AD78">
            <v>-2.6666666666666665</v>
          </cell>
          <cell r="AE78">
            <v>1.6E-2</v>
          </cell>
          <cell r="AF78">
            <v>-2.6666666666666665</v>
          </cell>
        </row>
        <row r="79">
          <cell r="C79" t="str">
            <v>Freight Management Europe du Sud et Afrique</v>
          </cell>
          <cell r="E79">
            <v>0</v>
          </cell>
          <cell r="F79">
            <v>0</v>
          </cell>
          <cell r="G79">
            <v>0</v>
          </cell>
          <cell r="H79">
            <v>0</v>
          </cell>
          <cell r="J79">
            <v>0</v>
          </cell>
          <cell r="K79" t="e">
            <v>#DIV/0!</v>
          </cell>
          <cell r="L79">
            <v>0</v>
          </cell>
          <cell r="M79" t="e">
            <v>#DIV/0!</v>
          </cell>
          <cell r="N79">
            <v>0</v>
          </cell>
          <cell r="O79" t="e">
            <v>#DIV/0!</v>
          </cell>
          <cell r="R79" t="str">
            <v>Freight Management Europe du Sud et Afrique</v>
          </cell>
          <cell r="T79">
            <v>0</v>
          </cell>
          <cell r="U79">
            <v>0</v>
          </cell>
          <cell r="V79">
            <v>0</v>
          </cell>
          <cell r="W79">
            <v>0</v>
          </cell>
          <cell r="X79">
            <v>0</v>
          </cell>
          <cell r="Z79">
            <v>0</v>
          </cell>
          <cell r="AA79" t="e">
            <v>#DIV/0!</v>
          </cell>
          <cell r="AB79">
            <v>0</v>
          </cell>
          <cell r="AC79">
            <v>0</v>
          </cell>
          <cell r="AD79" t="e">
            <v>#DIV/0!</v>
          </cell>
          <cell r="AE79">
            <v>0</v>
          </cell>
          <cell r="AF79" t="e">
            <v>#DIV/0!</v>
          </cell>
        </row>
        <row r="81">
          <cell r="C81" t="str">
            <v>Freight Management Pays Nordiques</v>
          </cell>
          <cell r="E81">
            <v>0</v>
          </cell>
          <cell r="F81">
            <v>0</v>
          </cell>
          <cell r="G81">
            <v>0</v>
          </cell>
          <cell r="H81">
            <v>0</v>
          </cell>
          <cell r="J81">
            <v>0</v>
          </cell>
          <cell r="K81" t="e">
            <v>#DIV/0!</v>
          </cell>
          <cell r="L81">
            <v>0</v>
          </cell>
          <cell r="M81" t="e">
            <v>#DIV/0!</v>
          </cell>
          <cell r="N81">
            <v>0</v>
          </cell>
          <cell r="O81" t="e">
            <v>#DIV/0!</v>
          </cell>
          <cell r="R81" t="str">
            <v>Freight Management Pays Nordiques</v>
          </cell>
          <cell r="T81">
            <v>0</v>
          </cell>
          <cell r="U81">
            <v>0</v>
          </cell>
          <cell r="V81">
            <v>0</v>
          </cell>
          <cell r="W81">
            <v>0</v>
          </cell>
          <cell r="X81">
            <v>0</v>
          </cell>
          <cell r="Z81">
            <v>0</v>
          </cell>
          <cell r="AA81" t="e">
            <v>#DIV/0!</v>
          </cell>
          <cell r="AB81">
            <v>0</v>
          </cell>
          <cell r="AC81">
            <v>0</v>
          </cell>
          <cell r="AD81" t="e">
            <v>#DIV/0!</v>
          </cell>
          <cell r="AE81">
            <v>0</v>
          </cell>
          <cell r="AF81" t="e">
            <v>#DIV/0!</v>
          </cell>
        </row>
        <row r="83">
          <cell r="C83" t="str">
            <v>Freight Management Projets</v>
          </cell>
          <cell r="E83">
            <v>0</v>
          </cell>
          <cell r="F83">
            <v>0</v>
          </cell>
          <cell r="G83">
            <v>0</v>
          </cell>
          <cell r="H83">
            <v>0</v>
          </cell>
          <cell r="J83">
            <v>0</v>
          </cell>
          <cell r="K83" t="e">
            <v>#DIV/0!</v>
          </cell>
          <cell r="L83">
            <v>0</v>
          </cell>
          <cell r="M83" t="e">
            <v>#DIV/0!</v>
          </cell>
          <cell r="N83">
            <v>0</v>
          </cell>
          <cell r="O83" t="e">
            <v>#DIV/0!</v>
          </cell>
          <cell r="R83" t="str">
            <v>Freight Management Projets</v>
          </cell>
          <cell r="T83">
            <v>0</v>
          </cell>
          <cell r="U83">
            <v>0</v>
          </cell>
          <cell r="V83">
            <v>0</v>
          </cell>
          <cell r="W83">
            <v>0</v>
          </cell>
          <cell r="X83">
            <v>0</v>
          </cell>
          <cell r="Z83">
            <v>0</v>
          </cell>
          <cell r="AA83" t="e">
            <v>#DIV/0!</v>
          </cell>
          <cell r="AB83">
            <v>0</v>
          </cell>
          <cell r="AC83">
            <v>0</v>
          </cell>
          <cell r="AD83" t="e">
            <v>#DIV/0!</v>
          </cell>
          <cell r="AE83">
            <v>0</v>
          </cell>
          <cell r="AF83" t="e">
            <v>#DIV/0!</v>
          </cell>
        </row>
        <row r="85">
          <cell r="C85" t="str">
            <v>Sociétés de service &amp; Holdings</v>
          </cell>
          <cell r="E85" t="e">
            <v>#VALUE!</v>
          </cell>
          <cell r="F85" t="e">
            <v>#VALUE!</v>
          </cell>
          <cell r="G85" t="e">
            <v>#VALUE!</v>
          </cell>
          <cell r="H85" t="e">
            <v>#VALUE!</v>
          </cell>
          <cell r="J85" t="e">
            <v>#VALUE!</v>
          </cell>
          <cell r="K85" t="e">
            <v>#VALUE!</v>
          </cell>
          <cell r="L85" t="e">
            <v>#VALUE!</v>
          </cell>
          <cell r="M85" t="e">
            <v>#VALUE!</v>
          </cell>
          <cell r="N85" t="e">
            <v>#VALUE!</v>
          </cell>
          <cell r="O85" t="e">
            <v>#VALUE!</v>
          </cell>
          <cell r="R85" t="str">
            <v>Sociétés de service &amp; Holdings</v>
          </cell>
          <cell r="T85" t="e">
            <v>#VALUE!</v>
          </cell>
          <cell r="U85" t="e">
            <v>#VALUE!</v>
          </cell>
          <cell r="V85" t="e">
            <v>#VALUE!</v>
          </cell>
          <cell r="W85" t="e">
            <v>#VALUE!</v>
          </cell>
          <cell r="X85" t="e">
            <v>#VALUE!</v>
          </cell>
          <cell r="Z85" t="e">
            <v>#VALUE!</v>
          </cell>
          <cell r="AA85" t="e">
            <v>#VALUE!</v>
          </cell>
          <cell r="AB85" t="e">
            <v>#VALUE!</v>
          </cell>
          <cell r="AC85" t="e">
            <v>#VALUE!</v>
          </cell>
          <cell r="AD85" t="e">
            <v>#VALUE!</v>
          </cell>
          <cell r="AE85" t="e">
            <v>#VALUE!</v>
          </cell>
          <cell r="AF85" t="e">
            <v>#VALUE!</v>
          </cell>
        </row>
        <row r="87">
          <cell r="C87" t="str">
            <v>Elim inter-zones Freight Management</v>
          </cell>
          <cell r="E87">
            <v>0</v>
          </cell>
          <cell r="F87">
            <v>0</v>
          </cell>
          <cell r="G87">
            <v>0</v>
          </cell>
          <cell r="H87">
            <v>0</v>
          </cell>
          <cell r="J87">
            <v>0</v>
          </cell>
          <cell r="K87" t="e">
            <v>#DIV/0!</v>
          </cell>
          <cell r="L87">
            <v>0</v>
          </cell>
          <cell r="M87" t="e">
            <v>#DIV/0!</v>
          </cell>
          <cell r="N87">
            <v>0</v>
          </cell>
          <cell r="O87" t="e">
            <v>#DIV/0!</v>
          </cell>
          <cell r="R87" t="str">
            <v>Elim inter-zones Freight Management</v>
          </cell>
          <cell r="T87">
            <v>0</v>
          </cell>
          <cell r="U87">
            <v>0</v>
          </cell>
          <cell r="V87">
            <v>0</v>
          </cell>
          <cell r="W87">
            <v>0</v>
          </cell>
          <cell r="X87">
            <v>0</v>
          </cell>
          <cell r="Z87">
            <v>0</v>
          </cell>
          <cell r="AA87" t="e">
            <v>#DIV/0!</v>
          </cell>
          <cell r="AB87">
            <v>0</v>
          </cell>
          <cell r="AC87">
            <v>0</v>
          </cell>
          <cell r="AD87" t="e">
            <v>#DIV/0!</v>
          </cell>
          <cell r="AE87">
            <v>0</v>
          </cell>
          <cell r="AF87" t="e">
            <v>#DIV/0!</v>
          </cell>
        </row>
        <row r="89">
          <cell r="C89" t="str">
            <v>SOUS-TOTAL GEODIS WILSON net des Eliminations</v>
          </cell>
          <cell r="E89">
            <v>0</v>
          </cell>
          <cell r="F89">
            <v>0</v>
          </cell>
          <cell r="G89">
            <v>0</v>
          </cell>
          <cell r="H89">
            <v>0</v>
          </cell>
          <cell r="J89">
            <v>0</v>
          </cell>
          <cell r="K89" t="e">
            <v>#DIV/0!</v>
          </cell>
          <cell r="L89">
            <v>0</v>
          </cell>
          <cell r="M89" t="e">
            <v>#DIV/0!</v>
          </cell>
          <cell r="N89">
            <v>0</v>
          </cell>
          <cell r="O89" t="e">
            <v>#DIV/0!</v>
          </cell>
          <cell r="R89" t="str">
            <v>SOUS-TOTAL GEODIS WILSON net des Eliminations</v>
          </cell>
          <cell r="T89">
            <v>0</v>
          </cell>
          <cell r="U89">
            <v>0</v>
          </cell>
          <cell r="V89">
            <v>0</v>
          </cell>
          <cell r="W89">
            <v>0</v>
          </cell>
          <cell r="X89">
            <v>0</v>
          </cell>
          <cell r="Z89">
            <v>0</v>
          </cell>
          <cell r="AA89" t="e">
            <v>#DIV/0!</v>
          </cell>
          <cell r="AB89">
            <v>0</v>
          </cell>
          <cell r="AC89">
            <v>0</v>
          </cell>
          <cell r="AD89" t="e">
            <v>#DIV/0!</v>
          </cell>
          <cell r="AE89">
            <v>0</v>
          </cell>
          <cell r="AF89" t="e">
            <v>#DIV/0!</v>
          </cell>
        </row>
        <row r="91">
          <cell r="C91" t="str">
            <v>TGFL</v>
          </cell>
          <cell r="E91">
            <v>0</v>
          </cell>
          <cell r="F91">
            <v>0</v>
          </cell>
          <cell r="G91">
            <v>0</v>
          </cell>
          <cell r="H91">
            <v>0</v>
          </cell>
          <cell r="J91">
            <v>0</v>
          </cell>
          <cell r="K91" t="e">
            <v>#DIV/0!</v>
          </cell>
          <cell r="L91">
            <v>0</v>
          </cell>
          <cell r="M91" t="e">
            <v>#DIV/0!</v>
          </cell>
          <cell r="N91">
            <v>0</v>
          </cell>
          <cell r="O91" t="e">
            <v>#DIV/0!</v>
          </cell>
          <cell r="R91" t="str">
            <v>TGFL</v>
          </cell>
          <cell r="T91">
            <v>0</v>
          </cell>
          <cell r="U91">
            <v>0</v>
          </cell>
          <cell r="V91">
            <v>0</v>
          </cell>
          <cell r="W91">
            <v>0</v>
          </cell>
          <cell r="X91">
            <v>0</v>
          </cell>
          <cell r="Z91">
            <v>0</v>
          </cell>
          <cell r="AA91" t="e">
            <v>#DIV/0!</v>
          </cell>
          <cell r="AB91">
            <v>0</v>
          </cell>
          <cell r="AC91">
            <v>0</v>
          </cell>
          <cell r="AD91" t="e">
            <v>#DIV/0!</v>
          </cell>
          <cell r="AE91">
            <v>0</v>
          </cell>
          <cell r="AF91" t="e">
            <v>#DIV/0!</v>
          </cell>
        </row>
        <row r="92">
          <cell r="C92" t="str">
            <v>Freight Management Autres</v>
          </cell>
          <cell r="E92">
            <v>0</v>
          </cell>
          <cell r="F92">
            <v>0</v>
          </cell>
          <cell r="G92">
            <v>0</v>
          </cell>
          <cell r="H92">
            <v>0</v>
          </cell>
          <cell r="J92">
            <v>0</v>
          </cell>
          <cell r="K92" t="e">
            <v>#DIV/0!</v>
          </cell>
          <cell r="L92">
            <v>0</v>
          </cell>
          <cell r="M92" t="e">
            <v>#DIV/0!</v>
          </cell>
          <cell r="N92">
            <v>0</v>
          </cell>
          <cell r="O92" t="e">
            <v>#DIV/0!</v>
          </cell>
          <cell r="R92" t="str">
            <v>Freight Management Autres</v>
          </cell>
          <cell r="T92">
            <v>0</v>
          </cell>
          <cell r="U92">
            <v>0</v>
          </cell>
          <cell r="V92">
            <v>0</v>
          </cell>
          <cell r="W92">
            <v>0</v>
          </cell>
          <cell r="X92">
            <v>0</v>
          </cell>
          <cell r="Z92">
            <v>0</v>
          </cell>
          <cell r="AA92" t="e">
            <v>#DIV/0!</v>
          </cell>
          <cell r="AB92">
            <v>0</v>
          </cell>
          <cell r="AC92">
            <v>0</v>
          </cell>
          <cell r="AD92" t="e">
            <v>#DIV/0!</v>
          </cell>
          <cell r="AE92">
            <v>0</v>
          </cell>
          <cell r="AF92" t="e">
            <v>#DIV/0!</v>
          </cell>
        </row>
        <row r="94">
          <cell r="C94" t="str">
            <v>FREIGHT MANAGEMENT</v>
          </cell>
          <cell r="E94">
            <v>0</v>
          </cell>
          <cell r="F94">
            <v>0</v>
          </cell>
          <cell r="G94">
            <v>0</v>
          </cell>
          <cell r="H94">
            <v>0</v>
          </cell>
          <cell r="J94">
            <v>0</v>
          </cell>
          <cell r="K94" t="e">
            <v>#DIV/0!</v>
          </cell>
          <cell r="L94">
            <v>0</v>
          </cell>
          <cell r="M94" t="e">
            <v>#DIV/0!</v>
          </cell>
          <cell r="N94">
            <v>0</v>
          </cell>
          <cell r="O94" t="e">
            <v>#DIV/0!</v>
          </cell>
          <cell r="R94" t="str">
            <v>FREIGHT MANAGEMENT</v>
          </cell>
          <cell r="T94">
            <v>0</v>
          </cell>
          <cell r="U94">
            <v>0</v>
          </cell>
          <cell r="V94">
            <v>0</v>
          </cell>
          <cell r="W94">
            <v>0</v>
          </cell>
          <cell r="X94">
            <v>0</v>
          </cell>
          <cell r="Z94">
            <v>0</v>
          </cell>
          <cell r="AA94" t="e">
            <v>#DIV/0!</v>
          </cell>
          <cell r="AB94">
            <v>0</v>
          </cell>
          <cell r="AC94">
            <v>0</v>
          </cell>
          <cell r="AD94" t="e">
            <v>#DIV/0!</v>
          </cell>
          <cell r="AE94">
            <v>0</v>
          </cell>
          <cell r="AF94" t="e">
            <v>#DIV/0!</v>
          </cell>
        </row>
        <row r="101">
          <cell r="C101" t="str">
            <v>en M€</v>
          </cell>
          <cell r="E101" t="str">
            <v>Réel 2009.12</v>
          </cell>
          <cell r="F101" t="str">
            <v>Budget 2009.12</v>
          </cell>
          <cell r="G101" t="str">
            <v>P1 2009.12</v>
          </cell>
          <cell r="H101" t="str">
            <v>Réel 2008.12</v>
          </cell>
          <cell r="J101" t="str">
            <v xml:space="preserve">     N / B
valeur</v>
          </cell>
          <cell r="K101" t="str">
            <v xml:space="preserve">     N / B
%</v>
          </cell>
          <cell r="L101" t="str">
            <v xml:space="preserve">     N / P1
valeur</v>
          </cell>
          <cell r="M101" t="str">
            <v xml:space="preserve">     N / P1
%</v>
          </cell>
          <cell r="N101" t="str">
            <v xml:space="preserve">     N / N-1
valeur</v>
          </cell>
          <cell r="O101" t="str">
            <v xml:space="preserve">     N / N-1
%</v>
          </cell>
          <cell r="R101" t="str">
            <v>en M€</v>
          </cell>
          <cell r="T101" t="str">
            <v>Réel 2009.12</v>
          </cell>
          <cell r="U101" t="str">
            <v>Budget 2009.12</v>
          </cell>
          <cell r="V101" t="str">
            <v>P3 2009.12</v>
          </cell>
          <cell r="W101" t="str">
            <v>P1 2009.12</v>
          </cell>
          <cell r="X101" t="str">
            <v>Réel 2008.12</v>
          </cell>
          <cell r="Z101" t="str">
            <v xml:space="preserve">     N / B
valeur</v>
          </cell>
          <cell r="AA101" t="str">
            <v xml:space="preserve">     N / B
%</v>
          </cell>
          <cell r="AB101" t="str">
            <v xml:space="preserve">     N / P3
valeur</v>
          </cell>
          <cell r="AC101" t="str">
            <v xml:space="preserve">     N / P1
valeur</v>
          </cell>
          <cell r="AD101" t="str">
            <v xml:space="preserve">     N / P1
%</v>
          </cell>
          <cell r="AE101" t="str">
            <v xml:space="preserve">     N / N-1
valeur</v>
          </cell>
          <cell r="AF101" t="str">
            <v xml:space="preserve">     N / N-1
%</v>
          </cell>
        </row>
        <row r="103">
          <cell r="C103" t="str">
            <v>BM</v>
          </cell>
          <cell r="E103" t="e">
            <v>#VALUE!</v>
          </cell>
          <cell r="F103">
            <v>0</v>
          </cell>
          <cell r="G103">
            <v>0</v>
          </cell>
          <cell r="H103" t="e">
            <v>#VALUE!</v>
          </cell>
          <cell r="J103" t="e">
            <v>#VALUE!</v>
          </cell>
          <cell r="K103" t="e">
            <v>#VALUE!</v>
          </cell>
          <cell r="L103" t="e">
            <v>#VALUE!</v>
          </cell>
          <cell r="M103" t="e">
            <v>#VALUE!</v>
          </cell>
          <cell r="N103" t="e">
            <v>#VALUE!</v>
          </cell>
          <cell r="O103" t="e">
            <v>#VALUE!</v>
          </cell>
          <cell r="R103" t="str">
            <v>BM</v>
          </cell>
          <cell r="T103" t="e">
            <v>#VALUE!</v>
          </cell>
          <cell r="U103" t="e">
            <v>#VALUE!</v>
          </cell>
          <cell r="V103">
            <v>0</v>
          </cell>
          <cell r="W103">
            <v>0</v>
          </cell>
          <cell r="X103" t="e">
            <v>#VALUE!</v>
          </cell>
          <cell r="Z103" t="e">
            <v>#VALUE!</v>
          </cell>
          <cell r="AA103" t="e">
            <v>#VALUE!</v>
          </cell>
          <cell r="AB103" t="e">
            <v>#VALUE!</v>
          </cell>
          <cell r="AC103" t="e">
            <v>#VALUE!</v>
          </cell>
          <cell r="AD103" t="e">
            <v>#VALUE!</v>
          </cell>
          <cell r="AE103" t="e">
            <v>#VALUE!</v>
          </cell>
          <cell r="AF103" t="e">
            <v>#VALUE!</v>
          </cell>
        </row>
        <row r="105">
          <cell r="C105" t="str">
            <v>Vitesse Container Trucking</v>
          </cell>
          <cell r="E105">
            <v>0</v>
          </cell>
          <cell r="F105">
            <v>0</v>
          </cell>
          <cell r="G105">
            <v>0</v>
          </cell>
          <cell r="H105">
            <v>0</v>
          </cell>
          <cell r="J105">
            <v>0</v>
          </cell>
          <cell r="K105" t="e">
            <v>#DIV/0!</v>
          </cell>
          <cell r="L105">
            <v>0</v>
          </cell>
          <cell r="M105" t="e">
            <v>#DIV/0!</v>
          </cell>
          <cell r="N105">
            <v>0</v>
          </cell>
          <cell r="O105" t="e">
            <v>#DIV/0!</v>
          </cell>
          <cell r="R105" t="str">
            <v>Vitesse Container Trucking</v>
          </cell>
          <cell r="T105">
            <v>0</v>
          </cell>
          <cell r="U105">
            <v>0</v>
          </cell>
          <cell r="V105">
            <v>0</v>
          </cell>
          <cell r="W105">
            <v>0</v>
          </cell>
          <cell r="X105">
            <v>0</v>
          </cell>
          <cell r="Z105">
            <v>0</v>
          </cell>
          <cell r="AA105" t="e">
            <v>#DIV/0!</v>
          </cell>
          <cell r="AB105">
            <v>0</v>
          </cell>
          <cell r="AC105">
            <v>0</v>
          </cell>
          <cell r="AD105" t="e">
            <v>#DIV/0!</v>
          </cell>
          <cell r="AE105">
            <v>0</v>
          </cell>
          <cell r="AF105" t="e">
            <v>#DIV/0!</v>
          </cell>
        </row>
        <row r="107">
          <cell r="C107" t="str">
            <v>Elim inter-zones Route</v>
          </cell>
          <cell r="E107">
            <v>0</v>
          </cell>
          <cell r="F107">
            <v>0</v>
          </cell>
          <cell r="G107">
            <v>0</v>
          </cell>
          <cell r="H107">
            <v>0</v>
          </cell>
          <cell r="J107">
            <v>0</v>
          </cell>
          <cell r="K107" t="e">
            <v>#DIV/0!</v>
          </cell>
          <cell r="L107">
            <v>0</v>
          </cell>
          <cell r="M107" t="e">
            <v>#DIV/0!</v>
          </cell>
          <cell r="N107">
            <v>0</v>
          </cell>
          <cell r="O107" t="e">
            <v>#DIV/0!</v>
          </cell>
          <cell r="R107" t="str">
            <v>Elim inter-zones Route</v>
          </cell>
          <cell r="T107">
            <v>0</v>
          </cell>
          <cell r="U107">
            <v>0</v>
          </cell>
          <cell r="V107">
            <v>0</v>
          </cell>
          <cell r="W107">
            <v>0</v>
          </cell>
          <cell r="X107">
            <v>0</v>
          </cell>
          <cell r="Z107">
            <v>0</v>
          </cell>
          <cell r="AA107" t="e">
            <v>#DIV/0!</v>
          </cell>
          <cell r="AB107">
            <v>0</v>
          </cell>
          <cell r="AC107">
            <v>0</v>
          </cell>
          <cell r="AD107" t="e">
            <v>#DIV/0!</v>
          </cell>
          <cell r="AE107">
            <v>0</v>
          </cell>
          <cell r="AF107" t="e">
            <v>#DIV/0!</v>
          </cell>
        </row>
        <row r="108">
          <cell r="C108" t="str">
            <v>ROUTE</v>
          </cell>
          <cell r="E108">
            <v>0</v>
          </cell>
          <cell r="F108">
            <v>0</v>
          </cell>
          <cell r="G108">
            <v>0</v>
          </cell>
          <cell r="H108">
            <v>0</v>
          </cell>
          <cell r="J108">
            <v>0</v>
          </cell>
          <cell r="K108" t="e">
            <v>#DIV/0!</v>
          </cell>
          <cell r="L108">
            <v>0</v>
          </cell>
          <cell r="M108" t="e">
            <v>#DIV/0!</v>
          </cell>
          <cell r="N108">
            <v>0</v>
          </cell>
          <cell r="O108" t="e">
            <v>#DIV/0!</v>
          </cell>
          <cell r="R108" t="str">
            <v>ROUTE</v>
          </cell>
          <cell r="T108">
            <v>0</v>
          </cell>
          <cell r="U108">
            <v>0</v>
          </cell>
          <cell r="V108">
            <v>0</v>
          </cell>
          <cell r="W108">
            <v>0</v>
          </cell>
          <cell r="X108">
            <v>0</v>
          </cell>
          <cell r="Z108">
            <v>0</v>
          </cell>
          <cell r="AA108" t="e">
            <v>#DIV/0!</v>
          </cell>
          <cell r="AB108">
            <v>0</v>
          </cell>
          <cell r="AC108">
            <v>0</v>
          </cell>
          <cell r="AD108" t="e">
            <v>#DIV/0!</v>
          </cell>
          <cell r="AE108">
            <v>0</v>
          </cell>
          <cell r="AF108" t="e">
            <v>#DIV/0!</v>
          </cell>
        </row>
        <row r="115">
          <cell r="C115" t="str">
            <v>en M€</v>
          </cell>
          <cell r="E115" t="str">
            <v>Réel 2009.12</v>
          </cell>
          <cell r="F115" t="str">
            <v>Budget 2009.12</v>
          </cell>
          <cell r="G115" t="str">
            <v>P1 2009.12</v>
          </cell>
          <cell r="H115" t="str">
            <v>Réel 2008.12</v>
          </cell>
          <cell r="J115" t="str">
            <v xml:space="preserve">     N / B
valeur</v>
          </cell>
          <cell r="K115" t="str">
            <v xml:space="preserve">     N / B
%</v>
          </cell>
          <cell r="L115" t="str">
            <v xml:space="preserve">     N / P1
valeur</v>
          </cell>
          <cell r="M115" t="str">
            <v xml:space="preserve">     N / P1
%</v>
          </cell>
          <cell r="N115" t="str">
            <v xml:space="preserve">     N / N-1
valeur</v>
          </cell>
          <cell r="O115" t="str">
            <v xml:space="preserve">     N / N-1
%</v>
          </cell>
          <cell r="R115" t="str">
            <v>en M€</v>
          </cell>
          <cell r="T115" t="str">
            <v>Réel 2009.12</v>
          </cell>
          <cell r="U115" t="str">
            <v>Budget 2009.12</v>
          </cell>
          <cell r="V115" t="str">
            <v>P3 2009.12</v>
          </cell>
          <cell r="W115" t="str">
            <v>P1 2009.12</v>
          </cell>
          <cell r="X115" t="str">
            <v>Réel 2008.12</v>
          </cell>
          <cell r="Z115" t="str">
            <v xml:space="preserve">     N / B
valeur</v>
          </cell>
          <cell r="AA115" t="str">
            <v xml:space="preserve">     N / B
%</v>
          </cell>
          <cell r="AB115" t="str">
            <v xml:space="preserve">     N / P3
valeur</v>
          </cell>
          <cell r="AC115" t="str">
            <v xml:space="preserve">     N / P1
valeur</v>
          </cell>
          <cell r="AD115" t="str">
            <v xml:space="preserve">     N / P1
%</v>
          </cell>
          <cell r="AE115" t="str">
            <v xml:space="preserve">     N / N-1
valeur</v>
          </cell>
          <cell r="AF115" t="str">
            <v xml:space="preserve">     N / N-1
%</v>
          </cell>
        </row>
        <row r="117">
          <cell r="C117" t="str">
            <v>Sociétés de service &amp; Holdings</v>
          </cell>
          <cell r="E117">
            <v>0</v>
          </cell>
          <cell r="F117">
            <v>0</v>
          </cell>
          <cell r="G117">
            <v>0</v>
          </cell>
          <cell r="H117">
            <v>0</v>
          </cell>
          <cell r="J117">
            <v>0</v>
          </cell>
          <cell r="K117" t="e">
            <v>#DIV/0!</v>
          </cell>
          <cell r="L117">
            <v>0</v>
          </cell>
          <cell r="M117" t="e">
            <v>#DIV/0!</v>
          </cell>
          <cell r="N117">
            <v>0</v>
          </cell>
          <cell r="O117" t="e">
            <v>#DIV/0!</v>
          </cell>
          <cell r="R117" t="str">
            <v>Sociétés de service &amp; Holdings</v>
          </cell>
          <cell r="T117">
            <v>0</v>
          </cell>
          <cell r="U117">
            <v>0</v>
          </cell>
          <cell r="V117">
            <v>0</v>
          </cell>
          <cell r="W117">
            <v>0</v>
          </cell>
          <cell r="X117">
            <v>0</v>
          </cell>
          <cell r="Z117">
            <v>0</v>
          </cell>
          <cell r="AA117" t="e">
            <v>#DIV/0!</v>
          </cell>
          <cell r="AB117">
            <v>0</v>
          </cell>
          <cell r="AC117">
            <v>0</v>
          </cell>
          <cell r="AD117" t="e">
            <v>#DIV/0!</v>
          </cell>
          <cell r="AE117">
            <v>0</v>
          </cell>
          <cell r="AF117" t="e">
            <v>#DIV/0!</v>
          </cell>
        </row>
        <row r="119">
          <cell r="C119" t="str">
            <v>Autres</v>
          </cell>
          <cell r="E119">
            <v>0</v>
          </cell>
          <cell r="F119">
            <v>0</v>
          </cell>
          <cell r="G119">
            <v>0</v>
          </cell>
          <cell r="H119">
            <v>0</v>
          </cell>
          <cell r="J119">
            <v>0</v>
          </cell>
          <cell r="K119" t="e">
            <v>#DIV/0!</v>
          </cell>
          <cell r="L119">
            <v>0</v>
          </cell>
          <cell r="M119" t="e">
            <v>#DIV/0!</v>
          </cell>
          <cell r="N119">
            <v>0</v>
          </cell>
          <cell r="O119" t="e">
            <v>#DIV/0!</v>
          </cell>
          <cell r="R119" t="str">
            <v>Autres</v>
          </cell>
          <cell r="T119">
            <v>0</v>
          </cell>
          <cell r="U119">
            <v>0</v>
          </cell>
          <cell r="V119">
            <v>0</v>
          </cell>
          <cell r="W119">
            <v>0</v>
          </cell>
          <cell r="X119">
            <v>0</v>
          </cell>
          <cell r="Z119">
            <v>0</v>
          </cell>
          <cell r="AA119" t="e">
            <v>#DIV/0!</v>
          </cell>
          <cell r="AB119">
            <v>0</v>
          </cell>
          <cell r="AC119">
            <v>0</v>
          </cell>
          <cell r="AD119" t="e">
            <v>#DIV/0!</v>
          </cell>
          <cell r="AE119">
            <v>0</v>
          </cell>
          <cell r="AF119" t="e">
            <v>#DIV/0!</v>
          </cell>
        </row>
        <row r="121">
          <cell r="C121" t="str">
            <v>AUTRES</v>
          </cell>
          <cell r="E121">
            <v>0</v>
          </cell>
          <cell r="F121">
            <v>0</v>
          </cell>
          <cell r="G121">
            <v>0</v>
          </cell>
          <cell r="H121">
            <v>0</v>
          </cell>
          <cell r="J121">
            <v>0</v>
          </cell>
          <cell r="K121" t="e">
            <v>#DIV/0!</v>
          </cell>
          <cell r="L121">
            <v>0</v>
          </cell>
          <cell r="M121" t="e">
            <v>#DIV/0!</v>
          </cell>
          <cell r="N121">
            <v>0</v>
          </cell>
          <cell r="O121" t="e">
            <v>#DIV/0!</v>
          </cell>
          <cell r="R121" t="str">
            <v>AUTRES</v>
          </cell>
          <cell r="T121">
            <v>0</v>
          </cell>
          <cell r="U121">
            <v>0</v>
          </cell>
          <cell r="V121">
            <v>0</v>
          </cell>
          <cell r="W121">
            <v>0</v>
          </cell>
          <cell r="X121">
            <v>0</v>
          </cell>
          <cell r="Z121">
            <v>0</v>
          </cell>
          <cell r="AA121" t="e">
            <v>#DIV/0!</v>
          </cell>
          <cell r="AB121">
            <v>0</v>
          </cell>
          <cell r="AC121">
            <v>0</v>
          </cell>
          <cell r="AD121" t="e">
            <v>#DIV/0!</v>
          </cell>
          <cell r="AE121">
            <v>0</v>
          </cell>
          <cell r="AF121" t="e">
            <v>#DIV/0!</v>
          </cell>
        </row>
        <row r="123">
          <cell r="C123" t="str">
            <v>Eliminations Groupe</v>
          </cell>
          <cell r="E123">
            <v>0</v>
          </cell>
          <cell r="F123">
            <v>0</v>
          </cell>
          <cell r="G123">
            <v>0</v>
          </cell>
          <cell r="H123">
            <v>0</v>
          </cell>
          <cell r="J123">
            <v>0</v>
          </cell>
          <cell r="K123" t="e">
            <v>#DIV/0!</v>
          </cell>
          <cell r="L123">
            <v>0</v>
          </cell>
          <cell r="M123" t="e">
            <v>#DIV/0!</v>
          </cell>
          <cell r="N123">
            <v>0</v>
          </cell>
          <cell r="O123" t="e">
            <v>#DIV/0!</v>
          </cell>
          <cell r="R123" t="str">
            <v>Eliminations Groupe</v>
          </cell>
          <cell r="T123">
            <v>0</v>
          </cell>
          <cell r="U123">
            <v>0</v>
          </cell>
          <cell r="V123">
            <v>0</v>
          </cell>
          <cell r="W123">
            <v>0</v>
          </cell>
          <cell r="X123">
            <v>0</v>
          </cell>
          <cell r="Z123">
            <v>0</v>
          </cell>
          <cell r="AA123" t="e">
            <v>#DIV/0!</v>
          </cell>
          <cell r="AB123">
            <v>0</v>
          </cell>
          <cell r="AC123">
            <v>0</v>
          </cell>
          <cell r="AD123" t="e">
            <v>#DIV/0!</v>
          </cell>
          <cell r="AE123">
            <v>0</v>
          </cell>
          <cell r="AF123" t="e">
            <v>#DIV/0!</v>
          </cell>
        </row>
        <row r="124">
          <cell r="C124" t="str">
            <v>GROUPE GEODIS</v>
          </cell>
          <cell r="E124">
            <v>0</v>
          </cell>
          <cell r="F124">
            <v>-6.8730000000000002</v>
          </cell>
          <cell r="G124">
            <v>0</v>
          </cell>
          <cell r="H124">
            <v>1.2390000000000001</v>
          </cell>
          <cell r="J124">
            <v>6.8730000000000002</v>
          </cell>
          <cell r="K124">
            <v>-1</v>
          </cell>
          <cell r="L124">
            <v>0</v>
          </cell>
          <cell r="M124" t="e">
            <v>#DIV/0!</v>
          </cell>
          <cell r="N124">
            <v>-1.2390000000000001</v>
          </cell>
          <cell r="O124">
            <v>-1</v>
          </cell>
          <cell r="R124" t="str">
            <v>GROUPE GEODIS</v>
          </cell>
          <cell r="T124">
            <v>0</v>
          </cell>
          <cell r="U124">
            <v>0</v>
          </cell>
          <cell r="V124">
            <v>-33.161999999999999</v>
          </cell>
          <cell r="W124">
            <v>-13.120000000000001</v>
          </cell>
          <cell r="X124">
            <v>0</v>
          </cell>
          <cell r="Z124">
            <v>0</v>
          </cell>
          <cell r="AA124" t="e">
            <v>#DIV/0!</v>
          </cell>
          <cell r="AB124">
            <v>33.161999999999999</v>
          </cell>
          <cell r="AC124">
            <v>13.120000000000001</v>
          </cell>
          <cell r="AD124">
            <v>-1</v>
          </cell>
          <cell r="AE124">
            <v>0</v>
          </cell>
          <cell r="AF124" t="e">
            <v>#DIV/0!</v>
          </cell>
        </row>
      </sheetData>
      <sheetData sheetId="60" refreshError="1">
        <row r="33">
          <cell r="C33" t="str">
            <v>en M€</v>
          </cell>
          <cell r="E33" t="str">
            <v xml:space="preserve">Réel publié </v>
          </cell>
          <cell r="F33" t="str">
            <v>impact fees compl.</v>
          </cell>
          <cell r="G33" t="str">
            <v xml:space="preserve">Réel retraité </v>
          </cell>
          <cell r="H33" t="str">
            <v>Réel MOIS BUDGET</v>
          </cell>
          <cell r="J33" t="str">
            <v>retraité / N-1</v>
          </cell>
        </row>
        <row r="35">
          <cell r="C35" t="str">
            <v>Logistique Automotive</v>
          </cell>
          <cell r="E35">
            <v>0</v>
          </cell>
          <cell r="F35">
            <v>0</v>
          </cell>
          <cell r="G35">
            <v>0</v>
          </cell>
          <cell r="H35">
            <v>0</v>
          </cell>
          <cell r="J35">
            <v>0</v>
          </cell>
        </row>
        <row r="37">
          <cell r="C37" t="str">
            <v>Europe de l'Est</v>
          </cell>
          <cell r="E37">
            <v>0.65800000000000003</v>
          </cell>
          <cell r="F37">
            <v>0</v>
          </cell>
          <cell r="G37">
            <v>0.65800000000000003</v>
          </cell>
          <cell r="H37">
            <v>0.51900000000000002</v>
          </cell>
          <cell r="J37">
            <v>0.13900000000000001</v>
          </cell>
        </row>
        <row r="38">
          <cell r="C38" t="str">
            <v>ROPlberson Grèce</v>
          </cell>
          <cell r="E38" t="e">
            <v>#VALUE!</v>
          </cell>
          <cell r="F38" t="e">
            <v>#VALUE!</v>
          </cell>
          <cell r="G38" t="e">
            <v>#VALUE!</v>
          </cell>
          <cell r="H38" t="e">
            <v>#VALUE!</v>
          </cell>
          <cell r="J38" t="e">
            <v>#VALUE!</v>
          </cell>
        </row>
        <row r="39">
          <cell r="C39" t="str">
            <v>Logistique Europe de l'Est &amp; Grèce</v>
          </cell>
          <cell r="E39">
            <v>0</v>
          </cell>
          <cell r="F39">
            <v>0</v>
          </cell>
          <cell r="G39">
            <v>0</v>
          </cell>
          <cell r="H39">
            <v>0</v>
          </cell>
          <cell r="J39">
            <v>0</v>
          </cell>
        </row>
        <row r="41">
          <cell r="C41" t="str">
            <v>Allemagne</v>
          </cell>
          <cell r="E41" t="e">
            <v>#VALUE!</v>
          </cell>
          <cell r="F41">
            <v>0</v>
          </cell>
          <cell r="G41" t="e">
            <v>#VALUE!</v>
          </cell>
          <cell r="H41">
            <v>0</v>
          </cell>
          <cell r="J41" t="e">
            <v>#VALUE!</v>
          </cell>
        </row>
        <row r="42">
          <cell r="C42" t="str">
            <v>UK</v>
          </cell>
          <cell r="E42">
            <v>0</v>
          </cell>
          <cell r="F42">
            <v>0</v>
          </cell>
          <cell r="G42">
            <v>0</v>
          </cell>
          <cell r="H42">
            <v>-0.2</v>
          </cell>
          <cell r="J42">
            <v>0.2</v>
          </cell>
        </row>
        <row r="43">
          <cell r="C43" t="str">
            <v>Irlande</v>
          </cell>
          <cell r="E43">
            <v>0</v>
          </cell>
          <cell r="F43">
            <v>0</v>
          </cell>
          <cell r="G43">
            <v>0</v>
          </cell>
          <cell r="H43">
            <v>-0.4</v>
          </cell>
          <cell r="J43">
            <v>0.4</v>
          </cell>
        </row>
        <row r="44">
          <cell r="C44" t="str">
            <v>Benelux</v>
          </cell>
          <cell r="E44">
            <v>0</v>
          </cell>
          <cell r="F44">
            <v>0</v>
          </cell>
          <cell r="G44">
            <v>0</v>
          </cell>
          <cell r="H44">
            <v>0</v>
          </cell>
          <cell r="J44">
            <v>0</v>
          </cell>
        </row>
        <row r="45">
          <cell r="C45" t="str">
            <v>Logistique Europe du Nord</v>
          </cell>
          <cell r="E45" t="e">
            <v>#VALUE!</v>
          </cell>
          <cell r="F45">
            <v>0</v>
          </cell>
          <cell r="G45" t="e">
            <v>#VALUE!</v>
          </cell>
          <cell r="H45" t="e">
            <v>#VALUE!</v>
          </cell>
          <cell r="J45" t="e">
            <v>#VALUE!</v>
          </cell>
        </row>
        <row r="47">
          <cell r="C47" t="str">
            <v>Logistique France</v>
          </cell>
          <cell r="E47">
            <v>0</v>
          </cell>
          <cell r="F47">
            <v>0</v>
          </cell>
          <cell r="G47">
            <v>0</v>
          </cell>
          <cell r="H47">
            <v>0</v>
          </cell>
          <cell r="J47">
            <v>0</v>
          </cell>
        </row>
        <row r="48">
          <cell r="C48" t="str">
            <v>Logistique Espagne</v>
          </cell>
          <cell r="E48">
            <v>-1.554</v>
          </cell>
          <cell r="F48">
            <v>9.0000000000000011E-3</v>
          </cell>
          <cell r="G48">
            <v>-1.5629999999999999</v>
          </cell>
          <cell r="H48" t="e">
            <v>#VALUE!</v>
          </cell>
          <cell r="J48" t="e">
            <v>#VALUE!</v>
          </cell>
        </row>
        <row r="49">
          <cell r="C49" t="str">
            <v>Logistique Italie</v>
          </cell>
          <cell r="E49">
            <v>0.64700000000000002</v>
          </cell>
          <cell r="F49">
            <v>0</v>
          </cell>
          <cell r="G49">
            <v>0.64700000000000002</v>
          </cell>
          <cell r="H49">
            <v>0.71899999999999997</v>
          </cell>
          <cell r="J49">
            <v>-7.1999999999999953E-2</v>
          </cell>
        </row>
        <row r="50">
          <cell r="C50" t="str">
            <v>Logistique Maroc</v>
          </cell>
          <cell r="E50">
            <v>1.984</v>
          </cell>
          <cell r="F50">
            <v>0</v>
          </cell>
          <cell r="G50">
            <v>1.984</v>
          </cell>
          <cell r="H50">
            <v>1.8820000000000001</v>
          </cell>
          <cell r="J50">
            <v>0.10199999999999987</v>
          </cell>
        </row>
        <row r="51">
          <cell r="C51" t="str">
            <v>Logistique Europe du Sud</v>
          </cell>
          <cell r="E51">
            <v>0</v>
          </cell>
          <cell r="F51">
            <v>0</v>
          </cell>
          <cell r="G51">
            <v>0</v>
          </cell>
          <cell r="H51">
            <v>0</v>
          </cell>
          <cell r="J51">
            <v>0</v>
          </cell>
        </row>
        <row r="53">
          <cell r="C53" t="str">
            <v>Logistique Autres</v>
          </cell>
          <cell r="E53">
            <v>0</v>
          </cell>
          <cell r="F53">
            <v>0</v>
          </cell>
          <cell r="G53">
            <v>0</v>
          </cell>
          <cell r="H53">
            <v>0</v>
          </cell>
          <cell r="J53">
            <v>0</v>
          </cell>
        </row>
        <row r="55">
          <cell r="C55" t="str">
            <v>Sociétés de service &amp; Holdings</v>
          </cell>
          <cell r="E55">
            <v>0</v>
          </cell>
          <cell r="F55">
            <v>0</v>
          </cell>
          <cell r="G55">
            <v>0</v>
          </cell>
          <cell r="H55">
            <v>0</v>
          </cell>
          <cell r="J55">
            <v>0</v>
          </cell>
        </row>
        <row r="57">
          <cell r="C57" t="str">
            <v>Elim inter-zones Logistique</v>
          </cell>
          <cell r="E57">
            <v>0</v>
          </cell>
          <cell r="F57">
            <v>0</v>
          </cell>
          <cell r="G57">
            <v>0</v>
          </cell>
          <cell r="H57">
            <v>0</v>
          </cell>
          <cell r="J57">
            <v>0</v>
          </cell>
        </row>
        <row r="59">
          <cell r="C59" t="str">
            <v>LOGISTIQUE CONTRACTUELLE</v>
          </cell>
          <cell r="E59">
            <v>-5.657</v>
          </cell>
          <cell r="F59">
            <v>3.6999999999999998E-2</v>
          </cell>
          <cell r="G59">
            <v>-5.694</v>
          </cell>
          <cell r="H59" t="e">
            <v>#VALUE!</v>
          </cell>
          <cell r="J59" t="e">
            <v>#VALUE!</v>
          </cell>
        </row>
        <row r="66">
          <cell r="C66" t="str">
            <v>en M€</v>
          </cell>
          <cell r="E66" t="str">
            <v xml:space="preserve">Réel publié </v>
          </cell>
          <cell r="F66" t="str">
            <v>impact fees compl.</v>
          </cell>
          <cell r="G66" t="str">
            <v xml:space="preserve">Réel retraité </v>
          </cell>
          <cell r="H66" t="str">
            <v>Réel MOIS BUDGET</v>
          </cell>
          <cell r="J66" t="str">
            <v>retraité / N-1</v>
          </cell>
        </row>
        <row r="68">
          <cell r="C68" t="str">
            <v>Freight Management Amériques</v>
          </cell>
          <cell r="E68">
            <v>0</v>
          </cell>
          <cell r="F68">
            <v>0</v>
          </cell>
          <cell r="G68">
            <v>0</v>
          </cell>
          <cell r="H68">
            <v>0</v>
          </cell>
          <cell r="J68">
            <v>0</v>
          </cell>
        </row>
        <row r="70">
          <cell r="C70" t="str">
            <v>Freight Management Asie du Nord</v>
          </cell>
          <cell r="E70">
            <v>0</v>
          </cell>
          <cell r="F70">
            <v>0</v>
          </cell>
          <cell r="G70">
            <v>0</v>
          </cell>
          <cell r="H70">
            <v>0</v>
          </cell>
          <cell r="J70">
            <v>0</v>
          </cell>
        </row>
        <row r="72">
          <cell r="C72" t="str">
            <v>Freight Management Asie du Sud</v>
          </cell>
          <cell r="E72">
            <v>0</v>
          </cell>
          <cell r="F72">
            <v>0</v>
          </cell>
          <cell r="G72">
            <v>0</v>
          </cell>
          <cell r="H72">
            <v>0</v>
          </cell>
          <cell r="J72">
            <v>0</v>
          </cell>
        </row>
        <row r="74">
          <cell r="C74" t="str">
            <v>Freight Management Europe Centrale et Moyen Orient</v>
          </cell>
          <cell r="E74">
            <v>0</v>
          </cell>
          <cell r="F74">
            <v>0</v>
          </cell>
          <cell r="G74">
            <v>0</v>
          </cell>
          <cell r="H74">
            <v>0</v>
          </cell>
          <cell r="J74">
            <v>0</v>
          </cell>
        </row>
        <row r="76">
          <cell r="C76" t="str">
            <v>Geodis Overseas Wilson Afrique</v>
          </cell>
          <cell r="E76" t="e">
            <v>#VALUE!</v>
          </cell>
          <cell r="F76" t="e">
            <v>#VALUE!</v>
          </cell>
          <cell r="G76" t="e">
            <v>#VALUE!</v>
          </cell>
          <cell r="H76" t="e">
            <v>#VALUE!</v>
          </cell>
          <cell r="J76" t="e">
            <v>#VALUE!</v>
          </cell>
        </row>
        <row r="77">
          <cell r="C77" t="str">
            <v>Geodis Overseas Wilson France</v>
          </cell>
          <cell r="E77" t="e">
            <v>#VALUE!</v>
          </cell>
          <cell r="F77" t="e">
            <v>#VALUE!</v>
          </cell>
          <cell r="G77" t="e">
            <v>#VALUE!</v>
          </cell>
          <cell r="H77" t="e">
            <v>#VALUE!</v>
          </cell>
          <cell r="J77" t="e">
            <v>#VALUE!</v>
          </cell>
        </row>
        <row r="78">
          <cell r="C78" t="str">
            <v>Geodis Overseas Wilson Europe du Sud</v>
          </cell>
          <cell r="E78">
            <v>0.01</v>
          </cell>
          <cell r="F78" t="e">
            <v>#VALUE!</v>
          </cell>
          <cell r="G78" t="e">
            <v>#VALUE!</v>
          </cell>
          <cell r="H78">
            <v>-6.0000000000000001E-3</v>
          </cell>
          <cell r="J78" t="e">
            <v>#VALUE!</v>
          </cell>
        </row>
        <row r="79">
          <cell r="C79" t="str">
            <v>Freight Management Europe du Sud et Afrique</v>
          </cell>
          <cell r="E79">
            <v>0</v>
          </cell>
          <cell r="F79">
            <v>0</v>
          </cell>
          <cell r="G79">
            <v>0</v>
          </cell>
          <cell r="H79">
            <v>0</v>
          </cell>
          <cell r="J79">
            <v>0</v>
          </cell>
        </row>
        <row r="81">
          <cell r="C81" t="str">
            <v>Freight Management Pays Nordiques</v>
          </cell>
          <cell r="E81">
            <v>0</v>
          </cell>
          <cell r="F81">
            <v>0</v>
          </cell>
          <cell r="G81">
            <v>0</v>
          </cell>
          <cell r="H81">
            <v>0</v>
          </cell>
          <cell r="J81">
            <v>0</v>
          </cell>
        </row>
        <row r="83">
          <cell r="C83" t="str">
            <v>Freight Management Projets</v>
          </cell>
          <cell r="E83">
            <v>0</v>
          </cell>
          <cell r="F83">
            <v>0</v>
          </cell>
          <cell r="G83">
            <v>0</v>
          </cell>
          <cell r="H83">
            <v>0</v>
          </cell>
          <cell r="J83">
            <v>0</v>
          </cell>
        </row>
        <row r="85">
          <cell r="C85" t="str">
            <v>Sociétés de service &amp; Holdings</v>
          </cell>
          <cell r="E85" t="e">
            <v>#VALUE!</v>
          </cell>
          <cell r="F85" t="e">
            <v>#VALUE!</v>
          </cell>
          <cell r="G85" t="e">
            <v>#VALUE!</v>
          </cell>
          <cell r="H85" t="e">
            <v>#VALUE!</v>
          </cell>
          <cell r="J85" t="e">
            <v>#VALUE!</v>
          </cell>
        </row>
        <row r="87">
          <cell r="C87" t="str">
            <v>SOUS-TOTAL GEODIS WILSON</v>
          </cell>
          <cell r="E87">
            <v>0</v>
          </cell>
          <cell r="F87">
            <v>0</v>
          </cell>
          <cell r="G87">
            <v>0</v>
          </cell>
          <cell r="H87">
            <v>0</v>
          </cell>
          <cell r="J87">
            <v>0</v>
          </cell>
        </row>
        <row r="89">
          <cell r="C89" t="str">
            <v>TFM</v>
          </cell>
          <cell r="E89">
            <v>0</v>
          </cell>
          <cell r="F89">
            <v>0</v>
          </cell>
          <cell r="G89">
            <v>0</v>
          </cell>
          <cell r="H89">
            <v>0</v>
          </cell>
          <cell r="J89">
            <v>0</v>
          </cell>
        </row>
        <row r="90">
          <cell r="C90" t="str">
            <v>TGFL</v>
          </cell>
          <cell r="E90">
            <v>0</v>
          </cell>
          <cell r="F90">
            <v>0</v>
          </cell>
          <cell r="G90">
            <v>0</v>
          </cell>
          <cell r="H90">
            <v>0</v>
          </cell>
          <cell r="J90">
            <v>0</v>
          </cell>
        </row>
        <row r="91">
          <cell r="C91" t="str">
            <v>Freight Management Autres</v>
          </cell>
          <cell r="E91">
            <v>0</v>
          </cell>
          <cell r="F91">
            <v>0</v>
          </cell>
          <cell r="G91">
            <v>0</v>
          </cell>
          <cell r="H91">
            <v>0</v>
          </cell>
          <cell r="J91">
            <v>0</v>
          </cell>
        </row>
        <row r="93">
          <cell r="C93" t="str">
            <v>Elim inter-zones Freight Management</v>
          </cell>
          <cell r="E93">
            <v>0</v>
          </cell>
          <cell r="F93">
            <v>0</v>
          </cell>
          <cell r="G93">
            <v>0</v>
          </cell>
          <cell r="H93">
            <v>0</v>
          </cell>
          <cell r="J93">
            <v>0</v>
          </cell>
        </row>
        <row r="95">
          <cell r="C95" t="str">
            <v>FREIGHT MANAGEMENT</v>
          </cell>
          <cell r="E95">
            <v>0</v>
          </cell>
          <cell r="F95">
            <v>0</v>
          </cell>
          <cell r="G95">
            <v>0</v>
          </cell>
          <cell r="H95">
            <v>0</v>
          </cell>
          <cell r="J95">
            <v>0</v>
          </cell>
        </row>
        <row r="102">
          <cell r="C102" t="str">
            <v>en M€</v>
          </cell>
          <cell r="E102" t="str">
            <v xml:space="preserve">Réel publié </v>
          </cell>
          <cell r="F102" t="str">
            <v>impact fees compl.</v>
          </cell>
          <cell r="G102" t="str">
            <v xml:space="preserve">Réel retraité </v>
          </cell>
          <cell r="H102" t="str">
            <v>Réel MOIS BUDGET</v>
          </cell>
          <cell r="J102" t="str">
            <v>retraité / N-1</v>
          </cell>
        </row>
        <row r="104">
          <cell r="C104" t="str">
            <v>BM</v>
          </cell>
          <cell r="E104" t="e">
            <v>#VALUE!</v>
          </cell>
          <cell r="F104">
            <v>0</v>
          </cell>
          <cell r="G104" t="e">
            <v>#VALUE!</v>
          </cell>
          <cell r="H104" t="e">
            <v>#VALUE!</v>
          </cell>
          <cell r="J104" t="e">
            <v>#VALUE!</v>
          </cell>
        </row>
        <row r="106">
          <cell r="C106" t="str">
            <v>Vitesse Container Trucking</v>
          </cell>
          <cell r="E106">
            <v>0</v>
          </cell>
          <cell r="F106">
            <v>0</v>
          </cell>
          <cell r="G106">
            <v>0</v>
          </cell>
          <cell r="H106">
            <v>0</v>
          </cell>
          <cell r="J106">
            <v>0</v>
          </cell>
        </row>
        <row r="108">
          <cell r="C108" t="str">
            <v>Elim inter-zones Route</v>
          </cell>
          <cell r="E108">
            <v>0</v>
          </cell>
          <cell r="F108">
            <v>0</v>
          </cell>
          <cell r="G108">
            <v>0</v>
          </cell>
          <cell r="H108">
            <v>0</v>
          </cell>
          <cell r="J108">
            <v>0</v>
          </cell>
        </row>
        <row r="109">
          <cell r="C109" t="str">
            <v>ROUTE</v>
          </cell>
          <cell r="E109">
            <v>0</v>
          </cell>
          <cell r="F109">
            <v>0</v>
          </cell>
          <cell r="G109">
            <v>0</v>
          </cell>
          <cell r="H109">
            <v>0</v>
          </cell>
          <cell r="J109">
            <v>0</v>
          </cell>
        </row>
        <row r="116">
          <cell r="C116" t="str">
            <v>en M€</v>
          </cell>
          <cell r="E116" t="str">
            <v xml:space="preserve">Réel publié </v>
          </cell>
          <cell r="F116" t="str">
            <v>impact fees compl.</v>
          </cell>
          <cell r="G116" t="str">
            <v xml:space="preserve">Réel retraité </v>
          </cell>
          <cell r="H116" t="str">
            <v>Réel MOIS BUDGET</v>
          </cell>
          <cell r="J116" t="str">
            <v>retraité / N-1</v>
          </cell>
        </row>
        <row r="118">
          <cell r="C118" t="str">
            <v>Sociétés de service &amp; Holdings</v>
          </cell>
          <cell r="E118">
            <v>0</v>
          </cell>
          <cell r="F118">
            <v>0</v>
          </cell>
          <cell r="G118">
            <v>0</v>
          </cell>
          <cell r="H118">
            <v>0</v>
          </cell>
          <cell r="J118">
            <v>0</v>
          </cell>
        </row>
        <row r="120">
          <cell r="C120" t="str">
            <v>Autres</v>
          </cell>
          <cell r="E120">
            <v>0</v>
          </cell>
          <cell r="F120">
            <v>0</v>
          </cell>
          <cell r="G120">
            <v>0</v>
          </cell>
          <cell r="H120">
            <v>0</v>
          </cell>
          <cell r="J120">
            <v>0</v>
          </cell>
        </row>
        <row r="122">
          <cell r="C122" t="str">
            <v>AUTRES</v>
          </cell>
          <cell r="E122">
            <v>0</v>
          </cell>
          <cell r="F122">
            <v>0</v>
          </cell>
          <cell r="G122">
            <v>0</v>
          </cell>
          <cell r="H122">
            <v>0</v>
          </cell>
          <cell r="J122">
            <v>0</v>
          </cell>
        </row>
        <row r="124">
          <cell r="C124" t="str">
            <v>Eliminations Groupe</v>
          </cell>
          <cell r="E124">
            <v>0</v>
          </cell>
          <cell r="F124">
            <v>0</v>
          </cell>
          <cell r="G124">
            <v>0</v>
          </cell>
          <cell r="H124">
            <v>0</v>
          </cell>
          <cell r="J124">
            <v>0</v>
          </cell>
        </row>
        <row r="125">
          <cell r="C125" t="str">
            <v>GROUPE GEODIS</v>
          </cell>
          <cell r="E125">
            <v>0</v>
          </cell>
          <cell r="F125">
            <v>0</v>
          </cell>
          <cell r="G125">
            <v>0</v>
          </cell>
          <cell r="H125">
            <v>0</v>
          </cell>
          <cell r="J125">
            <v>0</v>
          </cell>
        </row>
      </sheetData>
      <sheetData sheetId="61"/>
      <sheetData sheetId="62"/>
      <sheetData sheetId="63"/>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row r="9">
          <cell r="B9" t="str">
            <v>en M€</v>
          </cell>
        </row>
        <row r="40">
          <cell r="B40" t="str">
            <v>En M€</v>
          </cell>
          <cell r="C40" t="str">
            <v>Janvier</v>
          </cell>
          <cell r="D40" t="str">
            <v>Février</v>
          </cell>
          <cell r="E40" t="str">
            <v>Mars</v>
          </cell>
          <cell r="F40" t="str">
            <v>Avril</v>
          </cell>
          <cell r="G40" t="str">
            <v>Mai</v>
          </cell>
          <cell r="H40" t="str">
            <v>Juin</v>
          </cell>
          <cell r="I40" t="str">
            <v>Juillet</v>
          </cell>
          <cell r="J40" t="str">
            <v>Août</v>
          </cell>
          <cell r="K40" t="str">
            <v>Sept.</v>
          </cell>
          <cell r="L40" t="str">
            <v>Oct.</v>
          </cell>
          <cell r="M40" t="str">
            <v>Nov.</v>
          </cell>
          <cell r="N40" t="str">
            <v>Déc.</v>
          </cell>
          <cell r="O40" t="str">
            <v>Annuel</v>
          </cell>
        </row>
        <row r="41">
          <cell r="B41">
            <v>2003</v>
          </cell>
          <cell r="C41">
            <v>250.55</v>
          </cell>
          <cell r="D41">
            <v>257.57900000000001</v>
          </cell>
          <cell r="E41">
            <v>275.38900000000001</v>
          </cell>
          <cell r="F41">
            <v>273.48399999999998</v>
          </cell>
          <cell r="G41">
            <v>256.51600000000002</v>
          </cell>
          <cell r="H41">
            <v>274.19499999999999</v>
          </cell>
          <cell r="I41">
            <v>280.08499999999998</v>
          </cell>
          <cell r="J41">
            <v>207.59</v>
          </cell>
          <cell r="K41">
            <v>286.91800000000001</v>
          </cell>
          <cell r="L41">
            <v>303.26600000000002</v>
          </cell>
          <cell r="M41">
            <v>270.101</v>
          </cell>
          <cell r="N41">
            <v>279.82600000000002</v>
          </cell>
          <cell r="O41">
            <v>279.82600000000002</v>
          </cell>
        </row>
        <row r="42">
          <cell r="B42">
            <v>2005</v>
          </cell>
          <cell r="C42">
            <v>268.32</v>
          </cell>
          <cell r="D42">
            <v>270.10700000000003</v>
          </cell>
          <cell r="E42">
            <v>309.72300000000001</v>
          </cell>
          <cell r="F42">
            <v>296.82499999999999</v>
          </cell>
          <cell r="G42">
            <v>290.80700000000002</v>
          </cell>
          <cell r="H42">
            <v>323.375</v>
          </cell>
          <cell r="I42">
            <v>289.82900000000001</v>
          </cell>
          <cell r="J42">
            <v>255.1</v>
          </cell>
          <cell r="K42">
            <v>321.358</v>
          </cell>
          <cell r="L42">
            <v>320.60000000000002</v>
          </cell>
          <cell r="M42">
            <v>329.49</v>
          </cell>
          <cell r="N42">
            <v>320.21300000000002</v>
          </cell>
          <cell r="O42">
            <v>3595.7470000000008</v>
          </cell>
        </row>
        <row r="43">
          <cell r="B43" t="str">
            <v>2005 Budget</v>
          </cell>
          <cell r="C43">
            <v>270.83827335816596</v>
          </cell>
          <cell r="D43">
            <v>278.29089089625</v>
          </cell>
          <cell r="E43">
            <v>309.33230639005302</v>
          </cell>
          <cell r="F43">
            <v>291.787130887628</v>
          </cell>
          <cell r="G43">
            <v>286.115155336763</v>
          </cell>
          <cell r="H43">
            <v>313.653951957424</v>
          </cell>
          <cell r="I43">
            <v>290.04099701076501</v>
          </cell>
          <cell r="J43">
            <v>238.87118455821599</v>
          </cell>
          <cell r="K43">
            <v>309.11297334073896</v>
          </cell>
          <cell r="L43">
            <v>310.32314830023</v>
          </cell>
          <cell r="M43">
            <v>308.01678123035703</v>
          </cell>
          <cell r="N43">
            <v>293.92965148183498</v>
          </cell>
          <cell r="O43">
            <v>3500.3124447484261</v>
          </cell>
        </row>
        <row r="44">
          <cell r="B44" t="str">
            <v>2005 R1</v>
          </cell>
          <cell r="C44">
            <v>268.32472808178898</v>
          </cell>
          <cell r="D44">
            <v>270.107369807758</v>
          </cell>
          <cell r="E44">
            <v>309.72332570631903</v>
          </cell>
          <cell r="F44">
            <v>290.52600000000001</v>
          </cell>
          <cell r="G44">
            <v>284.48500000000001</v>
          </cell>
          <cell r="H44">
            <v>320.58</v>
          </cell>
          <cell r="I44">
            <v>284.983</v>
          </cell>
          <cell r="J44">
            <v>235.93199999999999</v>
          </cell>
          <cell r="K44">
            <v>306.14800000000002</v>
          </cell>
          <cell r="L44">
            <v>308.58199999999999</v>
          </cell>
          <cell r="M44">
            <v>307.50200000000001</v>
          </cell>
          <cell r="N44">
            <v>292.44600000000003</v>
          </cell>
          <cell r="O44">
            <v>3479.3394235958658</v>
          </cell>
        </row>
        <row r="45">
          <cell r="B45" t="str">
            <v>2006 Budget</v>
          </cell>
          <cell r="C45">
            <v>294.09883478764601</v>
          </cell>
          <cell r="D45">
            <v>292.574025943474</v>
          </cell>
          <cell r="E45">
            <v>332.95346902347001</v>
          </cell>
          <cell r="F45">
            <v>301.070177055795</v>
          </cell>
          <cell r="G45">
            <v>309.34881910831103</v>
          </cell>
          <cell r="H45">
            <v>340.023288580192</v>
          </cell>
          <cell r="I45">
            <v>312.13923389474002</v>
          </cell>
          <cell r="J45">
            <v>266.53908299243898</v>
          </cell>
          <cell r="K45">
            <v>329.96944729843602</v>
          </cell>
          <cell r="L45">
            <v>343.55062432282801</v>
          </cell>
          <cell r="M45">
            <v>343.17649886219601</v>
          </cell>
          <cell r="N45">
            <v>308.142038528635</v>
          </cell>
          <cell r="O45">
            <v>3773.5855403981618</v>
          </cell>
        </row>
        <row r="46">
          <cell r="B46" t="str">
            <v>2006 R1</v>
          </cell>
          <cell r="C46">
            <v>301.49880889463304</v>
          </cell>
          <cell r="D46">
            <v>295.72254729967398</v>
          </cell>
          <cell r="E46">
            <v>341.23347491781902</v>
          </cell>
          <cell r="F46">
            <v>290.88600000000002</v>
          </cell>
          <cell r="G46">
            <v>303.40699999999998</v>
          </cell>
          <cell r="H46">
            <v>332.62900000000002</v>
          </cell>
          <cell r="I46">
            <v>308.62200000000001</v>
          </cell>
          <cell r="J46">
            <v>262.68</v>
          </cell>
          <cell r="K46">
            <v>326.44099999999997</v>
          </cell>
          <cell r="L46">
            <v>340.61</v>
          </cell>
          <cell r="M46">
            <v>349.505</v>
          </cell>
          <cell r="N46">
            <v>311.71899999999999</v>
          </cell>
          <cell r="O46">
            <v>3764.9538311121255</v>
          </cell>
        </row>
        <row r="47">
          <cell r="B47">
            <v>2006</v>
          </cell>
          <cell r="C47">
            <v>301.49880889463304</v>
          </cell>
          <cell r="D47">
            <v>295.72254729967398</v>
          </cell>
          <cell r="E47">
            <v>341.23347491781902</v>
          </cell>
          <cell r="F47">
            <v>292.51059608981291</v>
          </cell>
          <cell r="G47">
            <v>320.339</v>
          </cell>
          <cell r="H47">
            <v>336.05099999999999</v>
          </cell>
          <cell r="I47">
            <v>306.553</v>
          </cell>
          <cell r="J47">
            <v>265.47300000000001</v>
          </cell>
          <cell r="K47">
            <v>326.32436878741998</v>
          </cell>
          <cell r="L47">
            <v>339.60555628812034</v>
          </cell>
          <cell r="M47">
            <v>343.45577119352998</v>
          </cell>
          <cell r="N47">
            <v>316.01100000000002</v>
          </cell>
          <cell r="O47">
            <v>3784.7781234710087</v>
          </cell>
        </row>
        <row r="48">
          <cell r="B48" t="str">
            <v>2007 Budget</v>
          </cell>
          <cell r="C48">
            <v>312.61399999999998</v>
          </cell>
          <cell r="D48">
            <v>308.77999999999997</v>
          </cell>
          <cell r="E48">
            <v>341.53800000000001</v>
          </cell>
          <cell r="F48">
            <v>319.14100000000002</v>
          </cell>
          <cell r="G48">
            <v>325.197</v>
          </cell>
          <cell r="H48">
            <v>349.673</v>
          </cell>
          <cell r="I48">
            <v>342.18400000000003</v>
          </cell>
          <cell r="J48">
            <v>284.11900000000003</v>
          </cell>
          <cell r="K48">
            <v>334.75700000000001</v>
          </cell>
          <cell r="L48">
            <v>363.86799999999999</v>
          </cell>
          <cell r="M48">
            <v>360.221</v>
          </cell>
          <cell r="N48">
            <v>323.01</v>
          </cell>
          <cell r="O48">
            <v>3965.1019999999999</v>
          </cell>
        </row>
        <row r="49">
          <cell r="B49" t="str">
            <v>2007 P1</v>
          </cell>
          <cell r="C49">
            <v>315.49470093912703</v>
          </cell>
          <cell r="D49">
            <v>314.44872808293201</v>
          </cell>
          <cell r="E49">
            <v>344.17712710247997</v>
          </cell>
          <cell r="F49">
            <v>312.51629533536698</v>
          </cell>
          <cell r="G49">
            <v>316.947490321857</v>
          </cell>
          <cell r="H49">
            <v>339.13027340799499</v>
          </cell>
          <cell r="I49">
            <v>336.15358072323801</v>
          </cell>
          <cell r="J49">
            <v>276.21109884002698</v>
          </cell>
          <cell r="K49">
            <v>330.53757509949401</v>
          </cell>
          <cell r="L49">
            <v>363.55561263492098</v>
          </cell>
          <cell r="M49">
            <v>356.60732774041099</v>
          </cell>
          <cell r="N49">
            <v>327.05124814516398</v>
          </cell>
          <cell r="O49">
            <v>3932.8310583730126</v>
          </cell>
        </row>
        <row r="50">
          <cell r="B50" t="str">
            <v>2007 (Geodis hors TFM-Wilson)</v>
          </cell>
          <cell r="C50">
            <v>315.495</v>
          </cell>
          <cell r="D50">
            <v>314.44872808293201</v>
          </cell>
          <cell r="E50">
            <v>344.17712710248111</v>
          </cell>
          <cell r="F50">
            <v>313.2624792697099</v>
          </cell>
          <cell r="G50">
            <v>325.19764782548998</v>
          </cell>
          <cell r="H50">
            <v>346.57065872993019</v>
          </cell>
          <cell r="I50">
            <v>342.32900000000001</v>
          </cell>
          <cell r="J50">
            <v>287.12099189832111</v>
          </cell>
          <cell r="K50">
            <v>333.16340495610518</v>
          </cell>
          <cell r="L50">
            <v>383.75488494751374</v>
          </cell>
          <cell r="M50">
            <v>364.79613067206344</v>
          </cell>
          <cell r="N50">
            <v>320.0115792328159</v>
          </cell>
          <cell r="O50">
            <v>3990.327632717363</v>
          </cell>
        </row>
        <row r="52">
          <cell r="B52" t="str">
            <v>Rappel du nombre de jours</v>
          </cell>
        </row>
        <row r="54">
          <cell r="B54" t="str">
            <v>Détail Mensuel</v>
          </cell>
          <cell r="C54" t="str">
            <v>Janvier</v>
          </cell>
          <cell r="D54" t="str">
            <v>Février</v>
          </cell>
          <cell r="E54" t="str">
            <v>Mars</v>
          </cell>
          <cell r="F54" t="str">
            <v>Avril</v>
          </cell>
          <cell r="G54" t="str">
            <v>Mai</v>
          </cell>
          <cell r="H54" t="str">
            <v>Juin</v>
          </cell>
          <cell r="I54" t="str">
            <v>Juillet</v>
          </cell>
          <cell r="J54" t="str">
            <v>Août</v>
          </cell>
          <cell r="K54" t="str">
            <v>Sept.</v>
          </cell>
          <cell r="L54" t="str">
            <v>Oct.</v>
          </cell>
          <cell r="M54" t="str">
            <v>Nov.</v>
          </cell>
          <cell r="N54" t="str">
            <v>Déc.</v>
          </cell>
          <cell r="O54" t="str">
            <v>Annuel</v>
          </cell>
        </row>
        <row r="55">
          <cell r="B55">
            <v>2003</v>
          </cell>
          <cell r="C55">
            <v>250.55</v>
          </cell>
          <cell r="D55">
            <v>257.57900000000001</v>
          </cell>
          <cell r="E55">
            <v>275.38900000000001</v>
          </cell>
          <cell r="F55">
            <v>273.48399999999998</v>
          </cell>
          <cell r="G55">
            <v>256.51600000000002</v>
          </cell>
          <cell r="H55">
            <v>274.19499999999999</v>
          </cell>
          <cell r="I55">
            <v>280.08499999999998</v>
          </cell>
          <cell r="J55">
            <v>207.59</v>
          </cell>
          <cell r="K55">
            <v>286.91800000000001</v>
          </cell>
          <cell r="L55">
            <v>303.26600000000002</v>
          </cell>
          <cell r="M55">
            <v>270.101</v>
          </cell>
          <cell r="N55">
            <v>279.82600000000002</v>
          </cell>
        </row>
        <row r="56">
          <cell r="B56">
            <v>2004</v>
          </cell>
          <cell r="C56">
            <v>21</v>
          </cell>
          <cell r="D56">
            <v>20</v>
          </cell>
          <cell r="E56">
            <v>23</v>
          </cell>
          <cell r="F56">
            <v>21</v>
          </cell>
          <cell r="G56">
            <v>19</v>
          </cell>
          <cell r="H56">
            <v>22</v>
          </cell>
          <cell r="I56">
            <v>21</v>
          </cell>
          <cell r="J56">
            <v>22</v>
          </cell>
          <cell r="K56">
            <v>22</v>
          </cell>
          <cell r="L56">
            <v>21</v>
          </cell>
          <cell r="M56">
            <v>20</v>
          </cell>
          <cell r="N56">
            <v>23</v>
          </cell>
          <cell r="O56">
            <v>255</v>
          </cell>
        </row>
        <row r="57">
          <cell r="B57">
            <v>2005</v>
          </cell>
          <cell r="C57">
            <v>21</v>
          </cell>
          <cell r="D57">
            <v>20</v>
          </cell>
          <cell r="E57">
            <v>22</v>
          </cell>
          <cell r="F57">
            <v>21</v>
          </cell>
          <cell r="G57">
            <v>21</v>
          </cell>
          <cell r="H57">
            <v>22</v>
          </cell>
          <cell r="I57">
            <v>20</v>
          </cell>
          <cell r="J57">
            <v>22</v>
          </cell>
          <cell r="K57">
            <v>22</v>
          </cell>
          <cell r="L57">
            <v>21</v>
          </cell>
          <cell r="M57">
            <v>20</v>
          </cell>
          <cell r="N57">
            <v>22</v>
          </cell>
          <cell r="O57">
            <v>254</v>
          </cell>
        </row>
        <row r="58">
          <cell r="B58">
            <v>2006</v>
          </cell>
          <cell r="C58">
            <v>22</v>
          </cell>
          <cell r="D58">
            <v>20</v>
          </cell>
          <cell r="E58">
            <v>23</v>
          </cell>
          <cell r="F58">
            <v>19</v>
          </cell>
          <cell r="G58">
            <v>20</v>
          </cell>
          <cell r="H58">
            <v>21</v>
          </cell>
          <cell r="I58">
            <v>20</v>
          </cell>
          <cell r="J58">
            <v>22</v>
          </cell>
          <cell r="K58">
            <v>21</v>
          </cell>
          <cell r="L58">
            <v>22</v>
          </cell>
          <cell r="M58">
            <v>21</v>
          </cell>
          <cell r="N58">
            <v>20</v>
          </cell>
          <cell r="O58">
            <v>251</v>
          </cell>
        </row>
        <row r="59">
          <cell r="B59">
            <v>2007</v>
          </cell>
          <cell r="C59">
            <v>22</v>
          </cell>
          <cell r="D59">
            <v>20</v>
          </cell>
          <cell r="E59">
            <v>22</v>
          </cell>
          <cell r="F59">
            <v>20</v>
          </cell>
          <cell r="G59">
            <v>19</v>
          </cell>
          <cell r="H59">
            <v>21</v>
          </cell>
          <cell r="I59">
            <v>22</v>
          </cell>
          <cell r="J59">
            <v>22</v>
          </cell>
          <cell r="K59">
            <v>20</v>
          </cell>
          <cell r="L59">
            <v>23</v>
          </cell>
          <cell r="M59">
            <v>21</v>
          </cell>
          <cell r="N59">
            <v>20</v>
          </cell>
          <cell r="O59">
            <v>252</v>
          </cell>
        </row>
        <row r="60">
          <cell r="B60" t="str">
            <v>Var. Nbre de jours N/N-1</v>
          </cell>
          <cell r="C60">
            <v>0</v>
          </cell>
          <cell r="D60">
            <v>0</v>
          </cell>
          <cell r="E60">
            <v>-1</v>
          </cell>
          <cell r="F60">
            <v>1</v>
          </cell>
          <cell r="G60">
            <v>-1</v>
          </cell>
          <cell r="H60">
            <v>0</v>
          </cell>
          <cell r="I60">
            <v>2</v>
          </cell>
          <cell r="J60">
            <v>0</v>
          </cell>
          <cell r="K60">
            <v>-1</v>
          </cell>
          <cell r="L60">
            <v>1</v>
          </cell>
          <cell r="M60">
            <v>0</v>
          </cell>
          <cell r="N60">
            <v>0</v>
          </cell>
          <cell r="O60">
            <v>1</v>
          </cell>
        </row>
      </sheetData>
      <sheetData sheetId="160"/>
      <sheetData sheetId="161"/>
      <sheetData sheetId="162"/>
      <sheetData sheetId="163"/>
      <sheetData sheetId="164"/>
      <sheetData sheetId="165"/>
      <sheetData sheetId="166"/>
      <sheetData sheetId="167"/>
      <sheetData sheetId="168"/>
      <sheetData sheetId="169"/>
      <sheetData sheetId="170"/>
      <sheetData sheetId="171" refreshError="1">
        <row r="12">
          <cell r="B12" t="str">
            <v>en M€</v>
          </cell>
        </row>
        <row r="40">
          <cell r="B40" t="str">
            <v>En M€</v>
          </cell>
          <cell r="C40" t="str">
            <v>Janvier</v>
          </cell>
          <cell r="D40" t="str">
            <v>Février</v>
          </cell>
          <cell r="E40" t="str">
            <v>Mars</v>
          </cell>
          <cell r="F40" t="str">
            <v>Avril</v>
          </cell>
          <cell r="G40" t="str">
            <v>Mai</v>
          </cell>
          <cell r="H40" t="str">
            <v>Juin</v>
          </cell>
          <cell r="I40" t="str">
            <v>Juillet</v>
          </cell>
          <cell r="J40" t="str">
            <v>Août</v>
          </cell>
          <cell r="K40" t="str">
            <v>Sept.</v>
          </cell>
          <cell r="L40" t="str">
            <v>Oct.</v>
          </cell>
          <cell r="M40" t="str">
            <v>Nov.</v>
          </cell>
          <cell r="N40" t="str">
            <v>Déc.</v>
          </cell>
          <cell r="O40" t="str">
            <v>Annuel</v>
          </cell>
        </row>
        <row r="41">
          <cell r="B41">
            <v>2003</v>
          </cell>
          <cell r="C41">
            <v>250.55</v>
          </cell>
          <cell r="D41">
            <v>257.57900000000001</v>
          </cell>
          <cell r="E41">
            <v>275.38900000000001</v>
          </cell>
          <cell r="F41">
            <v>273.48399999999998</v>
          </cell>
          <cell r="G41">
            <v>256.51600000000002</v>
          </cell>
          <cell r="H41">
            <v>274.19499999999999</v>
          </cell>
          <cell r="I41">
            <v>280.08499999999998</v>
          </cell>
          <cell r="J41">
            <v>207.59</v>
          </cell>
          <cell r="K41">
            <v>286.91800000000001</v>
          </cell>
          <cell r="L41">
            <v>303.26600000000002</v>
          </cell>
          <cell r="M41">
            <v>270.101</v>
          </cell>
          <cell r="N41">
            <v>279.82600000000002</v>
          </cell>
        </row>
        <row r="42">
          <cell r="B42">
            <v>2005</v>
          </cell>
          <cell r="C42">
            <v>268.32</v>
          </cell>
          <cell r="D42">
            <v>270.10700000000003</v>
          </cell>
          <cell r="E42">
            <v>309.72300000000001</v>
          </cell>
          <cell r="F42">
            <v>296.82499999999999</v>
          </cell>
          <cell r="G42">
            <v>290.80700000000002</v>
          </cell>
          <cell r="H42">
            <v>323.375</v>
          </cell>
          <cell r="I42">
            <v>289.82900000000001</v>
          </cell>
          <cell r="J42">
            <v>255.1</v>
          </cell>
          <cell r="K42">
            <v>321.358</v>
          </cell>
          <cell r="L42">
            <v>320.60000000000002</v>
          </cell>
          <cell r="M42">
            <v>329.49</v>
          </cell>
          <cell r="N42">
            <v>320.21300000000002</v>
          </cell>
          <cell r="O42">
            <v>3595.7470000000008</v>
          </cell>
        </row>
        <row r="43">
          <cell r="B43" t="str">
            <v>2005 Budget</v>
          </cell>
          <cell r="C43">
            <v>270.83827335816596</v>
          </cell>
          <cell r="D43">
            <v>278.29089089625</v>
          </cell>
          <cell r="E43">
            <v>309.33230639005302</v>
          </cell>
          <cell r="F43">
            <v>291.787130887628</v>
          </cell>
          <cell r="G43">
            <v>286.115155336763</v>
          </cell>
          <cell r="H43">
            <v>313.653951957424</v>
          </cell>
          <cell r="I43">
            <v>290.04099701076501</v>
          </cell>
          <cell r="J43">
            <v>238.87118455821599</v>
          </cell>
          <cell r="K43">
            <v>309.11297334073896</v>
          </cell>
          <cell r="L43">
            <v>310.32314830023</v>
          </cell>
          <cell r="M43">
            <v>308.01678123035703</v>
          </cell>
          <cell r="N43">
            <v>293.92965148183498</v>
          </cell>
          <cell r="O43">
            <v>3500.3124447484261</v>
          </cell>
        </row>
        <row r="44">
          <cell r="B44" t="str">
            <v>2005 R1</v>
          </cell>
          <cell r="C44">
            <v>268.32472808178898</v>
          </cell>
          <cell r="D44">
            <v>270.107369807758</v>
          </cell>
          <cell r="E44">
            <v>309.72332570631903</v>
          </cell>
          <cell r="F44">
            <v>290.52600000000001</v>
          </cell>
          <cell r="G44">
            <v>284.48500000000001</v>
          </cell>
          <cell r="H44">
            <v>320.58</v>
          </cell>
          <cell r="I44">
            <v>284.983</v>
          </cell>
          <cell r="J44">
            <v>235.93199999999999</v>
          </cell>
          <cell r="K44">
            <v>306.14800000000002</v>
          </cell>
          <cell r="L44">
            <v>308.58199999999999</v>
          </cell>
          <cell r="M44">
            <v>307.50200000000001</v>
          </cell>
          <cell r="N44">
            <v>292.44600000000003</v>
          </cell>
          <cell r="O44">
            <v>3479.3394235958658</v>
          </cell>
        </row>
        <row r="45">
          <cell r="B45" t="str">
            <v>2006 Budget</v>
          </cell>
          <cell r="C45">
            <v>294.09883478764601</v>
          </cell>
          <cell r="D45">
            <v>292.574025943474</v>
          </cell>
          <cell r="E45">
            <v>332.95346902347001</v>
          </cell>
          <cell r="F45">
            <v>301.070177055795</v>
          </cell>
          <cell r="G45">
            <v>309.34881910831103</v>
          </cell>
          <cell r="H45">
            <v>340.023288580192</v>
          </cell>
          <cell r="I45">
            <v>312.13923389474002</v>
          </cell>
          <cell r="J45">
            <v>266.53908299243898</v>
          </cell>
          <cell r="K45">
            <v>329.96944729843602</v>
          </cell>
          <cell r="L45">
            <v>343.55062432282801</v>
          </cell>
          <cell r="M45">
            <v>343.17649886219601</v>
          </cell>
          <cell r="N45">
            <v>308.142038528635</v>
          </cell>
          <cell r="O45">
            <v>3773.5855403981618</v>
          </cell>
        </row>
        <row r="46">
          <cell r="B46" t="str">
            <v>2006 R1</v>
          </cell>
          <cell r="C46">
            <v>301.49880889463304</v>
          </cell>
          <cell r="D46">
            <v>295.72254729967398</v>
          </cell>
          <cell r="E46">
            <v>341.23347491781902</v>
          </cell>
          <cell r="F46">
            <v>290.88600000000002</v>
          </cell>
          <cell r="G46">
            <v>303.40699999999998</v>
          </cell>
          <cell r="H46">
            <v>332.62900000000002</v>
          </cell>
          <cell r="I46">
            <v>308.62200000000001</v>
          </cell>
          <cell r="J46">
            <v>262.68</v>
          </cell>
          <cell r="K46">
            <v>326.44099999999997</v>
          </cell>
          <cell r="L46">
            <v>340.61</v>
          </cell>
          <cell r="M46">
            <v>349.505</v>
          </cell>
          <cell r="N46">
            <v>311.71899999999999</v>
          </cell>
          <cell r="O46">
            <v>3764.9538311121255</v>
          </cell>
        </row>
        <row r="47">
          <cell r="B47">
            <v>2006</v>
          </cell>
          <cell r="C47">
            <v>301.49880889463304</v>
          </cell>
          <cell r="D47">
            <v>295.72254729967398</v>
          </cell>
          <cell r="E47">
            <v>341.23347491781902</v>
          </cell>
          <cell r="F47">
            <v>292.51059608981291</v>
          </cell>
          <cell r="G47">
            <v>320.339</v>
          </cell>
          <cell r="H47">
            <v>336.05099999999999</v>
          </cell>
          <cell r="I47">
            <v>306.553</v>
          </cell>
          <cell r="J47">
            <v>265.47300000000001</v>
          </cell>
          <cell r="K47">
            <v>326.32436878741998</v>
          </cell>
          <cell r="L47">
            <v>339.60555628812034</v>
          </cell>
          <cell r="M47">
            <v>343.45577119352998</v>
          </cell>
          <cell r="N47">
            <v>316.01100000000002</v>
          </cell>
          <cell r="O47">
            <v>3784.7781234710087</v>
          </cell>
        </row>
        <row r="48">
          <cell r="B48" t="str">
            <v>2007 Budget</v>
          </cell>
          <cell r="C48">
            <v>312.61399999999998</v>
          </cell>
          <cell r="D48">
            <v>308.77999999999997</v>
          </cell>
          <cell r="E48">
            <v>341.53800000000001</v>
          </cell>
          <cell r="F48">
            <v>319.14100000000002</v>
          </cell>
          <cell r="G48">
            <v>325.197</v>
          </cell>
          <cell r="H48">
            <v>349.673</v>
          </cell>
          <cell r="I48">
            <v>342.18400000000003</v>
          </cell>
          <cell r="J48">
            <v>284.11900000000003</v>
          </cell>
          <cell r="K48">
            <v>334.75700000000001</v>
          </cell>
          <cell r="L48">
            <v>363.86799999999999</v>
          </cell>
          <cell r="M48">
            <v>360.221</v>
          </cell>
          <cell r="N48">
            <v>323.01</v>
          </cell>
          <cell r="O48">
            <v>3965.1019999999999</v>
          </cell>
        </row>
        <row r="49">
          <cell r="B49" t="str">
            <v>2007 P1 (hors TFM)</v>
          </cell>
          <cell r="C49">
            <v>315.49470093912703</v>
          </cell>
          <cell r="D49">
            <v>314.44872808293201</v>
          </cell>
          <cell r="E49">
            <v>344.17712710247997</v>
          </cell>
          <cell r="F49">
            <v>312.51629533536698</v>
          </cell>
          <cell r="G49">
            <v>316.947490321857</v>
          </cell>
          <cell r="H49">
            <v>339.13027340799499</v>
          </cell>
          <cell r="I49">
            <v>336.15358072323801</v>
          </cell>
          <cell r="J49">
            <v>276.21109884002698</v>
          </cell>
          <cell r="K49">
            <v>330.53757509949401</v>
          </cell>
          <cell r="L49">
            <v>363.55561263492098</v>
          </cell>
          <cell r="M49">
            <v>356.60732774041099</v>
          </cell>
          <cell r="N49">
            <v>327.05124814516398</v>
          </cell>
          <cell r="O49">
            <v>3932.8310583730126</v>
          </cell>
        </row>
        <row r="50">
          <cell r="B50" t="str">
            <v>2007 P1 (Groupe Geodis)</v>
          </cell>
          <cell r="C50">
            <v>315.49470093912703</v>
          </cell>
          <cell r="D50">
            <v>373.39586721295603</v>
          </cell>
          <cell r="E50">
            <v>418.04914062410398</v>
          </cell>
          <cell r="F50">
            <v>380.189187844907</v>
          </cell>
          <cell r="G50">
            <v>395.91117133384301</v>
          </cell>
          <cell r="H50">
            <v>418.81275076723097</v>
          </cell>
          <cell r="I50">
            <v>416.40494539685795</v>
          </cell>
          <cell r="J50">
            <v>356.97597761685597</v>
          </cell>
          <cell r="K50">
            <v>415.98044840175697</v>
          </cell>
          <cell r="L50">
            <v>452.64913952584499</v>
          </cell>
          <cell r="M50">
            <v>445.87621055545304</v>
          </cell>
          <cell r="N50">
            <v>411.900607313401</v>
          </cell>
          <cell r="O50">
            <v>4801.6401475323382</v>
          </cell>
        </row>
        <row r="51">
          <cell r="B51" t="str">
            <v>2007 (Geodis hors TFM-Wilson)</v>
          </cell>
          <cell r="C51">
            <v>315.495</v>
          </cell>
          <cell r="D51">
            <v>314.44872808293201</v>
          </cell>
          <cell r="E51">
            <v>344.17712710248111</v>
          </cell>
          <cell r="F51">
            <v>313.2624792697099</v>
          </cell>
          <cell r="G51">
            <v>325.19764782548998</v>
          </cell>
          <cell r="H51">
            <v>346.57065872993019</v>
          </cell>
          <cell r="I51">
            <v>342.32900000000001</v>
          </cell>
          <cell r="J51">
            <v>287.12099189832111</v>
          </cell>
          <cell r="K51">
            <v>333.16340495610518</v>
          </cell>
          <cell r="L51">
            <v>383.75488494751374</v>
          </cell>
          <cell r="M51">
            <v>364.79613067206344</v>
          </cell>
          <cell r="N51">
            <v>320.0115792328159</v>
          </cell>
          <cell r="O51">
            <v>3990.327632717363</v>
          </cell>
        </row>
        <row r="52">
          <cell r="B52" t="str">
            <v>2007 R3 (Groupe Geodis)</v>
          </cell>
          <cell r="C52">
            <v>315.495</v>
          </cell>
          <cell r="D52">
            <v>373.39586721295603</v>
          </cell>
          <cell r="E52">
            <v>418.04914062410592</v>
          </cell>
          <cell r="F52">
            <v>380.59170256804998</v>
          </cell>
          <cell r="G52">
            <v>398.35707205504013</v>
          </cell>
          <cell r="H52">
            <v>418.36699956500973</v>
          </cell>
          <cell r="I52">
            <v>416.30399999999997</v>
          </cell>
          <cell r="J52">
            <v>358.47339822105971</v>
          </cell>
          <cell r="K52">
            <v>407.60082645966997</v>
          </cell>
          <cell r="L52">
            <v>462.36636930696017</v>
          </cell>
          <cell r="M52">
            <v>424.36</v>
          </cell>
          <cell r="N52">
            <v>389.77</v>
          </cell>
          <cell r="O52">
            <v>4763.1303760128521</v>
          </cell>
        </row>
        <row r="53">
          <cell r="B53">
            <v>2007</v>
          </cell>
          <cell r="C53">
            <v>315.495</v>
          </cell>
          <cell r="D53">
            <v>373.39586721295603</v>
          </cell>
          <cell r="E53">
            <v>418.04914062410592</v>
          </cell>
          <cell r="F53">
            <v>380.59170256804998</v>
          </cell>
          <cell r="G53">
            <v>398.35707205504013</v>
          </cell>
          <cell r="H53">
            <v>418.36699956500973</v>
          </cell>
          <cell r="I53">
            <v>416.30399999999997</v>
          </cell>
          <cell r="J53">
            <v>358.47339822105971</v>
          </cell>
          <cell r="K53">
            <v>407.60082645966997</v>
          </cell>
          <cell r="L53">
            <v>462.36636930696017</v>
          </cell>
          <cell r="M53">
            <v>441.38751636740983</v>
          </cell>
          <cell r="N53">
            <v>391.76089155182058</v>
          </cell>
          <cell r="O53">
            <v>4782.1487839320816</v>
          </cell>
        </row>
        <row r="54">
          <cell r="B54" t="str">
            <v>Bud. 2008 (Groupe Hors R&amp;L)</v>
          </cell>
          <cell r="C54">
            <v>407.26640285368399</v>
          </cell>
          <cell r="D54">
            <v>412.60696241611203</v>
          </cell>
          <cell r="E54">
            <v>423.55136327911401</v>
          </cell>
          <cell r="F54">
            <v>438.03627476746402</v>
          </cell>
          <cell r="G54">
            <v>427.744493596692</v>
          </cell>
          <cell r="H54">
            <v>454.59453170663397</v>
          </cell>
          <cell r="I54">
            <v>447.85302399108303</v>
          </cell>
          <cell r="J54">
            <v>377.15428598979804</v>
          </cell>
          <cell r="K54">
            <v>460.52505569710797</v>
          </cell>
          <cell r="L54">
            <v>481.721865272142</v>
          </cell>
          <cell r="M54">
            <v>450.93331249495799</v>
          </cell>
          <cell r="N54">
            <v>440.477418626835</v>
          </cell>
          <cell r="O54">
            <v>5222.4649906916238</v>
          </cell>
        </row>
        <row r="55">
          <cell r="B55" t="str">
            <v>Budget 2008 (Groupe yc R&amp;L)</v>
          </cell>
          <cell r="C55">
            <v>407.26640285368399</v>
          </cell>
          <cell r="D55">
            <v>412.60696241611203</v>
          </cell>
          <cell r="E55">
            <v>480.14036327911401</v>
          </cell>
          <cell r="F55">
            <v>460.20727476746401</v>
          </cell>
          <cell r="G55">
            <v>451.53349359669198</v>
          </cell>
          <cell r="H55">
            <v>477.43953170663394</v>
          </cell>
          <cell r="I55">
            <v>471.58802399108305</v>
          </cell>
          <cell r="J55">
            <v>403.12028598979805</v>
          </cell>
          <cell r="K55">
            <v>485.67005569710801</v>
          </cell>
          <cell r="L55">
            <v>508.47986527214198</v>
          </cell>
          <cell r="M55">
            <v>477.85031249495796</v>
          </cell>
          <cell r="N55">
            <v>463.46441862683503</v>
          </cell>
          <cell r="O55">
            <v>5499.3669906916248</v>
          </cell>
        </row>
        <row r="56">
          <cell r="B56" t="str">
            <v>P1 2008 (Groupe yc R&amp;L)</v>
          </cell>
          <cell r="C56">
            <v>422.11689501008698</v>
          </cell>
          <cell r="D56">
            <v>409.14951868743503</v>
          </cell>
          <cell r="E56">
            <v>466.79915638046896</v>
          </cell>
          <cell r="F56">
            <v>447.60162694734703</v>
          </cell>
          <cell r="G56">
            <v>441.1</v>
          </cell>
          <cell r="H56">
            <v>468.1</v>
          </cell>
          <cell r="I56">
            <v>468.3</v>
          </cell>
          <cell r="J56">
            <v>395.7</v>
          </cell>
          <cell r="K56">
            <v>484.4</v>
          </cell>
          <cell r="L56">
            <v>505.78</v>
          </cell>
          <cell r="M56">
            <v>470.2</v>
          </cell>
          <cell r="N56">
            <v>458.2</v>
          </cell>
          <cell r="O56">
            <v>5437.447197025338</v>
          </cell>
        </row>
        <row r="57">
          <cell r="B57" t="str">
            <v>2008 hors Espagne</v>
          </cell>
          <cell r="C57">
            <v>415.86689501008698</v>
          </cell>
          <cell r="D57">
            <v>402.45351868743501</v>
          </cell>
          <cell r="E57">
            <v>461.22315638046899</v>
          </cell>
          <cell r="F57">
            <v>432.24957801869499</v>
          </cell>
          <cell r="G57">
            <v>423.32041093314598</v>
          </cell>
          <cell r="H57">
            <v>437.97522334077701</v>
          </cell>
          <cell r="I57">
            <v>460.87799419690703</v>
          </cell>
          <cell r="J57">
            <v>389.16532632333201</v>
          </cell>
          <cell r="K57">
            <v>461.37010097948701</v>
          </cell>
          <cell r="L57">
            <v>469.93745633324801</v>
          </cell>
          <cell r="M57">
            <v>419.54181093143097</v>
          </cell>
          <cell r="N57">
            <v>369.37948380737402</v>
          </cell>
          <cell r="O57">
            <v>5143.3609549423873</v>
          </cell>
        </row>
        <row r="58">
          <cell r="B58" t="str">
            <v>Budget 2009 hors Espagne</v>
          </cell>
          <cell r="C58">
            <v>416.37349982900997</v>
          </cell>
          <cell r="D58">
            <v>412.08156454294698</v>
          </cell>
          <cell r="E58">
            <v>452.17706678311902</v>
          </cell>
          <cell r="F58">
            <v>509.57471919511897</v>
          </cell>
          <cell r="G58">
            <v>488.34166845082899</v>
          </cell>
          <cell r="H58">
            <v>526.08457862644104</v>
          </cell>
          <cell r="I58">
            <v>531.15601679378801</v>
          </cell>
          <cell r="J58">
            <v>452.20919520922001</v>
          </cell>
          <cell r="K58">
            <v>529.30681747355902</v>
          </cell>
          <cell r="L58">
            <v>546.20966188061402</v>
          </cell>
          <cell r="M58">
            <v>532.66115508691996</v>
          </cell>
          <cell r="N58">
            <v>508.14916299664998</v>
          </cell>
          <cell r="O58">
            <v>5904.3251068682157</v>
          </cell>
        </row>
        <row r="59">
          <cell r="B59" t="str">
            <v>2009 hors Espagne</v>
          </cell>
          <cell r="C59">
            <v>354.28128489894499</v>
          </cell>
          <cell r="D59">
            <v>345.05099999999999</v>
          </cell>
          <cell r="E59">
            <v>366.20536522891399</v>
          </cell>
          <cell r="F59" t="e">
            <v>#VALUE!</v>
          </cell>
          <cell r="G59" t="e">
            <v>#VALUE!</v>
          </cell>
          <cell r="O59" t="e">
            <v>#VALUE!</v>
          </cell>
        </row>
        <row r="61">
          <cell r="B61" t="str">
            <v>Rappel du nombre de jours</v>
          </cell>
        </row>
        <row r="63">
          <cell r="B63" t="str">
            <v>Détail Mensuel</v>
          </cell>
          <cell r="C63" t="str">
            <v>Janvier</v>
          </cell>
          <cell r="D63" t="str">
            <v>Février</v>
          </cell>
          <cell r="E63" t="str">
            <v>Mars</v>
          </cell>
          <cell r="F63" t="str">
            <v>Avril</v>
          </cell>
          <cell r="G63" t="str">
            <v>Mai</v>
          </cell>
          <cell r="H63" t="str">
            <v>Juin</v>
          </cell>
          <cell r="I63" t="str">
            <v>Juillet</v>
          </cell>
          <cell r="J63" t="str">
            <v>Août</v>
          </cell>
          <cell r="K63" t="str">
            <v>Sept.</v>
          </cell>
          <cell r="L63" t="str">
            <v>Oct.</v>
          </cell>
          <cell r="M63" t="str">
            <v>Nov.</v>
          </cell>
          <cell r="N63" t="str">
            <v>Déc.</v>
          </cell>
          <cell r="O63" t="str">
            <v>Annuel</v>
          </cell>
        </row>
        <row r="64">
          <cell r="B64">
            <v>2004</v>
          </cell>
          <cell r="C64">
            <v>21</v>
          </cell>
          <cell r="D64">
            <v>20</v>
          </cell>
          <cell r="E64">
            <v>23</v>
          </cell>
          <cell r="F64">
            <v>21</v>
          </cell>
          <cell r="G64">
            <v>19</v>
          </cell>
          <cell r="H64">
            <v>22</v>
          </cell>
          <cell r="I64">
            <v>21</v>
          </cell>
          <cell r="J64">
            <v>22</v>
          </cell>
          <cell r="K64">
            <v>22</v>
          </cell>
          <cell r="L64">
            <v>21</v>
          </cell>
          <cell r="M64">
            <v>20</v>
          </cell>
          <cell r="N64">
            <v>23</v>
          </cell>
          <cell r="O64">
            <v>255</v>
          </cell>
        </row>
        <row r="65">
          <cell r="B65">
            <v>2005</v>
          </cell>
          <cell r="C65">
            <v>21</v>
          </cell>
          <cell r="D65">
            <v>20</v>
          </cell>
          <cell r="E65">
            <v>22</v>
          </cell>
          <cell r="F65">
            <v>21</v>
          </cell>
          <cell r="G65">
            <v>21</v>
          </cell>
          <cell r="H65">
            <v>22</v>
          </cell>
          <cell r="I65">
            <v>20</v>
          </cell>
          <cell r="J65">
            <v>22</v>
          </cell>
          <cell r="K65">
            <v>22</v>
          </cell>
          <cell r="L65">
            <v>21</v>
          </cell>
          <cell r="M65">
            <v>20</v>
          </cell>
          <cell r="N65">
            <v>22</v>
          </cell>
          <cell r="O65">
            <v>254</v>
          </cell>
        </row>
        <row r="66">
          <cell r="B66">
            <v>2006</v>
          </cell>
          <cell r="C66">
            <v>22</v>
          </cell>
          <cell r="D66">
            <v>20</v>
          </cell>
          <cell r="E66">
            <v>23</v>
          </cell>
          <cell r="F66">
            <v>19</v>
          </cell>
          <cell r="G66">
            <v>20</v>
          </cell>
          <cell r="H66">
            <v>21</v>
          </cell>
          <cell r="I66">
            <v>20</v>
          </cell>
          <cell r="J66">
            <v>22</v>
          </cell>
          <cell r="K66">
            <v>21</v>
          </cell>
          <cell r="L66">
            <v>22</v>
          </cell>
          <cell r="M66">
            <v>21</v>
          </cell>
          <cell r="N66">
            <v>20</v>
          </cell>
          <cell r="O66">
            <v>251</v>
          </cell>
        </row>
        <row r="67">
          <cell r="B67">
            <v>2007</v>
          </cell>
          <cell r="C67">
            <v>22</v>
          </cell>
          <cell r="D67">
            <v>20</v>
          </cell>
          <cell r="E67">
            <v>22</v>
          </cell>
          <cell r="F67">
            <v>20</v>
          </cell>
          <cell r="G67">
            <v>19</v>
          </cell>
          <cell r="H67">
            <v>21</v>
          </cell>
          <cell r="I67">
            <v>22</v>
          </cell>
          <cell r="J67">
            <v>22</v>
          </cell>
          <cell r="K67">
            <v>20</v>
          </cell>
          <cell r="L67">
            <v>23</v>
          </cell>
          <cell r="M67">
            <v>21</v>
          </cell>
          <cell r="N67">
            <v>20</v>
          </cell>
          <cell r="O67">
            <v>252</v>
          </cell>
        </row>
        <row r="68">
          <cell r="B68">
            <v>2008</v>
          </cell>
          <cell r="C68">
            <v>22</v>
          </cell>
          <cell r="D68">
            <v>21</v>
          </cell>
          <cell r="E68">
            <v>20</v>
          </cell>
          <cell r="F68">
            <v>22</v>
          </cell>
          <cell r="G68">
            <v>19</v>
          </cell>
          <cell r="H68">
            <v>21</v>
          </cell>
          <cell r="I68">
            <v>22</v>
          </cell>
          <cell r="J68">
            <v>20</v>
          </cell>
          <cell r="K68">
            <v>22</v>
          </cell>
          <cell r="L68">
            <v>23</v>
          </cell>
          <cell r="M68">
            <v>19</v>
          </cell>
          <cell r="N68">
            <v>22</v>
          </cell>
          <cell r="O68">
            <v>253</v>
          </cell>
        </row>
        <row r="69">
          <cell r="B69">
            <v>2009</v>
          </cell>
          <cell r="C69">
            <v>21</v>
          </cell>
          <cell r="D69">
            <v>20</v>
          </cell>
          <cell r="E69">
            <v>22</v>
          </cell>
          <cell r="F69">
            <v>21</v>
          </cell>
          <cell r="G69">
            <v>18</v>
          </cell>
          <cell r="H69">
            <v>21</v>
          </cell>
          <cell r="I69">
            <v>22</v>
          </cell>
          <cell r="J69">
            <v>21</v>
          </cell>
          <cell r="K69">
            <v>22</v>
          </cell>
          <cell r="L69">
            <v>22</v>
          </cell>
          <cell r="M69">
            <v>20</v>
          </cell>
          <cell r="N69">
            <v>22</v>
          </cell>
          <cell r="O69">
            <v>252</v>
          </cell>
        </row>
        <row r="70">
          <cell r="B70" t="str">
            <v>Var. Nbre de jours 2009 / 2008</v>
          </cell>
          <cell r="C70">
            <v>-1</v>
          </cell>
          <cell r="D70">
            <v>-1</v>
          </cell>
          <cell r="E70">
            <v>2</v>
          </cell>
          <cell r="F70">
            <v>-1</v>
          </cell>
          <cell r="G70">
            <v>-1</v>
          </cell>
          <cell r="H70">
            <v>0</v>
          </cell>
          <cell r="I70">
            <v>0</v>
          </cell>
          <cell r="J70">
            <v>1</v>
          </cell>
          <cell r="K70">
            <v>0</v>
          </cell>
          <cell r="L70">
            <v>-1</v>
          </cell>
          <cell r="M70">
            <v>1</v>
          </cell>
          <cell r="N70">
            <v>0</v>
          </cell>
          <cell r="O70">
            <v>-1</v>
          </cell>
        </row>
      </sheetData>
      <sheetData sheetId="172"/>
      <sheetData sheetId="173"/>
      <sheetData sheetId="174" refreshError="1"/>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row r="41">
          <cell r="B41" t="str">
            <v>En M€</v>
          </cell>
          <cell r="C41" t="str">
            <v>Janvier</v>
          </cell>
          <cell r="D41" t="str">
            <v>Février</v>
          </cell>
          <cell r="E41" t="str">
            <v>Mars</v>
          </cell>
          <cell r="F41" t="str">
            <v>Avril</v>
          </cell>
          <cell r="G41" t="str">
            <v>Mai</v>
          </cell>
          <cell r="H41" t="str">
            <v>Juin</v>
          </cell>
          <cell r="I41" t="str">
            <v>Juillet</v>
          </cell>
          <cell r="J41" t="str">
            <v>Août</v>
          </cell>
          <cell r="K41" t="str">
            <v>Sept.</v>
          </cell>
          <cell r="L41" t="str">
            <v>Oct.</v>
          </cell>
          <cell r="M41" t="str">
            <v>Nov.</v>
          </cell>
          <cell r="N41" t="str">
            <v>Déc.</v>
          </cell>
          <cell r="O41" t="str">
            <v>Annuel</v>
          </cell>
        </row>
        <row r="42">
          <cell r="B42">
            <v>2003</v>
          </cell>
          <cell r="C42">
            <v>250.55</v>
          </cell>
          <cell r="D42">
            <v>257.57900000000001</v>
          </cell>
          <cell r="E42">
            <v>275.38900000000001</v>
          </cell>
          <cell r="F42">
            <v>273.48399999999998</v>
          </cell>
          <cell r="G42">
            <v>256.51600000000002</v>
          </cell>
          <cell r="H42">
            <v>274.19499999999999</v>
          </cell>
          <cell r="I42">
            <v>280.08499999999998</v>
          </cell>
          <cell r="J42">
            <v>207.59</v>
          </cell>
          <cell r="K42">
            <v>286.91800000000001</v>
          </cell>
          <cell r="L42">
            <v>303.26600000000002</v>
          </cell>
          <cell r="M42">
            <v>270.101</v>
          </cell>
          <cell r="N42">
            <v>279.82600000000002</v>
          </cell>
        </row>
        <row r="43">
          <cell r="B43" t="str">
            <v>Réel 2005</v>
          </cell>
          <cell r="C43">
            <v>0.77994725435291501</v>
          </cell>
          <cell r="D43">
            <v>0.85001750963716194</v>
          </cell>
          <cell r="E43">
            <v>15.1310195408658</v>
          </cell>
          <cell r="F43">
            <v>7.3805956197825102</v>
          </cell>
          <cell r="G43">
            <v>-4.71269085330891</v>
          </cell>
          <cell r="H43">
            <v>25.157968128331799</v>
          </cell>
          <cell r="I43">
            <v>6.1840000000000002</v>
          </cell>
          <cell r="J43">
            <v>-6.3109999999999999</v>
          </cell>
          <cell r="K43">
            <v>13.532</v>
          </cell>
          <cell r="L43">
            <v>4.1050000000000004</v>
          </cell>
          <cell r="M43">
            <v>9.7159999999999993</v>
          </cell>
          <cell r="N43">
            <v>13.619</v>
          </cell>
          <cell r="O43">
            <v>85.43185719966128</v>
          </cell>
        </row>
        <row r="44">
          <cell r="B44" t="str">
            <v>Réel 2005 Budget</v>
          </cell>
          <cell r="O44">
            <v>0</v>
          </cell>
        </row>
        <row r="45">
          <cell r="B45" t="str">
            <v>Réel 2005 R1</v>
          </cell>
          <cell r="O45">
            <v>0</v>
          </cell>
        </row>
        <row r="46">
          <cell r="B46" t="str">
            <v>Réel 2006 Budget</v>
          </cell>
          <cell r="C46">
            <v>2.2133102302320697</v>
          </cell>
          <cell r="D46">
            <v>1.9828303050990101</v>
          </cell>
          <cell r="E46">
            <v>14.986281425699801</v>
          </cell>
          <cell r="F46">
            <v>2.7118176743265501</v>
          </cell>
          <cell r="G46">
            <v>6.6229508494364202</v>
          </cell>
          <cell r="H46">
            <v>17.9433750877111</v>
          </cell>
          <cell r="I46">
            <v>8.9649109943778686</v>
          </cell>
          <cell r="J46">
            <v>-4.6063042294633698</v>
          </cell>
          <cell r="K46">
            <v>13.036283529915099</v>
          </cell>
          <cell r="L46">
            <v>16.718575059816402</v>
          </cell>
          <cell r="M46">
            <v>16.699665787615597</v>
          </cell>
          <cell r="N46">
            <v>-5.05039851212603</v>
          </cell>
          <cell r="O46">
            <v>92.223298202640507</v>
          </cell>
        </row>
        <row r="47">
          <cell r="B47" t="str">
            <v>Réel 2006 R1</v>
          </cell>
          <cell r="C47">
            <v>3.3898106860364803</v>
          </cell>
          <cell r="D47">
            <v>1.3853583433422401</v>
          </cell>
          <cell r="E47">
            <v>16.136222074622399</v>
          </cell>
          <cell r="F47">
            <v>1.4988348477096198</v>
          </cell>
          <cell r="G47">
            <v>5.4379590085603908</v>
          </cell>
          <cell r="H47">
            <v>22.222214580233</v>
          </cell>
          <cell r="I47">
            <v>5.6324591096027694</v>
          </cell>
          <cell r="J47">
            <v>-4.3228062185376306</v>
          </cell>
          <cell r="K47">
            <v>7.9788018079660397</v>
          </cell>
          <cell r="L47">
            <v>14.579139739071399</v>
          </cell>
          <cell r="M47">
            <v>18.314915517566597</v>
          </cell>
          <cell r="N47">
            <v>2.8732891084317598</v>
          </cell>
          <cell r="O47">
            <v>95.126198604605051</v>
          </cell>
        </row>
        <row r="48">
          <cell r="B48" t="str">
            <v>Réel 2006</v>
          </cell>
          <cell r="C48">
            <v>3.3898106860364803</v>
          </cell>
          <cell r="D48">
            <v>1.3853583433422401</v>
          </cell>
          <cell r="E48">
            <v>16.136222074622399</v>
          </cell>
          <cell r="F48">
            <v>1.4673996649548902</v>
          </cell>
          <cell r="G48">
            <v>14.978999999999999</v>
          </cell>
          <cell r="H48">
            <v>15.78</v>
          </cell>
          <cell r="I48">
            <v>6.2160000000000002</v>
          </cell>
          <cell r="J48">
            <v>-3.3940000000000001</v>
          </cell>
          <cell r="K48">
            <v>14.076102315952404</v>
          </cell>
          <cell r="L48">
            <v>13.119581553728199</v>
          </cell>
          <cell r="M48">
            <v>14.447277012994199</v>
          </cell>
          <cell r="N48">
            <v>8.7550000000000008</v>
          </cell>
          <cell r="O48">
            <v>106.35775165163082</v>
          </cell>
        </row>
        <row r="49">
          <cell r="B49" t="str">
            <v>2007 Budget</v>
          </cell>
          <cell r="C49">
            <v>2.3809999999999998</v>
          </cell>
          <cell r="D49">
            <v>1.956</v>
          </cell>
          <cell r="E49">
            <v>13.359</v>
          </cell>
          <cell r="F49">
            <v>4.1929999999999996</v>
          </cell>
          <cell r="G49">
            <v>10.497</v>
          </cell>
          <cell r="H49">
            <v>25.283999999999999</v>
          </cell>
          <cell r="I49">
            <v>12.893000000000001</v>
          </cell>
          <cell r="J49">
            <v>-1.7310000000000001</v>
          </cell>
          <cell r="K49">
            <v>6.82</v>
          </cell>
          <cell r="L49">
            <v>18.363</v>
          </cell>
          <cell r="M49">
            <v>14.3</v>
          </cell>
          <cell r="N49">
            <v>7.0129999999999999</v>
          </cell>
          <cell r="O49">
            <v>115.32799999999999</v>
          </cell>
        </row>
        <row r="50">
          <cell r="B50" t="str">
            <v>P1 2007 (Geodis hors TFM-Wilson)</v>
          </cell>
          <cell r="C50">
            <v>2.4715986176048399</v>
          </cell>
          <cell r="D50">
            <v>-5.9727290284202705E-2</v>
          </cell>
          <cell r="E50">
            <v>7.5910462253987196</v>
          </cell>
          <cell r="F50">
            <v>2.3927717595361999</v>
          </cell>
          <cell r="G50">
            <v>7.1968883470364498</v>
          </cell>
          <cell r="H50">
            <v>15.845480170767599</v>
          </cell>
          <cell r="I50">
            <v>13.9081058689282</v>
          </cell>
          <cell r="J50">
            <v>-3.4681849383101597</v>
          </cell>
          <cell r="K50">
            <v>6.4508948168935403</v>
          </cell>
          <cell r="L50">
            <v>16.823070334514099</v>
          </cell>
          <cell r="M50">
            <v>13.872642038296901</v>
          </cell>
          <cell r="N50">
            <v>22.3163982694239</v>
          </cell>
          <cell r="O50">
            <v>105.34098421980609</v>
          </cell>
        </row>
        <row r="51">
          <cell r="B51" t="str">
            <v>P1 2007 (yc TFM-Wilson)</v>
          </cell>
          <cell r="C51">
            <v>2.4715986176048101</v>
          </cell>
          <cell r="D51">
            <v>-0.75572729028431795</v>
          </cell>
          <cell r="E51">
            <v>8.7970462253984412</v>
          </cell>
          <cell r="F51">
            <v>2.8287717595364104</v>
          </cell>
          <cell r="G51">
            <v>8.7188883470364793</v>
          </cell>
          <cell r="H51">
            <v>14.131480170768</v>
          </cell>
          <cell r="I51">
            <v>16.2381058689284</v>
          </cell>
          <cell r="J51">
            <v>-0.857184938310112</v>
          </cell>
          <cell r="K51">
            <v>9.8028948168931098</v>
          </cell>
          <cell r="L51">
            <v>20.661070334513798</v>
          </cell>
          <cell r="M51">
            <v>17.676642038296798</v>
          </cell>
          <cell r="N51">
            <v>24.983398269423802</v>
          </cell>
          <cell r="O51">
            <v>124.69698421980563</v>
          </cell>
        </row>
        <row r="52">
          <cell r="B52" t="str">
            <v>2007 (hors TFM-Wilson)</v>
          </cell>
          <cell r="C52">
            <v>2.472</v>
          </cell>
          <cell r="D52">
            <v>-5.9727000000000002E-2</v>
          </cell>
          <cell r="E52">
            <v>7.5910462253985296</v>
          </cell>
          <cell r="F52">
            <v>2.4610007247796002</v>
          </cell>
          <cell r="G52">
            <v>15.517297006775399</v>
          </cell>
          <cell r="H52">
            <v>14.160142611263698</v>
          </cell>
          <cell r="I52">
            <v>9.9760000000000009</v>
          </cell>
          <cell r="J52">
            <v>-2.9477897013630061</v>
          </cell>
          <cell r="K52">
            <v>1.9E-2</v>
          </cell>
          <cell r="L52">
            <v>38.256990325948671</v>
          </cell>
          <cell r="M52">
            <v>17.806691069961111</v>
          </cell>
          <cell r="N52">
            <v>0</v>
          </cell>
          <cell r="O52">
            <v>105.252651262764</v>
          </cell>
        </row>
        <row r="53">
          <cell r="B53" t="str">
            <v>2007 (yc TFM-Wilson) ancienne version non corrigée de fév - mars</v>
          </cell>
          <cell r="C53">
            <v>2.472</v>
          </cell>
          <cell r="D53">
            <v>-0.75572700000000004</v>
          </cell>
          <cell r="E53">
            <v>8.7970462253985406</v>
          </cell>
          <cell r="F53">
            <v>2.9520007247796003</v>
          </cell>
          <cell r="G53">
            <v>16.5192970067754</v>
          </cell>
          <cell r="H53">
            <v>14.539142611263797</v>
          </cell>
          <cell r="I53">
            <v>10.319000000000001</v>
          </cell>
          <cell r="J53">
            <v>-1.5177897013630064</v>
          </cell>
          <cell r="K53">
            <v>-0.41165231964849958</v>
          </cell>
          <cell r="L53">
            <v>40.416089533907197</v>
          </cell>
          <cell r="M53">
            <v>18.399636277853613</v>
          </cell>
          <cell r="N53">
            <v>10.942797191573991</v>
          </cell>
          <cell r="O53">
            <v>122.67184055054064</v>
          </cell>
        </row>
        <row r="54">
          <cell r="B54" t="str">
            <v>Réel 2007</v>
          </cell>
          <cell r="C54">
            <v>2.472</v>
          </cell>
          <cell r="D54">
            <v>0.84599999999999997</v>
          </cell>
          <cell r="E54">
            <v>7.1952999999999996</v>
          </cell>
          <cell r="F54">
            <v>2.9520007247796003</v>
          </cell>
          <cell r="G54">
            <v>16.5192970067754</v>
          </cell>
          <cell r="H54">
            <v>14.539142611263797</v>
          </cell>
          <cell r="I54">
            <v>10.319000000000001</v>
          </cell>
          <cell r="J54">
            <v>-1.5177897013630064</v>
          </cell>
          <cell r="K54">
            <v>-0.41165231964849958</v>
          </cell>
          <cell r="L54">
            <v>40.416089533907197</v>
          </cell>
          <cell r="M54">
            <v>18.399636277853613</v>
          </cell>
          <cell r="N54">
            <v>10.942797191573991</v>
          </cell>
          <cell r="O54">
            <v>122.67182132514209</v>
          </cell>
        </row>
        <row r="55">
          <cell r="B55" t="str">
            <v>Bud. 2008 (Hors R&amp;L) version non corrigée</v>
          </cell>
          <cell r="C55">
            <v>2.7221692945670202</v>
          </cell>
          <cell r="D55">
            <v>3.9228254626717201</v>
          </cell>
          <cell r="E55">
            <v>4.5791459614627303</v>
          </cell>
          <cell r="F55">
            <v>11.3715448418171</v>
          </cell>
          <cell r="G55">
            <v>10.2586261638734</v>
          </cell>
          <cell r="H55">
            <v>16.832026011347999</v>
          </cell>
          <cell r="I55">
            <v>19.713887939080102</v>
          </cell>
          <cell r="J55">
            <v>-1.7329568149266898</v>
          </cell>
          <cell r="K55">
            <v>20.712087556867999</v>
          </cell>
          <cell r="L55">
            <v>23.565511810642001</v>
          </cell>
          <cell r="M55">
            <v>11.626889243108</v>
          </cell>
          <cell r="N55">
            <v>13.192211343572801</v>
          </cell>
          <cell r="O55">
            <v>136.76396881408417</v>
          </cell>
        </row>
        <row r="56">
          <cell r="B56" t="str">
            <v>Bud. 2008 (Groupe Hors R&amp;L)</v>
          </cell>
          <cell r="C56">
            <v>2.7447737981979099</v>
          </cell>
          <cell r="D56">
            <v>4.4451443241427997</v>
          </cell>
          <cell r="E56">
            <v>5.1610187238179295</v>
          </cell>
          <cell r="F56">
            <v>11.997875385271801</v>
          </cell>
          <cell r="G56">
            <v>10.937693458615</v>
          </cell>
          <cell r="H56">
            <v>21.900867039354601</v>
          </cell>
          <cell r="I56">
            <v>19.0183435844204</v>
          </cell>
          <cell r="J56">
            <v>-1.6536012368138699</v>
          </cell>
          <cell r="K56">
            <v>20.556775549301602</v>
          </cell>
          <cell r="L56">
            <v>23.272482153886202</v>
          </cell>
          <cell r="M56">
            <v>11.427744273297799</v>
          </cell>
          <cell r="N56">
            <v>6.9556208228122793</v>
          </cell>
          <cell r="O56">
            <v>136.76473787630445</v>
          </cell>
        </row>
      </sheetData>
      <sheetData sheetId="187" refreshError="1">
        <row r="39">
          <cell r="B39" t="str">
            <v>En M€</v>
          </cell>
          <cell r="C39" t="str">
            <v>Janvier</v>
          </cell>
          <cell r="D39" t="str">
            <v>Février</v>
          </cell>
          <cell r="E39" t="str">
            <v>Mars</v>
          </cell>
          <cell r="F39" t="str">
            <v>Avril</v>
          </cell>
          <cell r="G39" t="str">
            <v>Mai</v>
          </cell>
          <cell r="H39" t="str">
            <v>Juin</v>
          </cell>
          <cell r="I39" t="str">
            <v>Juillet</v>
          </cell>
          <cell r="J39" t="str">
            <v>Août</v>
          </cell>
          <cell r="K39" t="str">
            <v>Sept.</v>
          </cell>
          <cell r="L39" t="str">
            <v>Oct.</v>
          </cell>
          <cell r="M39" t="str">
            <v>Nov.</v>
          </cell>
          <cell r="N39" t="str">
            <v>Déc.</v>
          </cell>
          <cell r="O39" t="str">
            <v>Annuel</v>
          </cell>
        </row>
        <row r="40">
          <cell r="B40">
            <v>2003</v>
          </cell>
          <cell r="C40">
            <v>250.55</v>
          </cell>
          <cell r="D40">
            <v>257.57900000000001</v>
          </cell>
          <cell r="E40">
            <v>275.38900000000001</v>
          </cell>
          <cell r="F40">
            <v>273.48399999999998</v>
          </cell>
          <cell r="G40">
            <v>256.51600000000002</v>
          </cell>
          <cell r="H40">
            <v>274.19499999999999</v>
          </cell>
          <cell r="I40">
            <v>280.08499999999998</v>
          </cell>
          <cell r="J40">
            <v>207.59</v>
          </cell>
          <cell r="K40">
            <v>286.91800000000001</v>
          </cell>
          <cell r="L40">
            <v>303.26600000000002</v>
          </cell>
          <cell r="M40">
            <v>270.101</v>
          </cell>
          <cell r="N40">
            <v>279.82600000000002</v>
          </cell>
        </row>
        <row r="41">
          <cell r="B41">
            <v>2005</v>
          </cell>
          <cell r="C41">
            <v>0.485259967749883</v>
          </cell>
          <cell r="D41">
            <v>0.63804990635082504</v>
          </cell>
          <cell r="E41">
            <v>14.6328034425027</v>
          </cell>
          <cell r="F41">
            <v>6.6761703615867196</v>
          </cell>
          <cell r="G41">
            <v>5.8606821193747605</v>
          </cell>
          <cell r="H41">
            <v>12.2184207858751</v>
          </cell>
          <cell r="I41">
            <v>6.3948651870769</v>
          </cell>
          <cell r="J41">
            <v>-6.5569564376813796</v>
          </cell>
          <cell r="K41">
            <v>12.576522889011999</v>
          </cell>
          <cell r="L41">
            <v>12.5523005190537</v>
          </cell>
          <cell r="M41">
            <v>11.8333733119544</v>
          </cell>
          <cell r="N41">
            <v>4.6709681213248899</v>
          </cell>
          <cell r="O41">
            <v>81.982460174180503</v>
          </cell>
        </row>
        <row r="42">
          <cell r="B42" t="str">
            <v>2006 Budget</v>
          </cell>
          <cell r="C42">
            <v>1.4975150593489801</v>
          </cell>
          <cell r="D42">
            <v>1.79203513421593</v>
          </cell>
          <cell r="E42">
            <v>14.799504753618001</v>
          </cell>
          <cell r="F42">
            <v>2.5820225034433402</v>
          </cell>
          <cell r="G42">
            <v>6.4591553774011503</v>
          </cell>
          <cell r="H42">
            <v>17.964242058290601</v>
          </cell>
          <cell r="I42">
            <v>8.8320563804128298</v>
          </cell>
          <cell r="J42">
            <v>-4.7441588434283402</v>
          </cell>
          <cell r="K42">
            <v>12.871447715903599</v>
          </cell>
          <cell r="L42">
            <v>16.586720445851398</v>
          </cell>
          <cell r="M42">
            <v>16.592810872498401</v>
          </cell>
          <cell r="N42">
            <v>1.9690410952572099</v>
          </cell>
          <cell r="O42">
            <v>97.202392552813109</v>
          </cell>
          <cell r="P42">
            <v>97.202392552813109</v>
          </cell>
        </row>
        <row r="43">
          <cell r="B43" t="str">
            <v>2006 R1</v>
          </cell>
          <cell r="C43">
            <v>3.37507981016743</v>
          </cell>
          <cell r="D43">
            <v>0.94717858457590298</v>
          </cell>
          <cell r="E43">
            <v>15.1484603240625</v>
          </cell>
          <cell r="F43">
            <v>1.8837157255838899</v>
          </cell>
          <cell r="G43">
            <v>5.0699427964421604</v>
          </cell>
          <cell r="H43">
            <v>16.056555928470999</v>
          </cell>
          <cell r="I43">
            <v>5.4062723812280398</v>
          </cell>
          <cell r="J43">
            <v>-4.5414929529355303</v>
          </cell>
          <cell r="K43">
            <v>9.9001431562042193</v>
          </cell>
          <cell r="L43">
            <v>14.700511673135201</v>
          </cell>
          <cell r="M43">
            <v>18.062846114069298</v>
          </cell>
          <cell r="N43">
            <v>1.61746296536298</v>
          </cell>
          <cell r="O43">
            <v>87.62667650636709</v>
          </cell>
          <cell r="P43">
            <v>87.62667650636709</v>
          </cell>
        </row>
        <row r="44">
          <cell r="B44">
            <v>2006</v>
          </cell>
          <cell r="C44">
            <v>3.37507981016743</v>
          </cell>
          <cell r="D44">
            <v>0.94717858457590298</v>
          </cell>
          <cell r="E44">
            <v>15.1484603240625</v>
          </cell>
          <cell r="F44">
            <v>1.98056433417927</v>
          </cell>
          <cell r="G44">
            <v>13.942</v>
          </cell>
          <cell r="H44">
            <v>12.277716947014895</v>
          </cell>
          <cell r="I44">
            <v>4.5880000000000001</v>
          </cell>
          <cell r="J44">
            <v>-4.2309999999999999</v>
          </cell>
          <cell r="K44">
            <v>11.464398995163203</v>
          </cell>
          <cell r="L44">
            <v>12.8398460117639</v>
          </cell>
          <cell r="M44">
            <v>11.2172794433856</v>
          </cell>
          <cell r="N44">
            <v>4.782</v>
          </cell>
          <cell r="O44">
            <v>88.331524450312699</v>
          </cell>
        </row>
        <row r="45">
          <cell r="B45" t="str">
            <v>2007 (Geodis hors TFM-Wilson)</v>
          </cell>
          <cell r="C45">
            <v>2.8182912711487402</v>
          </cell>
          <cell r="D45">
            <v>1.4953810614562302</v>
          </cell>
          <cell r="E45">
            <v>7.7640564986441305</v>
          </cell>
          <cell r="F45">
            <v>2.0394298732343996</v>
          </cell>
          <cell r="G45">
            <v>9.580808149410899</v>
          </cell>
          <cell r="H45">
            <v>14.807</v>
          </cell>
          <cell r="I45">
            <v>11.01</v>
          </cell>
          <cell r="J45">
            <v>-2.5658705203709977</v>
          </cell>
          <cell r="K45">
            <v>4.6139999999999999</v>
          </cell>
          <cell r="L45">
            <v>16.795526601340736</v>
          </cell>
          <cell r="M45">
            <v>19.494870376958321</v>
          </cell>
          <cell r="N45">
            <v>5.5077979700675685</v>
          </cell>
          <cell r="O45">
            <v>93.361291281890018</v>
          </cell>
        </row>
        <row r="46">
          <cell r="B46" t="str">
            <v>2007 (Groupe Geodis) avant modif désopacification</v>
          </cell>
          <cell r="C46">
            <v>2.8182912711487402</v>
          </cell>
          <cell r="D46">
            <v>0.78100000000000003</v>
          </cell>
          <cell r="E46">
            <v>9.0869999999999997</v>
          </cell>
          <cell r="F46">
            <v>2.4569999999999999</v>
          </cell>
          <cell r="G46">
            <v>10.516</v>
          </cell>
          <cell r="H46">
            <v>15.122</v>
          </cell>
          <cell r="I46">
            <v>11.382</v>
          </cell>
          <cell r="J46">
            <v>-1.1958705203709978</v>
          </cell>
          <cell r="K46">
            <v>4.2017175503007023</v>
          </cell>
          <cell r="L46">
            <v>19.070383469079903</v>
          </cell>
          <cell r="M46">
            <v>20.147637524984415</v>
          </cell>
          <cell r="N46">
            <v>6.2655674936413996</v>
          </cell>
          <cell r="O46">
            <v>100.65272678878416</v>
          </cell>
        </row>
        <row r="47">
          <cell r="B47" t="str">
            <v>2007 (Groupe Geodis)</v>
          </cell>
          <cell r="C47">
            <v>2.8182912711487402</v>
          </cell>
          <cell r="D47">
            <v>2.383</v>
          </cell>
          <cell r="E47">
            <v>7.49</v>
          </cell>
          <cell r="F47">
            <v>2.4569999999999999</v>
          </cell>
          <cell r="G47">
            <v>10.516</v>
          </cell>
          <cell r="H47">
            <v>15.122</v>
          </cell>
          <cell r="I47">
            <v>11.382</v>
          </cell>
          <cell r="J47">
            <v>-1.1958705203709978</v>
          </cell>
          <cell r="K47">
            <v>4.2017175503007023</v>
          </cell>
          <cell r="L47">
            <v>19.070383469079903</v>
          </cell>
          <cell r="M47">
            <v>20.147637524984415</v>
          </cell>
          <cell r="N47">
            <v>6.2655674936413996</v>
          </cell>
          <cell r="O47">
            <v>100.65772678878416</v>
          </cell>
        </row>
      </sheetData>
      <sheetData sheetId="188" refreshError="1">
        <row r="8">
          <cell r="C8" t="str">
            <v xml:space="preserve"> </v>
          </cell>
          <cell r="J8" t="str">
            <v xml:space="preserve">Cumul à fin  </v>
          </cell>
        </row>
        <row r="9">
          <cell r="C9" t="str">
            <v>Réel 2009</v>
          </cell>
          <cell r="D9" t="str">
            <v>Budget 2009</v>
          </cell>
          <cell r="E9" t="str">
            <v>P1
2007</v>
          </cell>
          <cell r="F9" t="str">
            <v>Réel 2008</v>
          </cell>
          <cell r="H9" t="str">
            <v>M€</v>
          </cell>
          <cell r="J9" t="str">
            <v>Réel 2009</v>
          </cell>
          <cell r="K9" t="str">
            <v>Budget 2009</v>
          </cell>
          <cell r="L9" t="str">
            <v>P1
2007</v>
          </cell>
          <cell r="M9" t="str">
            <v>Réel
2006</v>
          </cell>
          <cell r="N9" t="str">
            <v>Réel 2008</v>
          </cell>
          <cell r="O9" t="str">
            <v>ECARTS N/N-1</v>
          </cell>
        </row>
        <row r="11">
          <cell r="C11">
            <v>9.5760000000000005</v>
          </cell>
          <cell r="E11">
            <v>10.243</v>
          </cell>
          <cell r="F11">
            <v>8.7200000000000006</v>
          </cell>
          <cell r="H11" t="str">
            <v>CA</v>
          </cell>
          <cell r="J11">
            <v>129.95099999999999</v>
          </cell>
          <cell r="K11">
            <v>130.215</v>
          </cell>
          <cell r="L11">
            <v>133.86099999999999</v>
          </cell>
          <cell r="M11">
            <v>127.23400000000001</v>
          </cell>
          <cell r="O11">
            <v>2.7169999999999845</v>
          </cell>
          <cell r="P11">
            <v>2.1354354968011573E-2</v>
          </cell>
        </row>
        <row r="12">
          <cell r="C12" t="e">
            <v>#VALUE!</v>
          </cell>
          <cell r="D12" t="e">
            <v>#VALUE!</v>
          </cell>
          <cell r="E12" t="e">
            <v>#VALUE!</v>
          </cell>
          <cell r="H12" t="str">
            <v>EBITDA</v>
          </cell>
          <cell r="J12" t="e">
            <v>#VALUE!</v>
          </cell>
          <cell r="K12" t="e">
            <v>#VALUE!</v>
          </cell>
          <cell r="L12" t="e">
            <v>#VALUE!</v>
          </cell>
        </row>
        <row r="14">
          <cell r="C14" t="e">
            <v>#VALUE!</v>
          </cell>
          <cell r="D14" t="e">
            <v>#VALUE!</v>
          </cell>
          <cell r="E14" t="e">
            <v>#VALUE!</v>
          </cell>
          <cell r="F14">
            <v>-6.15</v>
          </cell>
          <cell r="H14" t="str">
            <v>ROP</v>
          </cell>
          <cell r="J14" t="e">
            <v>#VALUE!</v>
          </cell>
          <cell r="K14" t="e">
            <v>#VALUE!</v>
          </cell>
          <cell r="L14" t="e">
            <v>#VALUE!</v>
          </cell>
          <cell r="M14">
            <v>-13.573</v>
          </cell>
          <cell r="O14" t="e">
            <v>#VALUE!</v>
          </cell>
        </row>
        <row r="16">
          <cell r="C16" t="e">
            <v>#VALUE!</v>
          </cell>
          <cell r="D16" t="e">
            <v>#VALUE!</v>
          </cell>
          <cell r="E16" t="e">
            <v>#VALUE!</v>
          </cell>
          <cell r="F16">
            <v>-0.70527522935779818</v>
          </cell>
          <cell r="H16" t="str">
            <v>Taux ROP / CA</v>
          </cell>
          <cell r="J16" t="e">
            <v>#VALUE!</v>
          </cell>
          <cell r="K16" t="e">
            <v>#VALUE!</v>
          </cell>
          <cell r="L16" t="e">
            <v>#VALUE!</v>
          </cell>
          <cell r="M16">
            <v>-0.10667746042724428</v>
          </cell>
        </row>
      </sheetData>
      <sheetData sheetId="189" refreshError="1">
        <row r="8">
          <cell r="B8" t="str">
            <v xml:space="preserve"> </v>
          </cell>
          <cell r="D8" t="str">
            <v>CA</v>
          </cell>
          <cell r="L8" t="str">
            <v>ROP</v>
          </cell>
        </row>
        <row r="9">
          <cell r="D9" t="str">
            <v>Réel
2007</v>
          </cell>
          <cell r="F9" t="str">
            <v>P1
2007</v>
          </cell>
          <cell r="G9" t="str">
            <v>Réel
2006</v>
          </cell>
          <cell r="I9" t="str">
            <v>ECARTS N/N-1</v>
          </cell>
          <cell r="L9" t="str">
            <v>Réel
2007</v>
          </cell>
          <cell r="N9" t="str">
            <v>P1
2007</v>
          </cell>
          <cell r="O9" t="str">
            <v>Réel
2006</v>
          </cell>
          <cell r="Q9" t="str">
            <v>ECARTS N/N-1</v>
          </cell>
        </row>
        <row r="11">
          <cell r="B11" t="str">
            <v>Allemagne</v>
          </cell>
          <cell r="D11">
            <v>0</v>
          </cell>
          <cell r="F11">
            <v>0</v>
          </cell>
          <cell r="G11">
            <v>8.82</v>
          </cell>
          <cell r="I11">
            <v>-8.82</v>
          </cell>
          <cell r="J11">
            <v>-1</v>
          </cell>
          <cell r="L11" t="e">
            <v>#VALUE!</v>
          </cell>
          <cell r="N11">
            <v>0</v>
          </cell>
          <cell r="O11">
            <v>0.58399999999999996</v>
          </cell>
          <cell r="Q11" t="e">
            <v>#VALUE!</v>
          </cell>
          <cell r="R11" t="e">
            <v>#VALUE!</v>
          </cell>
        </row>
        <row r="12">
          <cell r="B12" t="str">
            <v>dont Logistique</v>
          </cell>
          <cell r="D12">
            <v>0</v>
          </cell>
          <cell r="F12">
            <v>0</v>
          </cell>
          <cell r="G12">
            <v>8.1690000000000005</v>
          </cell>
          <cell r="I12">
            <v>-8.1690000000000005</v>
          </cell>
          <cell r="J12">
            <v>-1</v>
          </cell>
          <cell r="L12" t="e">
            <v>#VALUE!</v>
          </cell>
          <cell r="N12">
            <v>0</v>
          </cell>
          <cell r="O12">
            <v>0.97599999999999998</v>
          </cell>
          <cell r="Q12" t="e">
            <v>#VALUE!</v>
          </cell>
          <cell r="R12" t="e">
            <v>#VALUE!</v>
          </cell>
        </row>
        <row r="13">
          <cell r="B13" t="str">
            <v>dont Boos</v>
          </cell>
          <cell r="D13">
            <v>0</v>
          </cell>
          <cell r="F13">
            <v>0</v>
          </cell>
          <cell r="G13">
            <v>0.65100000000000002</v>
          </cell>
          <cell r="I13">
            <v>-0.65100000000000002</v>
          </cell>
          <cell r="J13">
            <v>-1</v>
          </cell>
          <cell r="L13">
            <v>0</v>
          </cell>
          <cell r="N13">
            <v>0</v>
          </cell>
          <cell r="O13">
            <v>-0.39200000000000002</v>
          </cell>
          <cell r="Q13">
            <v>0.39200000000000002</v>
          </cell>
          <cell r="R13">
            <v>-1</v>
          </cell>
        </row>
        <row r="16">
          <cell r="B16" t="str">
            <v xml:space="preserve">Fin  </v>
          </cell>
          <cell r="D16" t="str">
            <v>CA</v>
          </cell>
          <cell r="L16" t="str">
            <v>ROP</v>
          </cell>
        </row>
        <row r="17">
          <cell r="D17" t="str">
            <v>Réel
2007</v>
          </cell>
          <cell r="E17" t="str">
            <v>P3
2007</v>
          </cell>
          <cell r="F17" t="str">
            <v>P1
2007</v>
          </cell>
          <cell r="G17" t="str">
            <v>Réel
2006</v>
          </cell>
          <cell r="I17" t="str">
            <v>ECARTS N/N-1</v>
          </cell>
          <cell r="L17" t="str">
            <v>Réel
2007</v>
          </cell>
          <cell r="M17" t="str">
            <v>P3
2007</v>
          </cell>
          <cell r="N17" t="str">
            <v>P1
2007</v>
          </cell>
          <cell r="O17" t="str">
            <v>Réel
2006</v>
          </cell>
          <cell r="Q17" t="str">
            <v>ECARTS N/N-1</v>
          </cell>
        </row>
        <row r="19">
          <cell r="B19" t="str">
            <v>Allemagne</v>
          </cell>
          <cell r="D19">
            <v>0</v>
          </cell>
          <cell r="E19">
            <v>0</v>
          </cell>
          <cell r="F19">
            <v>0</v>
          </cell>
          <cell r="G19">
            <v>101.75700000000001</v>
          </cell>
          <cell r="I19">
            <v>-101.75700000000001</v>
          </cell>
          <cell r="J19">
            <v>-1</v>
          </cell>
          <cell r="L19" t="e">
            <v>#VALUE!</v>
          </cell>
          <cell r="M19">
            <v>0</v>
          </cell>
          <cell r="N19">
            <v>0</v>
          </cell>
          <cell r="O19">
            <v>1.593</v>
          </cell>
          <cell r="Q19" t="e">
            <v>#VALUE!</v>
          </cell>
          <cell r="R19" t="e">
            <v>#VALUE!</v>
          </cell>
        </row>
        <row r="20">
          <cell r="B20" t="str">
            <v>dont Logistique</v>
          </cell>
          <cell r="D20">
            <v>0</v>
          </cell>
          <cell r="E20">
            <v>0</v>
          </cell>
          <cell r="F20">
            <v>0</v>
          </cell>
          <cell r="G20">
            <v>0</v>
          </cell>
          <cell r="I20">
            <v>0</v>
          </cell>
          <cell r="J20" t="e">
            <v>#DIV/0!</v>
          </cell>
          <cell r="L20" t="e">
            <v>#VALUE!</v>
          </cell>
          <cell r="M20">
            <v>0</v>
          </cell>
          <cell r="N20">
            <v>0</v>
          </cell>
          <cell r="O20">
            <v>0</v>
          </cell>
          <cell r="Q20" t="e">
            <v>#VALUE!</v>
          </cell>
          <cell r="R20" t="e">
            <v>#VALUE!</v>
          </cell>
        </row>
        <row r="21">
          <cell r="B21" t="str">
            <v>dont Boos</v>
          </cell>
          <cell r="D21">
            <v>0</v>
          </cell>
          <cell r="E21">
            <v>0</v>
          </cell>
          <cell r="F21">
            <v>0</v>
          </cell>
          <cell r="G21">
            <v>9.1310000000000002</v>
          </cell>
          <cell r="I21">
            <v>-9.1310000000000002</v>
          </cell>
          <cell r="J21">
            <v>-1</v>
          </cell>
          <cell r="L21">
            <v>0</v>
          </cell>
          <cell r="M21">
            <v>0</v>
          </cell>
          <cell r="N21">
            <v>0</v>
          </cell>
          <cell r="O21">
            <v>-2.851</v>
          </cell>
          <cell r="Q21">
            <v>2.851</v>
          </cell>
          <cell r="R21">
            <v>-1</v>
          </cell>
        </row>
      </sheetData>
      <sheetData sheetId="190"/>
      <sheetData sheetId="19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ancien"/>
      <sheetName val="P&amp;L Ebitda ancien"/>
      <sheetName val="Sommaire"/>
      <sheetName val="paramètres"/>
      <sheetName val="Lignes entités"/>
      <sheetName val="Macros"/>
      <sheetName val="PowerPoint"/>
      <sheetName val="saisonnalité"/>
      <sheetName val="Saison Mess"/>
      <sheetName val="Saison Log"/>
      <sheetName val="Saison FM"/>
      <sheetName val="Saison Route"/>
      <sheetName val="déroulé CA"/>
      <sheetName val="déroulé MB"/>
      <sheetName val="déroulé EBITDA"/>
      <sheetName val="ROP ancien format"/>
      <sheetName val="ROP M€"/>
      <sheetName val="ROP M€ (2)"/>
      <sheetName val="déroulé ROP"/>
      <sheetName val="déroulé REX"/>
      <sheetName val="déroulé IFA"/>
      <sheetName val="déroulé Fees"/>
      <sheetName val="déroulé RN"/>
      <sheetName val="déroulé Exc."/>
      <sheetName val="déroulé Fin."/>
      <sheetName val="déroulé ssmétiers"/>
      <sheetName val="ss métiers"/>
      <sheetName val="synthèse"/>
      <sheetName val="CA"/>
      <sheetName val="CA T4"/>
      <sheetName val="CA projection"/>
      <sheetName val="RAF CA"/>
      <sheetName val="EBITDA"/>
      <sheetName val="EBITDA T3"/>
      <sheetName val="ROP"/>
      <sheetName val="ROP T4"/>
      <sheetName val="RAF ROP"/>
      <sheetName val="Chiffres clés mensuel"/>
      <sheetName val="Chiffres clés cumul"/>
      <sheetName val="CA detail"/>
      <sheetName val="EBITDA detail"/>
      <sheetName val="ROP detail"/>
      <sheetName val="ROP retraité"/>
      <sheetName val="Get Geodis détaillé"/>
      <sheetName val="Contrib Mess"/>
      <sheetName val="Contrib Log"/>
      <sheetName val="Contrib FM"/>
      <sheetName val="Contrib Route"/>
      <sheetName val="Get TFM détaillé"/>
      <sheetName val="TFM"/>
      <sheetName val="P&amp;L Ebitda synt TFM"/>
      <sheetName val="P&amp;L Ebitda TFM détaillé"/>
      <sheetName val="Get Groupe détaillé"/>
      <sheetName val="P&amp;L Ebitda Geodis Wilson"/>
      <sheetName val="P&amp;L Groupe"/>
      <sheetName val="P&amp;L Ebitda synt Groupe"/>
      <sheetName val="Geodis &amp; TFM conso"/>
      <sheetName val="P&amp;L Groupe synthetique"/>
      <sheetName val="Groupe hors TFM get"/>
      <sheetName val="Groupe hors TFM synthetique"/>
      <sheetName val="Groupe hors TFM"/>
      <sheetName val="P&amp;L standalone"/>
      <sheetName val="Messagerie"/>
      <sheetName val="Messagerie Format Ebitda"/>
      <sheetName val="Mess France"/>
      <sheetName val="Mess Espagne"/>
      <sheetName val="Mess Allemagne"/>
      <sheetName val="Mess Italie"/>
      <sheetName val="Euromatic"/>
      <sheetName val="GIE France Express"/>
      <sheetName val="Logistique"/>
      <sheetName val="Log Format Ebitda"/>
      <sheetName val="GL IdF"/>
      <sheetName val="Log Espagne"/>
      <sheetName val="Automotive"/>
      <sheetName val="Irlande"/>
      <sheetName val="Cal GE"/>
      <sheetName val="Magyar"/>
      <sheetName val="Valenda"/>
      <sheetName val="Lipetsk"/>
      <sheetName val="Gestim"/>
      <sheetName val="Freight Mgmt"/>
      <sheetName val="Freight Mgmt Format Ebitda"/>
      <sheetName val="Asie du Nord"/>
      <sheetName val="Asie du Sud"/>
      <sheetName val="India"/>
      <sheetName val="GOF"/>
      <sheetName val="FM Espagne"/>
      <sheetName val="Ibercondor"/>
      <sheetName val="Oil &amp; Gaz"/>
      <sheetName val="Projet"/>
      <sheetName val="Pays Nordiques"/>
      <sheetName val="Wilson Australia"/>
      <sheetName val="Wilson USA"/>
      <sheetName val="TGFL"/>
      <sheetName val="Route"/>
      <sheetName val="Route Format Ebitda"/>
      <sheetName val="BM"/>
      <sheetName val="Graph CA Mensuel standalone"/>
      <sheetName val="Graph CA Mensuel Groupe"/>
      <sheetName val="Taux  CA trim. corrigé"/>
      <sheetName val="Graph CA trim corrigé"/>
      <sheetName val="graph REX%CA"/>
      <sheetName val="Graph ROP Mensuel Groupe"/>
      <sheetName val="Graph REX Mensuel Groupe"/>
      <sheetName val="Groupe Simpl"/>
      <sheetName val="Espagne"/>
      <sheetName val="mess simpl"/>
      <sheetName val="mess Fce simpl"/>
      <sheetName val="mess Ita simpl"/>
      <sheetName val="Log simpl"/>
      <sheetName val="GL Euromatic"/>
      <sheetName val="Log Benelux"/>
      <sheetName val="Valenda simpl"/>
      <sheetName val="Cal GE simpl"/>
      <sheetName val="All simpl"/>
      <sheetName val="Irlande simpl"/>
      <sheetName val="TGFL simpl"/>
      <sheetName val="Log UK simpl"/>
      <sheetName val="Freight Mgt simpl"/>
      <sheetName val="GOF simpl"/>
      <sheetName val="Route simpl"/>
      <sheetName val="Autres simpl"/>
      <sheetName val="BD Macro"/>
      <sheetName val="Sommaire_ancien"/>
      <sheetName val="P&amp;L_Ebitda_ancien"/>
      <sheetName val="Lignes_entités"/>
      <sheetName val="Saison_Mess"/>
      <sheetName val="Saison_Log"/>
      <sheetName val="Saison_FM"/>
      <sheetName val="Saison_Route"/>
      <sheetName val="déroulé_CA"/>
      <sheetName val="déroulé_MB"/>
      <sheetName val="déroulé_EBITDA"/>
      <sheetName val="ROP_ancien_format"/>
      <sheetName val="ROP_M€"/>
      <sheetName val="ROP_M€_(2)"/>
      <sheetName val="déroulé_ROP"/>
      <sheetName val="déroulé_REX"/>
      <sheetName val="déroulé_IFA"/>
      <sheetName val="déroulé_Fees"/>
      <sheetName val="déroulé_RN"/>
      <sheetName val="déroulé_Exc_"/>
      <sheetName val="déroulé_Fin_"/>
      <sheetName val="déroulé_ssmétiers"/>
      <sheetName val="ss_métiers"/>
      <sheetName val="CA_T4"/>
      <sheetName val="CA_projection"/>
      <sheetName val="RAF_CA"/>
      <sheetName val="EBITDA_T3"/>
      <sheetName val="ROP_T4"/>
      <sheetName val="RAF_ROP"/>
      <sheetName val="Chiffres_clés_mensuel"/>
      <sheetName val="Chiffres_clés_cumul"/>
      <sheetName val="CA_detail"/>
      <sheetName val="EBITDA_detail"/>
      <sheetName val="ROP_detail"/>
      <sheetName val="ROP_retraité"/>
      <sheetName val="Get_Geodis_détaillé"/>
      <sheetName val="Contrib_Mess"/>
      <sheetName val="Contrib_Log"/>
      <sheetName val="Contrib_FM"/>
      <sheetName val="Contrib_Route"/>
      <sheetName val="Get_TFM_détaillé"/>
      <sheetName val="P&amp;L_Ebitda_synt_TFM"/>
      <sheetName val="P&amp;L_Ebitda_TFM_détaillé"/>
      <sheetName val="Get_Groupe_détaillé"/>
      <sheetName val="P&amp;L_Ebitda_Geodis_Wilson"/>
      <sheetName val="P&amp;L_Groupe"/>
      <sheetName val="P&amp;L_Ebitda_synt_Groupe"/>
      <sheetName val="Geodis_&amp;_TFM_conso"/>
      <sheetName val="P&amp;L_Groupe_synthetique"/>
      <sheetName val="Groupe_hors_TFM_get"/>
      <sheetName val="Groupe_hors_TFM_synthetique"/>
      <sheetName val="Groupe_hors_TFM"/>
      <sheetName val="P&amp;L_standalone"/>
      <sheetName val="Messagerie_Format_Ebitda"/>
      <sheetName val="Mess_France"/>
      <sheetName val="Mess_Espagne"/>
      <sheetName val="Mess_Allemagne"/>
      <sheetName val="Mess_Italie"/>
      <sheetName val="GIE_France_Express"/>
      <sheetName val="Log_Format_Ebitda"/>
      <sheetName val="GL_IdF"/>
      <sheetName val="Log_Espagne"/>
      <sheetName val="Cal_GE"/>
      <sheetName val="Freight_Mgmt"/>
      <sheetName val="Freight_Mgmt_Format_Ebitda"/>
      <sheetName val="Asie_du_Nord"/>
      <sheetName val="Asie_du_Sud"/>
      <sheetName val="FM_Espagne"/>
      <sheetName val="Oil_&amp;_Gaz"/>
      <sheetName val="Pays_Nordiques"/>
      <sheetName val="Wilson_Australia"/>
      <sheetName val="Wilson_USA"/>
      <sheetName val="Route_Format_Ebitda"/>
      <sheetName val="Graph_CA_Mensuel_standalone"/>
      <sheetName val="Graph_CA_Mensuel_Groupe"/>
      <sheetName val="Taux__CA_trim__corrigé"/>
      <sheetName val="Graph_CA_trim_corrigé"/>
      <sheetName val="graph_REX%CA"/>
      <sheetName val="Graph_ROP_Mensuel_Groupe"/>
      <sheetName val="Graph_REX_Mensuel_Groupe"/>
      <sheetName val="Groupe_Simpl"/>
      <sheetName val="mess_simpl"/>
      <sheetName val="mess_Fce_simpl"/>
      <sheetName val="mess_Ita_simpl"/>
      <sheetName val="Log_simpl"/>
      <sheetName val="GL_Euromatic"/>
      <sheetName val="Log_Benelux"/>
      <sheetName val="Valenda_simpl"/>
      <sheetName val="Cal_GE_simpl"/>
      <sheetName val="All_simpl"/>
      <sheetName val="Irlande_simpl"/>
      <sheetName val="TGFL_simpl"/>
      <sheetName val="Log_UK_simpl"/>
      <sheetName val="Freight_Mgt_simpl"/>
      <sheetName val="GOF_simpl"/>
      <sheetName val="Route_simpl"/>
      <sheetName val="Autres_simpl"/>
      <sheetName val="BD_Macro"/>
      <sheetName val="Sommaire_ancien1"/>
      <sheetName val="P&amp;L_Ebitda_ancien1"/>
      <sheetName val="Lignes_entités1"/>
      <sheetName val="Saison_Mess1"/>
      <sheetName val="Saison_Log1"/>
      <sheetName val="Saison_FM1"/>
      <sheetName val="Saison_Route1"/>
      <sheetName val="déroulé_CA1"/>
      <sheetName val="déroulé_MB1"/>
      <sheetName val="déroulé_EBITDA1"/>
      <sheetName val="ROP_ancien_format1"/>
      <sheetName val="ROP_M€1"/>
      <sheetName val="ROP_M€_(2)1"/>
      <sheetName val="déroulé_ROP1"/>
      <sheetName val="déroulé_REX1"/>
      <sheetName val="déroulé_IFA1"/>
      <sheetName val="déroulé_Fees1"/>
      <sheetName val="déroulé_RN1"/>
      <sheetName val="déroulé_Exc_1"/>
      <sheetName val="déroulé_Fin_1"/>
      <sheetName val="déroulé_ssmétiers1"/>
      <sheetName val="ss_métiers1"/>
      <sheetName val="CA_T41"/>
      <sheetName val="CA_projection1"/>
      <sheetName val="RAF_CA1"/>
      <sheetName val="EBITDA_T31"/>
      <sheetName val="ROP_T41"/>
      <sheetName val="RAF_ROP1"/>
      <sheetName val="Chiffres_clés_mensuel1"/>
      <sheetName val="Chiffres_clés_cumul1"/>
      <sheetName val="CA_detail1"/>
      <sheetName val="EBITDA_detail1"/>
      <sheetName val="ROP_detail1"/>
      <sheetName val="ROP_retraité1"/>
      <sheetName val="Get_Geodis_détaillé1"/>
      <sheetName val="Contrib_Mess1"/>
      <sheetName val="Contrib_Log1"/>
      <sheetName val="Contrib_FM1"/>
      <sheetName val="Contrib_Route1"/>
      <sheetName val="Get_TFM_détaillé1"/>
      <sheetName val="P&amp;L_Ebitda_synt_TFM1"/>
      <sheetName val="P&amp;L_Ebitda_TFM_détaillé1"/>
      <sheetName val="Get_Groupe_détaillé1"/>
      <sheetName val="P&amp;L_Ebitda_Geodis_Wilson1"/>
      <sheetName val="P&amp;L_Groupe1"/>
      <sheetName val="P&amp;L_Ebitda_synt_Groupe1"/>
      <sheetName val="Geodis_&amp;_TFM_conso1"/>
      <sheetName val="P&amp;L_Groupe_synthetique1"/>
      <sheetName val="Groupe_hors_TFM_get1"/>
      <sheetName val="Groupe_hors_TFM_synthetique1"/>
      <sheetName val="Groupe_hors_TFM1"/>
      <sheetName val="P&amp;L_standalone1"/>
      <sheetName val="Messagerie_Format_Ebitda1"/>
      <sheetName val="Mess_France1"/>
      <sheetName val="Mess_Espagne1"/>
      <sheetName val="Mess_Allemagne1"/>
      <sheetName val="Mess_Italie1"/>
      <sheetName val="GIE_France_Express1"/>
      <sheetName val="Log_Format_Ebitda1"/>
      <sheetName val="GL_IdF1"/>
      <sheetName val="Log_Espagne1"/>
      <sheetName val="Cal_GE1"/>
      <sheetName val="Freight_Mgmt1"/>
      <sheetName val="Freight_Mgmt_Format_Ebitda1"/>
      <sheetName val="Asie_du_Nord1"/>
      <sheetName val="Asie_du_Sud1"/>
      <sheetName val="FM_Espagne1"/>
      <sheetName val="Oil_&amp;_Gaz1"/>
      <sheetName val="Pays_Nordiques1"/>
      <sheetName val="Wilson_Australia1"/>
      <sheetName val="Wilson_USA1"/>
      <sheetName val="Route_Format_Ebitda1"/>
      <sheetName val="Graph_CA_Mensuel_standalone1"/>
      <sheetName val="Graph_CA_Mensuel_Groupe1"/>
      <sheetName val="Taux__CA_trim__corrigé1"/>
      <sheetName val="Graph_CA_trim_corrigé1"/>
      <sheetName val="graph_REX%CA1"/>
      <sheetName val="Graph_ROP_Mensuel_Groupe1"/>
      <sheetName val="Graph_REX_Mensuel_Groupe1"/>
      <sheetName val="Groupe_Simpl1"/>
      <sheetName val="mess_simpl1"/>
      <sheetName val="mess_Fce_simpl1"/>
      <sheetName val="mess_Ita_simpl1"/>
      <sheetName val="Log_simpl1"/>
      <sheetName val="GL_Euromatic1"/>
      <sheetName val="Log_Benelux1"/>
      <sheetName val="Valenda_simpl1"/>
      <sheetName val="Cal_GE_simpl1"/>
      <sheetName val="All_simpl1"/>
      <sheetName val="Irlande_simpl1"/>
      <sheetName val="TGFL_simpl1"/>
      <sheetName val="Log_UK_simpl1"/>
      <sheetName val="Freight_Mgt_simpl1"/>
      <sheetName val="GOF_simpl1"/>
      <sheetName val="Route_simpl1"/>
      <sheetName val="Autres_simpl1"/>
      <sheetName val="BD_Macro1"/>
    </sheetNames>
    <sheetDataSet>
      <sheetData sheetId="0" refreshError="1"/>
      <sheetData sheetId="1" refreshError="1"/>
      <sheetData sheetId="2" refreshError="1"/>
      <sheetData sheetId="3" refreshError="1"/>
      <sheetData sheetId="4" refreshError="1"/>
      <sheetData sheetId="5" refreshError="1"/>
      <sheetData sheetId="6" refreshError="1">
        <row r="16">
          <cell r="D16">
            <v>67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row r="1">
          <cell r="C1" t="str">
            <v>R:\Reporting mensuel\Draft PowerPoint\Draft.ppt</v>
          </cell>
        </row>
        <row r="2">
          <cell r="C2" t="str">
            <v>R:\Reporting mensuel\Draft PowerPoint\Draft1.ppt</v>
          </cell>
        </row>
      </sheetData>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ow r="1">
          <cell r="C1" t="str">
            <v>R:\Reporting mensuel\Draft PowerPoint\Draft.ppt</v>
          </cell>
        </row>
      </sheetData>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C1" t="str">
            <v>R:\Reporting mensuel\Draft PowerPoint\Draft.ppt</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Route"/>
      <sheetName val="recapRes"/>
      <sheetName val="offre"/>
      <sheetName val="coûts"/>
      <sheetName val="SAB CAV"/>
      <sheetName val="infra"/>
      <sheetName val="maint"/>
      <sheetName val="Ch de K"/>
      <sheetName val="CU"/>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s"/>
      <sheetName val="Trains Week"/>
      <sheetName val="Trains WE"/>
      <sheetName val="Trains Dimanche"/>
      <sheetName val="F&amp;B"/>
      <sheetName val="F&amp;B week"/>
      <sheetName val="F&amp;B WE"/>
      <sheetName val="F&amp;B costs Caterers"/>
      <sheetName val="Accroissements coûts F&amp;B"/>
      <sheetName val="F&amp;B costs Others"/>
      <sheetName val="F&amp;B costs Total"/>
      <sheetName val="Synthèse Revenues F&amp;B"/>
      <sheetName val="Synthèse Costs F&amp;B"/>
      <sheetName val="Synthèse caterers Costs"/>
      <sheetName val="TA Opt"/>
      <sheetName val="TA Est"/>
      <sheetName val="TA est par type meal"/>
      <sheetName val="Applic principe Staff"/>
      <sheetName val="TA principe Staff"/>
      <sheetName val="TA cost incl Hlp upgd"/>
      <sheetName val="TA bar"/>
      <sheetName val="Nombre d'heures Trains"/>
      <sheetName val="Nombre d'heures CF1"/>
      <sheetName val="Nombre d'heures Bar"/>
      <sheetName val="Nombres d'heures TA total"/>
      <sheetName val="Productivité"/>
      <sheetName val="F&amp;B Follow up 2011"/>
      <sheetName val="#REF"/>
    </sheetNames>
    <sheetDataSet>
      <sheetData sheetId="0">
        <row r="113">
          <cell r="DP113">
            <v>23054</v>
          </cell>
        </row>
      </sheetData>
      <sheetData sheetId="1" refreshError="1">
        <row r="52">
          <cell r="C52" t="str">
            <v>Classic BF</v>
          </cell>
          <cell r="D52" t="str">
            <v>Sweet BF</v>
          </cell>
          <cell r="E52" t="str">
            <v>Quick BF</v>
          </cell>
          <cell r="K52" t="str">
            <v>GG</v>
          </cell>
          <cell r="L52" t="str">
            <v>GG trays</v>
          </cell>
          <cell r="M52" t="str">
            <v>L</v>
          </cell>
        </row>
        <row r="54">
          <cell r="C54">
            <v>40</v>
          </cell>
          <cell r="K54">
            <v>40</v>
          </cell>
          <cell r="M54">
            <v>20</v>
          </cell>
        </row>
        <row r="62">
          <cell r="K62">
            <v>42</v>
          </cell>
          <cell r="M62">
            <v>21</v>
          </cell>
        </row>
        <row r="63">
          <cell r="K63">
            <v>44</v>
          </cell>
          <cell r="M63">
            <v>22</v>
          </cell>
        </row>
        <row r="64">
          <cell r="K64">
            <v>44</v>
          </cell>
          <cell r="M64">
            <v>22</v>
          </cell>
        </row>
        <row r="84">
          <cell r="C84" t="str">
            <v>Classic BF</v>
          </cell>
          <cell r="D84" t="str">
            <v>Sweet BF</v>
          </cell>
          <cell r="E84" t="str">
            <v>Quick BF</v>
          </cell>
        </row>
        <row r="86">
          <cell r="C86">
            <v>0</v>
          </cell>
        </row>
        <row r="87">
          <cell r="C87">
            <v>0</v>
          </cell>
        </row>
        <row r="88">
          <cell r="C88">
            <v>0</v>
          </cell>
        </row>
        <row r="90">
          <cell r="C90">
            <v>0</v>
          </cell>
        </row>
        <row r="92">
          <cell r="C92">
            <v>0</v>
          </cell>
        </row>
        <row r="93">
          <cell r="C93">
            <v>0</v>
          </cell>
        </row>
        <row r="94">
          <cell r="C94">
            <v>0</v>
          </cell>
        </row>
        <row r="96">
          <cell r="C96">
            <v>0</v>
          </cell>
        </row>
      </sheetData>
      <sheetData sheetId="2"/>
      <sheetData sheetId="3"/>
      <sheetData sheetId="4">
        <row r="113">
          <cell r="CP113">
            <v>200728.83866555247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Intercalaire - Contributifs"/>
      <sheetName val="CDR Contributif 2007"/>
      <sheetName val="CDR Contributif 2006"/>
      <sheetName val="Bilan Actif Contributif 2007"/>
      <sheetName val="Bilan Actif Contributif 2006"/>
      <sheetName val="Bilan Passif Contributif 2007"/>
      <sheetName val="Bilan Passif Contributif 2006"/>
      <sheetName val="Tableau de Flux 2007"/>
      <sheetName val="Tableau de Flux 2006"/>
      <sheetName val="Tableau de Flux juin 2006"/>
      <sheetName val="Trésorerie Contributif 2007"/>
      <sheetName val="Trésorerie Contributif 2006"/>
      <sheetName val="Dette Nette Contributif 2007"/>
      <sheetName val="Dette Nette Contributif 2006"/>
      <sheetName val="CAF DFCE Contributif 2007"/>
      <sheetName val="CAF DFCE Contributif 2006"/>
      <sheetName val="Effectif Contributif 2007"/>
      <sheetName val="Effectif Contributif 2006"/>
      <sheetName val="TFT - Format Annexe "/>
      <sheetName val="Intercalaire - Var. Actif"/>
      <sheetName val="Ecart d'acquisitions"/>
      <sheetName val="Immobilisations incorporelles"/>
      <sheetName val="Immobilisations corporelles"/>
      <sheetName val="Titres de participations"/>
      <sheetName val="Actifs financiers à long terme"/>
      <sheetName val="Actifs non courants"/>
      <sheetName val="Actifs d'exploitation"/>
      <sheetName val="Trésorerie"/>
      <sheetName val="Actifs courants"/>
      <sheetName val="Total Actif"/>
      <sheetName val="Intercalaire - Var. Passif"/>
      <sheetName val="Capitaux Propres"/>
      <sheetName val="Passifs non courants"/>
      <sheetName val="Passifs courants"/>
      <sheetName val="Total Passif"/>
      <sheetName val="Intercalaire - Var. CDR"/>
      <sheetName val="Produits Activités ordinaires"/>
      <sheetName val="Sous-traitance - ACE"/>
      <sheetName val="Frais de personnel"/>
      <sheetName val="Autres produits et charges"/>
      <sheetName val="Marge Opérationnelle"/>
      <sheetName val="Résultat Opérationnel"/>
      <sheetName val="Résultat Financier"/>
      <sheetName val="Résultat Activités Ord. Av. Imp"/>
      <sheetName val="Résultat Net Activités Ord."/>
      <sheetName val="Résultat Hors Groupe"/>
      <sheetName val="Résultat Part du Groupe"/>
      <sheetName val="Intercalaire - Autres "/>
      <sheetName val="Effectif"/>
      <sheetName val="CAF"/>
      <sheetName val="DFCE"/>
      <sheetName val="Dette Nette"/>
      <sheetName val="Dimensions"/>
      <sheetName val="Dimensions2006"/>
      <sheetName val="Contrôles"/>
      <sheetName val="CDR"/>
      <sheetName val="Bilan Actif"/>
      <sheetName val="Bilan Passif"/>
      <sheetName val="CDR 2007 par secteur d'activité"/>
      <sheetName val="CDR 2006 par secteur d'activité"/>
      <sheetName val="Bilan 2007 par secteur d'activi"/>
      <sheetName val="Bilan 2006 par secteur d'activi"/>
      <sheetName val="CA 2007 par zones géo"/>
      <sheetName val="CA 2006 par zones géo"/>
      <sheetName val="Charges de Personnel"/>
      <sheetName val="Effectifs"/>
      <sheetName val="Ventilation impôt"/>
      <sheetName val="Ecart d'acquisition"/>
      <sheetName val="Provisions (cour. et n. cour.)"/>
      <sheetName val="Endettement financier net"/>
      <sheetName val="Endettement financier net v"/>
      <sheetName val="Parties liées Pr et Ch"/>
      <sheetName val="Parties liées Bilan"/>
      <sheetName val="BFR"/>
      <sheetName val="Immobilisations incorp en flux"/>
      <sheetName val="Immobilisations corp en flux "/>
    </sheetNames>
    <sheetDataSet>
      <sheetData sheetId="0" refreshError="1"/>
      <sheetData sheetId="1" refreshError="1"/>
      <sheetData sheetId="2" refreshError="1"/>
      <sheetData sheetId="3" refreshError="1"/>
      <sheetData sheetId="4" refreshError="1"/>
      <sheetData sheetId="5" refreshError="1"/>
      <sheetData sheetId="6" refreshError="1">
        <row r="1">
          <cell r="D1">
            <v>1</v>
          </cell>
          <cell r="G1" t="str">
            <v>RU=VFL20</v>
          </cell>
          <cell r="H1" t="str">
            <v>RU=VFL10</v>
          </cell>
          <cell r="I1" t="str">
            <v>RU=VFL11</v>
          </cell>
          <cell r="J1" t="str">
            <v>RU=VFL12</v>
          </cell>
          <cell r="K1" t="str">
            <v>RU=VFL13</v>
          </cell>
          <cell r="L1" t="str">
            <v>RU=VFL17</v>
          </cell>
          <cell r="M1" t="str">
            <v>S/T</v>
          </cell>
          <cell r="N1" t="str">
            <v>RU=VFL22</v>
          </cell>
          <cell r="O1" t="str">
            <v>RU=SC13</v>
          </cell>
          <cell r="P1" t="str">
            <v>RU=VFL03</v>
          </cell>
          <cell r="Q1" t="str">
            <v>RU=VFL15</v>
          </cell>
          <cell r="R1" t="str">
            <v>RU=VFL16</v>
          </cell>
          <cell r="S1" t="str">
            <v>RU=VFL18</v>
          </cell>
          <cell r="T1" t="str">
            <v>RU=VFL21</v>
          </cell>
        </row>
        <row r="2">
          <cell r="C2" t="str">
            <v>Bilan Passif Contributif</v>
          </cell>
          <cell r="D2">
            <v>2</v>
          </cell>
          <cell r="E2" t="str">
            <v>Total</v>
          </cell>
          <cell r="G2" t="str">
            <v>Gemafer</v>
          </cell>
          <cell r="H2" t="str">
            <v>CFD Industrie</v>
          </cell>
          <cell r="I2" t="str">
            <v>DESBRUGERES (absorbée par GEMAFER)</v>
          </cell>
          <cell r="J2" t="str">
            <v>Locorem</v>
          </cell>
          <cell r="K2" t="str">
            <v>LOCOTRACT (absorbée par GEMAFER)</v>
          </cell>
          <cell r="L2" t="str">
            <v>SERMA (absorbée par GEMAFER)</v>
          </cell>
          <cell r="M2" t="str">
            <v>VFLI Materiel</v>
          </cell>
          <cell r="N2" t="str">
            <v>VFLI Romania</v>
          </cell>
          <cell r="O2" t="str">
            <v>VFLI</v>
          </cell>
          <cell r="P2" t="str">
            <v>VFM (absorbée par VFLI SA)</v>
          </cell>
          <cell r="Q2" t="str">
            <v>LSI</v>
          </cell>
          <cell r="R2" t="str">
            <v>VFLI Cargo</v>
          </cell>
          <cell r="S2" t="str">
            <v>Instit. de Form. Eur. Multimodal</v>
          </cell>
          <cell r="T2" t="str">
            <v>FERTIS (absorbée par VFLI SA)</v>
          </cell>
        </row>
        <row r="3">
          <cell r="C3">
            <v>39447</v>
          </cell>
          <cell r="D3">
            <v>3</v>
          </cell>
          <cell r="E3" t="str">
            <v>VFLI</v>
          </cell>
          <cell r="G3" t="str">
            <v>VFL20</v>
          </cell>
          <cell r="H3" t="str">
            <v>VFL10</v>
          </cell>
          <cell r="I3" t="str">
            <v>VFL11</v>
          </cell>
          <cell r="J3" t="str">
            <v>VFL12</v>
          </cell>
          <cell r="K3" t="str">
            <v>VFL13</v>
          </cell>
          <cell r="L3" t="str">
            <v>VFL17</v>
          </cell>
          <cell r="M3" t="str">
            <v>VFLI Materiel</v>
          </cell>
          <cell r="N3" t="str">
            <v>VFL22</v>
          </cell>
          <cell r="O3" t="str">
            <v>SC13</v>
          </cell>
          <cell r="P3" t="str">
            <v>VFL03</v>
          </cell>
          <cell r="Q3" t="str">
            <v>VFL15</v>
          </cell>
          <cell r="R3" t="str">
            <v>VFL16</v>
          </cell>
          <cell r="S3" t="str">
            <v>VFL18</v>
          </cell>
          <cell r="T3" t="str">
            <v>VFL21</v>
          </cell>
        </row>
        <row r="4">
          <cell r="D4">
            <v>4</v>
          </cell>
        </row>
        <row r="5">
          <cell r="B5" t="str">
            <v>AC sum (IFRS-NIV02=1-IF-P000-00)</v>
          </cell>
          <cell r="C5" t="str">
            <v>Capital et primes liées au capital</v>
          </cell>
          <cell r="D5">
            <v>5</v>
          </cell>
          <cell r="E5">
            <v>24464</v>
          </cell>
          <cell r="G5">
            <v>0</v>
          </cell>
          <cell r="H5">
            <v>0</v>
          </cell>
          <cell r="I5">
            <v>0</v>
          </cell>
          <cell r="J5">
            <v>0</v>
          </cell>
          <cell r="K5">
            <v>0</v>
          </cell>
          <cell r="L5">
            <v>0</v>
          </cell>
          <cell r="M5">
            <v>0</v>
          </cell>
          <cell r="N5">
            <v>0</v>
          </cell>
          <cell r="O5">
            <v>24464</v>
          </cell>
          <cell r="P5">
            <v>0</v>
          </cell>
          <cell r="Q5">
            <v>0</v>
          </cell>
          <cell r="R5">
            <v>0</v>
          </cell>
          <cell r="S5">
            <v>0</v>
          </cell>
          <cell r="T5">
            <v>0</v>
          </cell>
        </row>
        <row r="6">
          <cell r="B6" t="str">
            <v>AC sum (IFRS-NIV02=1-IF-P000-10)</v>
          </cell>
          <cell r="C6" t="str">
            <v>Réserves consolidées</v>
          </cell>
          <cell r="D6">
            <v>6</v>
          </cell>
          <cell r="E6">
            <v>-9444.9729400425695</v>
          </cell>
          <cell r="G6">
            <v>-3975</v>
          </cell>
          <cell r="H6">
            <v>-6791.9729799999996</v>
          </cell>
          <cell r="I6">
            <v>-729.99998000250002</v>
          </cell>
          <cell r="J6">
            <v>-3161.9999800400601</v>
          </cell>
          <cell r="K6">
            <v>-3380</v>
          </cell>
          <cell r="L6">
            <v>-1250</v>
          </cell>
          <cell r="M6">
            <v>-19288.972940042557</v>
          </cell>
          <cell r="N6">
            <v>46</v>
          </cell>
          <cell r="O6">
            <v>12526</v>
          </cell>
          <cell r="P6">
            <v>-1651</v>
          </cell>
          <cell r="Q6">
            <v>-794</v>
          </cell>
          <cell r="R6">
            <v>-7090</v>
          </cell>
          <cell r="S6">
            <v>-250</v>
          </cell>
          <cell r="T6">
            <v>7057</v>
          </cell>
        </row>
        <row r="7">
          <cell r="B7" t="str">
            <v>AC sum (IFRS-NIV02=1-IF-P000-20)</v>
          </cell>
          <cell r="C7" t="str">
            <v>Résultat net de l'exercice</v>
          </cell>
          <cell r="D7">
            <v>7</v>
          </cell>
          <cell r="E7">
            <v>-5242</v>
          </cell>
          <cell r="G7">
            <v>-1088</v>
          </cell>
          <cell r="H7">
            <v>72</v>
          </cell>
          <cell r="I7">
            <v>-10</v>
          </cell>
          <cell r="J7">
            <v>0</v>
          </cell>
          <cell r="K7">
            <v>92.999999999999901</v>
          </cell>
          <cell r="L7">
            <v>17</v>
          </cell>
          <cell r="M7">
            <v>-916</v>
          </cell>
          <cell r="N7">
            <v>47</v>
          </cell>
          <cell r="O7">
            <v>-6861</v>
          </cell>
          <cell r="P7">
            <v>0</v>
          </cell>
          <cell r="Q7">
            <v>254</v>
          </cell>
          <cell r="R7">
            <v>899</v>
          </cell>
          <cell r="S7">
            <v>-22</v>
          </cell>
          <cell r="T7">
            <v>1357</v>
          </cell>
        </row>
        <row r="8">
          <cell r="B8" t="str">
            <v>AC sum (IFRS-NIV01=1-IF-P000)</v>
          </cell>
          <cell r="C8" t="str">
            <v>Capitaux propres Groupe</v>
          </cell>
          <cell r="D8">
            <v>8</v>
          </cell>
          <cell r="E8">
            <v>9777.0270599574305</v>
          </cell>
          <cell r="G8">
            <v>-5063</v>
          </cell>
          <cell r="H8">
            <v>-6719.9729799999996</v>
          </cell>
          <cell r="I8">
            <v>-739.99998000250002</v>
          </cell>
          <cell r="J8">
            <v>-3161.9999800400601</v>
          </cell>
          <cell r="K8">
            <v>-3287</v>
          </cell>
          <cell r="L8">
            <v>-1233</v>
          </cell>
          <cell r="M8">
            <v>-20204.972940042557</v>
          </cell>
          <cell r="N8">
            <v>93</v>
          </cell>
          <cell r="O8">
            <v>30129</v>
          </cell>
          <cell r="P8">
            <v>-1651</v>
          </cell>
          <cell r="Q8">
            <v>-540</v>
          </cell>
          <cell r="R8">
            <v>-6191</v>
          </cell>
          <cell r="S8">
            <v>-272</v>
          </cell>
          <cell r="T8">
            <v>8414</v>
          </cell>
        </row>
        <row r="9">
          <cell r="B9" t="str">
            <v>AC sum (IFRS-NIV01=1-IF-P010)</v>
          </cell>
          <cell r="C9" t="str">
            <v>Intérêts minoritaires</v>
          </cell>
          <cell r="D9">
            <v>9</v>
          </cell>
          <cell r="E9">
            <v>-2.7059957440162201E-2</v>
          </cell>
          <cell r="G9">
            <v>0</v>
          </cell>
          <cell r="H9">
            <v>-2.7020000000141101E-2</v>
          </cell>
          <cell r="I9">
            <v>-1.99974999017223E-5</v>
          </cell>
          <cell r="J9">
            <v>-1.9959940465120199E-5</v>
          </cell>
          <cell r="K9">
            <v>9.9920072216264104E-15</v>
          </cell>
          <cell r="L9">
            <v>0</v>
          </cell>
          <cell r="M9">
            <v>-2.705995744049795E-2</v>
          </cell>
          <cell r="N9">
            <v>0</v>
          </cell>
          <cell r="O9">
            <v>0</v>
          </cell>
          <cell r="P9">
            <v>-7.1054273576010003E-15</v>
          </cell>
          <cell r="Q9">
            <v>0</v>
          </cell>
          <cell r="R9">
            <v>0</v>
          </cell>
          <cell r="S9">
            <v>3.5527136788005001E-15</v>
          </cell>
          <cell r="T9">
            <v>-2.66453525910038E-15</v>
          </cell>
        </row>
        <row r="10">
          <cell r="D10">
            <v>10</v>
          </cell>
          <cell r="M10">
            <v>0</v>
          </cell>
        </row>
        <row r="11">
          <cell r="C11" t="str">
            <v>Capitaux Propres</v>
          </cell>
          <cell r="D11">
            <v>11</v>
          </cell>
          <cell r="E11">
            <v>9776.9999999999909</v>
          </cell>
          <cell r="G11">
            <v>-5063</v>
          </cell>
          <cell r="H11">
            <v>-6720</v>
          </cell>
          <cell r="I11">
            <v>-740</v>
          </cell>
          <cell r="J11">
            <v>-3162</v>
          </cell>
          <cell r="K11">
            <v>-3287</v>
          </cell>
          <cell r="L11">
            <v>-1233</v>
          </cell>
          <cell r="M11">
            <v>-20205</v>
          </cell>
          <cell r="N11">
            <v>93</v>
          </cell>
          <cell r="O11">
            <v>30129</v>
          </cell>
          <cell r="P11">
            <v>-1651</v>
          </cell>
          <cell r="Q11">
            <v>-540</v>
          </cell>
          <cell r="R11">
            <v>-6191</v>
          </cell>
          <cell r="S11">
            <v>-272</v>
          </cell>
          <cell r="T11">
            <v>8414</v>
          </cell>
        </row>
        <row r="12">
          <cell r="D12">
            <v>12</v>
          </cell>
          <cell r="M12">
            <v>0</v>
          </cell>
        </row>
        <row r="13">
          <cell r="B13" t="str">
            <v>AC sum (IFRS-NIV01=1-IF-P100)</v>
          </cell>
          <cell r="C13" t="str">
            <v>Provisions non courantes</v>
          </cell>
          <cell r="D13">
            <v>13</v>
          </cell>
          <cell r="E13">
            <v>2531</v>
          </cell>
          <cell r="G13">
            <v>0</v>
          </cell>
          <cell r="H13">
            <v>127</v>
          </cell>
          <cell r="I13">
            <v>40</v>
          </cell>
          <cell r="J13">
            <v>0</v>
          </cell>
          <cell r="K13">
            <v>2</v>
          </cell>
          <cell r="L13">
            <v>7</v>
          </cell>
          <cell r="M13">
            <v>176</v>
          </cell>
          <cell r="N13">
            <v>0</v>
          </cell>
          <cell r="O13">
            <v>2089</v>
          </cell>
          <cell r="P13">
            <v>104</v>
          </cell>
          <cell r="Q13">
            <v>0</v>
          </cell>
          <cell r="R13">
            <v>97</v>
          </cell>
          <cell r="S13">
            <v>2</v>
          </cell>
          <cell r="T13">
            <v>63</v>
          </cell>
        </row>
        <row r="14">
          <cell r="B14" t="str">
            <v>AC sum (IFRS-NIV01=1-IF-P110)</v>
          </cell>
          <cell r="C14" t="str">
            <v>Passifs financiers non courants</v>
          </cell>
          <cell r="D14">
            <v>14</v>
          </cell>
          <cell r="E14">
            <v>4572</v>
          </cell>
          <cell r="G14">
            <v>3680</v>
          </cell>
          <cell r="H14">
            <v>0</v>
          </cell>
          <cell r="I14">
            <v>0</v>
          </cell>
          <cell r="J14">
            <v>0</v>
          </cell>
          <cell r="K14">
            <v>0</v>
          </cell>
          <cell r="L14">
            <v>0</v>
          </cell>
          <cell r="M14">
            <v>3680</v>
          </cell>
          <cell r="N14">
            <v>0</v>
          </cell>
          <cell r="O14">
            <v>0</v>
          </cell>
          <cell r="P14">
            <v>0</v>
          </cell>
          <cell r="Q14">
            <v>892</v>
          </cell>
          <cell r="R14">
            <v>0</v>
          </cell>
          <cell r="S14">
            <v>0</v>
          </cell>
          <cell r="T14">
            <v>0</v>
          </cell>
        </row>
        <row r="15">
          <cell r="B15" t="str">
            <v>AC sum (IFRS-NIV01=1-IF-P120)</v>
          </cell>
          <cell r="C15" t="str">
            <v>Impôts différés passif</v>
          </cell>
          <cell r="D15">
            <v>15</v>
          </cell>
          <cell r="E15">
            <v>0</v>
          </cell>
          <cell r="G15">
            <v>0</v>
          </cell>
          <cell r="H15">
            <v>0</v>
          </cell>
          <cell r="I15">
            <v>0</v>
          </cell>
          <cell r="J15">
            <v>0</v>
          </cell>
          <cell r="K15">
            <v>0</v>
          </cell>
          <cell r="L15">
            <v>0</v>
          </cell>
          <cell r="M15">
            <v>0</v>
          </cell>
          <cell r="N15">
            <v>0</v>
          </cell>
          <cell r="O15">
            <v>0</v>
          </cell>
          <cell r="P15">
            <v>0</v>
          </cell>
          <cell r="Q15">
            <v>0</v>
          </cell>
          <cell r="R15">
            <v>0</v>
          </cell>
          <cell r="S15">
            <v>0</v>
          </cell>
          <cell r="T15">
            <v>0</v>
          </cell>
        </row>
        <row r="16">
          <cell r="D16">
            <v>16</v>
          </cell>
          <cell r="M16">
            <v>0</v>
          </cell>
        </row>
        <row r="17">
          <cell r="C17" t="str">
            <v>Total Passifs non courant</v>
          </cell>
          <cell r="D17">
            <v>17</v>
          </cell>
          <cell r="E17">
            <v>7103</v>
          </cell>
          <cell r="G17">
            <v>3680</v>
          </cell>
          <cell r="H17">
            <v>127</v>
          </cell>
          <cell r="I17">
            <v>40</v>
          </cell>
          <cell r="J17">
            <v>0</v>
          </cell>
          <cell r="K17">
            <v>2</v>
          </cell>
          <cell r="L17">
            <v>7</v>
          </cell>
          <cell r="M17">
            <v>3856</v>
          </cell>
          <cell r="N17">
            <v>0</v>
          </cell>
          <cell r="O17">
            <v>2089</v>
          </cell>
          <cell r="P17">
            <v>104</v>
          </cell>
          <cell r="Q17">
            <v>892</v>
          </cell>
          <cell r="R17">
            <v>97</v>
          </cell>
          <cell r="S17">
            <v>2</v>
          </cell>
          <cell r="T17">
            <v>63</v>
          </cell>
        </row>
        <row r="18">
          <cell r="D18">
            <v>18</v>
          </cell>
          <cell r="M18">
            <v>0</v>
          </cell>
        </row>
        <row r="19">
          <cell r="B19" t="str">
            <v>AC sum (IFRS-NIV01=1-IF-P200)</v>
          </cell>
          <cell r="C19" t="str">
            <v>Provisions courantes</v>
          </cell>
          <cell r="D19">
            <v>19</v>
          </cell>
          <cell r="E19">
            <v>5308</v>
          </cell>
          <cell r="G19">
            <v>365</v>
          </cell>
          <cell r="H19">
            <v>229</v>
          </cell>
          <cell r="I19">
            <v>25</v>
          </cell>
          <cell r="J19">
            <v>9</v>
          </cell>
          <cell r="K19">
            <v>126</v>
          </cell>
          <cell r="L19">
            <v>92</v>
          </cell>
          <cell r="M19">
            <v>846</v>
          </cell>
          <cell r="N19">
            <v>0</v>
          </cell>
          <cell r="O19">
            <v>3909</v>
          </cell>
          <cell r="P19">
            <v>23</v>
          </cell>
          <cell r="Q19">
            <v>70</v>
          </cell>
          <cell r="R19">
            <v>337</v>
          </cell>
          <cell r="S19">
            <v>4</v>
          </cell>
          <cell r="T19">
            <v>119</v>
          </cell>
        </row>
        <row r="20">
          <cell r="B20" t="str">
            <v>AC sum (IFRS-NIV01=1-IF-P210)</v>
          </cell>
          <cell r="C20" t="str">
            <v>Fournisseurs et comptes rattachés</v>
          </cell>
          <cell r="D20">
            <v>20</v>
          </cell>
          <cell r="E20">
            <v>12038</v>
          </cell>
          <cell r="G20">
            <v>1290</v>
          </cell>
          <cell r="H20">
            <v>674</v>
          </cell>
          <cell r="I20">
            <v>220</v>
          </cell>
          <cell r="J20">
            <v>66</v>
          </cell>
          <cell r="K20">
            <v>222</v>
          </cell>
          <cell r="L20">
            <v>124</v>
          </cell>
          <cell r="M20">
            <v>2596</v>
          </cell>
          <cell r="N20">
            <v>11</v>
          </cell>
          <cell r="O20">
            <v>5016</v>
          </cell>
          <cell r="P20">
            <v>188</v>
          </cell>
          <cell r="Q20">
            <v>156</v>
          </cell>
          <cell r="R20">
            <v>2196</v>
          </cell>
          <cell r="S20">
            <v>218</v>
          </cell>
          <cell r="T20">
            <v>1657</v>
          </cell>
        </row>
        <row r="21">
          <cell r="B21" t="str">
            <v>AC sum (IFRS-NIV01=1-IF-P220)</v>
          </cell>
          <cell r="C21" t="str">
            <v>Autres comptes créditeurs</v>
          </cell>
          <cell r="D21">
            <v>21</v>
          </cell>
          <cell r="E21">
            <v>19663</v>
          </cell>
          <cell r="G21">
            <v>2075</v>
          </cell>
          <cell r="H21">
            <v>1241</v>
          </cell>
          <cell r="I21">
            <v>185</v>
          </cell>
          <cell r="J21">
            <v>11</v>
          </cell>
          <cell r="K21">
            <v>69</v>
          </cell>
          <cell r="L21">
            <v>502</v>
          </cell>
          <cell r="M21">
            <v>4083</v>
          </cell>
          <cell r="N21">
            <v>69</v>
          </cell>
          <cell r="O21">
            <v>5767</v>
          </cell>
          <cell r="P21">
            <v>535</v>
          </cell>
          <cell r="Q21">
            <v>59</v>
          </cell>
          <cell r="R21">
            <v>2241</v>
          </cell>
          <cell r="S21">
            <v>170</v>
          </cell>
          <cell r="T21">
            <v>6739</v>
          </cell>
        </row>
        <row r="22">
          <cell r="D22">
            <v>22</v>
          </cell>
          <cell r="M22">
            <v>0</v>
          </cell>
        </row>
        <row r="23">
          <cell r="B23" t="str">
            <v>AC sum (IFRS-NIV01=1-IF-P300)</v>
          </cell>
          <cell r="C23" t="str">
            <v>Passifs financiers courants</v>
          </cell>
          <cell r="D23">
            <v>23</v>
          </cell>
          <cell r="E23">
            <v>6196</v>
          </cell>
          <cell r="G23">
            <v>8648</v>
          </cell>
          <cell r="H23">
            <v>915</v>
          </cell>
          <cell r="I23">
            <v>909</v>
          </cell>
          <cell r="J23">
            <v>2477</v>
          </cell>
          <cell r="K23">
            <v>599</v>
          </cell>
          <cell r="L23">
            <v>141</v>
          </cell>
          <cell r="M23">
            <v>13689</v>
          </cell>
          <cell r="N23">
            <v>50</v>
          </cell>
          <cell r="O23">
            <v>-1638</v>
          </cell>
          <cell r="P23">
            <v>1200</v>
          </cell>
          <cell r="Q23">
            <v>306</v>
          </cell>
          <cell r="R23">
            <v>4099</v>
          </cell>
          <cell r="S23">
            <v>305</v>
          </cell>
          <cell r="T23">
            <v>-11815</v>
          </cell>
        </row>
        <row r="24">
          <cell r="D24">
            <v>24</v>
          </cell>
          <cell r="M24">
            <v>0</v>
          </cell>
        </row>
        <row r="25">
          <cell r="C25" t="str">
            <v>Total Passifs courants</v>
          </cell>
          <cell r="D25">
            <v>25</v>
          </cell>
          <cell r="E25">
            <v>43205</v>
          </cell>
          <cell r="G25">
            <v>12378</v>
          </cell>
          <cell r="H25">
            <v>3059</v>
          </cell>
          <cell r="I25">
            <v>1339</v>
          </cell>
          <cell r="J25">
            <v>2563</v>
          </cell>
          <cell r="K25">
            <v>1016</v>
          </cell>
          <cell r="L25">
            <v>859</v>
          </cell>
          <cell r="M25">
            <v>21214</v>
          </cell>
          <cell r="N25">
            <v>130</v>
          </cell>
          <cell r="O25">
            <v>13054</v>
          </cell>
          <cell r="P25">
            <v>1946</v>
          </cell>
          <cell r="Q25">
            <v>591</v>
          </cell>
          <cell r="R25">
            <v>8873</v>
          </cell>
          <cell r="S25">
            <v>697</v>
          </cell>
          <cell r="T25">
            <v>-3300</v>
          </cell>
        </row>
        <row r="26">
          <cell r="D26">
            <v>26</v>
          </cell>
          <cell r="M26">
            <v>0</v>
          </cell>
        </row>
        <row r="27">
          <cell r="C27" t="str">
            <v>Total Passif</v>
          </cell>
          <cell r="D27">
            <v>27</v>
          </cell>
          <cell r="E27">
            <v>60085</v>
          </cell>
          <cell r="G27">
            <v>10995</v>
          </cell>
          <cell r="H27">
            <v>-3534</v>
          </cell>
          <cell r="I27">
            <v>639</v>
          </cell>
          <cell r="J27">
            <v>-599</v>
          </cell>
          <cell r="K27">
            <v>-2269</v>
          </cell>
          <cell r="L27">
            <v>-367</v>
          </cell>
          <cell r="M27">
            <v>4865</v>
          </cell>
          <cell r="N27">
            <v>223</v>
          </cell>
          <cell r="O27">
            <v>45272</v>
          </cell>
          <cell r="P27">
            <v>399</v>
          </cell>
          <cell r="Q27">
            <v>943</v>
          </cell>
          <cell r="R27">
            <v>2779</v>
          </cell>
          <cell r="S27">
            <v>427</v>
          </cell>
          <cell r="T27">
            <v>5177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m"/>
      <sheetName val="cp"/>
      <sheetName val="dof"/>
      <sheetName val="Bilan"/>
      <sheetName val="Immo"/>
      <sheetName val="Tréso"/>
      <sheetName val="Pdt cession récurrent Filiales"/>
      <sheetName val="Cessions Geodis"/>
      <sheetName val="Reclass prov utilisées EPIC"/>
      <sheetName val="Reclass prov utilisées Filiales"/>
      <sheetName val="Abandon activité Geodis Iberia"/>
      <sheetName val="Dimensions"/>
      <sheetName val="CDR"/>
      <sheetName val="PLAGES"/>
      <sheetName val="Pdt_cession_récurrent_Filiales"/>
      <sheetName val="Cessions_Geodis"/>
      <sheetName val="Reclass_prov_utilisées_EPIC"/>
      <sheetName val="Reclass_prov_utilisées_Filiales"/>
      <sheetName val="Abandon_activité_Geodis_Ibe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Résultat conso"/>
      <sheetName val="DFCE sans BFRI"/>
      <sheetName val="DCFE avec BFRI"/>
      <sheetName val="Invts"/>
      <sheetName val="3.2 Dette nette"/>
      <sheetName val="3.3 Bilan"/>
      <sheetName val="3.3 Avis sur les actifs"/>
      <sheetName val="3.4 Concours public"/>
      <sheetName val="3.5 Effectifs et pol sociale"/>
      <sheetName val="Rés courant"/>
      <sheetName val="5.4 CR EPiC"/>
      <sheetName val="5.4 Bilan EPIC"/>
      <sheetName val="5.4 TFT EPIC"/>
      <sheetName val="3.2 Maîtrise de la dette"/>
      <sheetName val="billeti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First"/>
      <sheetName val="Title"/>
      <sheetName val="ControlSheet"/>
      <sheetName val="BalanceSheetAssets"/>
      <sheetName val="BalanceSheetLiabilities"/>
      <sheetName val="EquityControl"/>
      <sheetName val="IncomeStatementNature"/>
      <sheetName val="NatureByDestination"/>
      <sheetName val="IncomeStatement"/>
      <sheetName val="Revenue"/>
      <sheetName val="CashFlow"/>
      <sheetName val="PropertyPlantEquipment"/>
      <sheetName val="Lease"/>
      <sheetName val="IntangibleAssets"/>
      <sheetName val="CashEquivalent"/>
      <sheetName val="AccountsReceivable"/>
      <sheetName val="Interco"/>
      <sheetName val="IncomeTaxes"/>
      <sheetName val="DetailOfAccounts"/>
      <sheetName val="RetirementPension"/>
      <sheetName val="GeographicInfo"/>
      <sheetName val="Depreciation"/>
      <sheetName val="FinancialRevenue"/>
      <sheetName val="PersonnelCost"/>
      <sheetName val="Contingencies"/>
      <sheetName val="UnadjustedDifferences"/>
      <sheetName val="DIMENSIONS"/>
    </sheetNames>
    <sheetDataSet>
      <sheetData sheetId="0">
        <row r="5">
          <cell r="E5" t="str">
            <v>Enovia</v>
          </cell>
        </row>
        <row r="6">
          <cell r="E6">
            <v>35795</v>
          </cell>
        </row>
      </sheetData>
      <sheetData sheetId="1" refreshError="1"/>
      <sheetData sheetId="2">
        <row r="1">
          <cell r="H1">
            <v>500</v>
          </cell>
        </row>
      </sheetData>
      <sheetData sheetId="3" refreshError="1"/>
      <sheetData sheetId="4" refreshError="1">
        <row r="29">
          <cell r="L29">
            <v>0</v>
          </cell>
        </row>
        <row r="30">
          <cell r="L30">
            <v>0</v>
          </cell>
        </row>
        <row r="31">
          <cell r="L31">
            <v>0</v>
          </cell>
        </row>
        <row r="32">
          <cell r="L32">
            <v>0</v>
          </cell>
        </row>
        <row r="33">
          <cell r="L33">
            <v>0</v>
          </cell>
        </row>
        <row r="34">
          <cell r="F34">
            <v>0</v>
          </cell>
          <cell r="L34">
            <v>0</v>
          </cell>
        </row>
      </sheetData>
      <sheetData sheetId="5" refreshError="1"/>
      <sheetData sheetId="6" refreshError="1"/>
      <sheetData sheetId="7" refreshError="1"/>
      <sheetData sheetId="8">
        <row r="36">
          <cell r="J36">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ssfireHiddenWorksheet"/>
      <sheetName val="Business Review &gt;&gt;"/>
      <sheetName val="Business Review Summary_£m "/>
      <sheetName val="Business Review Summary_£k"/>
      <sheetName val="Infrastructure by Type"/>
      <sheetName val="Waterfall Analysis"/>
      <sheetName val="PAX Budget vs 1+11"/>
      <sheetName val="Monthly Variance Analysis&gt;&gt;"/>
      <sheetName val="Monthly Cost Centre Analysis"/>
      <sheetName val="Budget - ET"/>
      <sheetName val="Budget - TA &amp; Energy Variance"/>
      <sheetName val="Budget - UK TA Variance"/>
      <sheetName val="Forecast - ET"/>
      <sheetName val="Forecast - TA &amp; Energy Var"/>
      <sheetName val="Forecast - UK TA Variance"/>
      <sheetName val="CC by Type&gt;&gt;"/>
      <sheetName val="Track Access&gt;&gt;"/>
      <sheetName val="Setup"/>
      <sheetName val="800"/>
      <sheetName val="801"/>
      <sheetName val="802"/>
      <sheetName val="808"/>
      <sheetName val="Energy&gt;&gt;"/>
      <sheetName val="803"/>
      <sheetName val="804"/>
      <sheetName val="805"/>
      <sheetName val="809"/>
      <sheetName val="ET &amp; TL&gt;&gt;"/>
      <sheetName val="806"/>
      <sheetName val="807"/>
      <sheetName val="Additional Info&gt;&gt;"/>
      <sheetName val="PY Metrics"/>
      <sheetName val="Full Year Forecast 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ssfireHiddenWorksheet"/>
      <sheetName val="Business Review &gt;&gt;"/>
      <sheetName val="Business Review Summary_£m "/>
      <sheetName val="Business Review Summary_£k"/>
      <sheetName val="Infrastructure by Type"/>
      <sheetName val="Waterfall Analysis"/>
      <sheetName val="PAX Budget vs 1+11"/>
      <sheetName val="Monthly Variance Analysis&gt;&gt;"/>
      <sheetName val="Monthly Cost Centre Analysis"/>
      <sheetName val="Budget - ET"/>
      <sheetName val="Budget - TA &amp; Energy Variance"/>
      <sheetName val="Budget - UK TA Variance"/>
      <sheetName val="Forecast - ET"/>
      <sheetName val="Forecast - TA &amp; Energy Var"/>
      <sheetName val="Forecast - UK TA Variance"/>
      <sheetName val="CC by Type&gt;&gt;"/>
      <sheetName val="Track Access&gt;&gt;"/>
      <sheetName val="Setup"/>
      <sheetName val="800"/>
      <sheetName val="801"/>
      <sheetName val="802"/>
      <sheetName val="808"/>
      <sheetName val="Energy&gt;&gt;"/>
      <sheetName val="803"/>
      <sheetName val="804"/>
      <sheetName val="805"/>
      <sheetName val="809"/>
      <sheetName val="ET &amp; TL&gt;&gt;"/>
      <sheetName val="806"/>
      <sheetName val="807"/>
      <sheetName val="Additional Info&gt;&gt;"/>
      <sheetName val="PY Metrics"/>
      <sheetName val="Full Year Forecast 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E1" t="str">
            <v>Jan</v>
          </cell>
        </row>
        <row r="31">
          <cell r="A31">
            <v>1.1328887729999999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dettement Net"/>
      <sheetName val="VAR Dette fin SNCFP"/>
      <sheetName val="FTB 2.3."/>
      <sheetName val="EVOL DETTE"/>
      <sheetName val="VarImmo Fi"/>
      <sheetName val="Endettement_Net"/>
      <sheetName val="VAR_Dette_fin_SNCFP"/>
      <sheetName val="FTB_2_3_"/>
      <sheetName val="EVOL_DETTE"/>
      <sheetName val="VarImmo_Fi"/>
      <sheetName val="Endettement_Net1"/>
      <sheetName val="VAR_Dette_fin_SNCFP1"/>
      <sheetName val="FTB_2_3_1"/>
      <sheetName val="EVOL_DETTE1"/>
      <sheetName val="VarImmo_Fi1"/>
    </sheetNames>
    <sheetDataSet>
      <sheetData sheetId="0"/>
      <sheetData sheetId="1"/>
      <sheetData sheetId="2" refreshError="1">
        <row r="21">
          <cell r="G21">
            <v>442.45796000000001</v>
          </cell>
        </row>
      </sheetData>
      <sheetData sheetId="3"/>
      <sheetData sheetId="4" refreshError="1">
        <row r="4">
          <cell r="Q4">
            <v>442.45796000000001</v>
          </cell>
        </row>
      </sheetData>
      <sheetData sheetId="5"/>
      <sheetData sheetId="6"/>
      <sheetData sheetId="7">
        <row r="21">
          <cell r="G21">
            <v>442.45796000000001</v>
          </cell>
        </row>
      </sheetData>
      <sheetData sheetId="8"/>
      <sheetData sheetId="9">
        <row r="4">
          <cell r="Q4">
            <v>442.45796000000001</v>
          </cell>
        </row>
      </sheetData>
      <sheetData sheetId="10"/>
      <sheetData sheetId="11"/>
      <sheetData sheetId="12"/>
      <sheetData sheetId="13"/>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élais 12-2002"/>
      <sheetName val="SIRET"/>
      <sheetName val="Indicateurs 2003"/>
      <sheetName val="Suivi des temps"/>
      <sheetName val="31-12-2006"/>
      <sheetName val="30-11-2006"/>
      <sheetName val="30-09-2006"/>
      <sheetName val="30-06-2006"/>
      <sheetName val="31-03-2006"/>
      <sheetName val="DGE 2005"/>
      <sheetName val="DGE 2004"/>
      <sheetName val="DGE 2003"/>
      <sheetName val="FORMA° INFO +"/>
      <sheetName val="IF SNCF 2006"/>
      <sheetName val="31-12-2005"/>
      <sheetName val="30-06-2005 IFRS"/>
      <sheetName val="30-06-2005"/>
      <sheetName val="31-12-2004 IFRS"/>
      <sheetName val="31-12-2004"/>
      <sheetName val="IF SNCF 2005"/>
      <sheetName val="30-06-2004"/>
      <sheetName val="Users Magnitude Phase C"/>
      <sheetName val="31-12-2003 IFRS"/>
      <sheetName val="31-12-2003"/>
      <sheetName val="CAC 12-2003"/>
      <sheetName val="IF SNCF 2004"/>
      <sheetName val="30-06-2003"/>
      <sheetName val="IFRS"/>
      <sheetName val="Hors bilan"/>
      <sheetName val="31-12-2002"/>
      <sheetName val="DGE 2002"/>
      <sheetName val="CAC 12-2002"/>
      <sheetName val="31-10-2002"/>
      <sheetName val="IF SNCF 2003"/>
      <sheetName val="Délai 30-06"/>
      <sheetName val="30-06-2002"/>
      <sheetName val="31-05-2002"/>
      <sheetName val="CAC 12-2001"/>
      <sheetName val="DGE 2001"/>
      <sheetName val="Délais 31-12"/>
      <sheetName val="31-12-2001"/>
      <sheetName val="Conversion"/>
      <sheetName val="Diffusion"/>
      <sheetName val="Contacts"/>
      <sheetName val="Lexique SNCF"/>
      <sheetName val="Voeux"/>
      <sheetName val="Demande LF"/>
      <sheetName val="INF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FTE Summary"/>
      <sheetName val="2017 Forecast - FTE"/>
      <sheetName val="Mar-17"/>
      <sheetName val="Feb-17"/>
      <sheetName val="Jan-17"/>
      <sheetName val="Dec-16"/>
      <sheetName val="Nov-16"/>
      <sheetName val="Oct-16"/>
      <sheetName val="Sep-16"/>
      <sheetName val="FTE Detailed"/>
      <sheetName val="Sheet1"/>
      <sheetName val="2017 Budget - FTE"/>
      <sheetName val="FTE Analysis Summary"/>
      <sheetName val="FTE Analysis"/>
      <sheetName val="Joiners December"/>
      <sheetName val="Current positions"/>
      <sheetName val="Contractors"/>
      <sheetName val="Charts"/>
      <sheetName val="Cost Centre Adjustments"/>
      <sheetName val="FTE pivot"/>
      <sheetName val="Employee Category Headcount"/>
      <sheetName val="Employee List"/>
      <sheetName val="Absence Details"/>
      <sheetName val="INPUTS&gt;&gt;"/>
      <sheetName val="Staff Costs"/>
      <sheetName val="Staff Costs Data"/>
      <sheetName val="2015 Budget - Staff Costs"/>
      <sheetName val="Organization"/>
      <sheetName val="iSetup"/>
      <sheetName val="pivots"/>
      <sheetName val="Capex Register"/>
      <sheetName val="Costs per FTE 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FTE Summary"/>
      <sheetName val="2017 Forecast - FTE"/>
      <sheetName val="Mar-17"/>
      <sheetName val="Feb-17"/>
      <sheetName val="Jan-17"/>
      <sheetName val="Dec-16"/>
      <sheetName val="Nov-16"/>
      <sheetName val="Oct-16"/>
      <sheetName val="Sep-16"/>
      <sheetName val="FTE Detailed"/>
      <sheetName val="Sheet1"/>
      <sheetName val="2017 Budget - FTE"/>
      <sheetName val="FTE Analysis Summary"/>
      <sheetName val="FTE Analysis"/>
      <sheetName val="Joiners December"/>
      <sheetName val="Current positions"/>
      <sheetName val="Contractors"/>
      <sheetName val="Charts"/>
      <sheetName val="Cost Centre Adjustments"/>
      <sheetName val="FTE pivot"/>
      <sheetName val="Employee Category Headcount"/>
      <sheetName val="Employee List"/>
      <sheetName val="Absence Details"/>
      <sheetName val="INPUTS&gt;&gt;"/>
      <sheetName val="Staff Costs"/>
      <sheetName val="Staff Costs Data"/>
      <sheetName val="2015 Budget - Staff Costs"/>
      <sheetName val="Organization"/>
      <sheetName val="iSetup"/>
      <sheetName val="pivots"/>
      <sheetName val="Capex Register"/>
      <sheetName val="Costs per FTE 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v>42370</v>
          </cell>
        </row>
        <row r="3">
          <cell r="A3">
            <v>42401</v>
          </cell>
        </row>
        <row r="4">
          <cell r="A4">
            <v>42430</v>
          </cell>
        </row>
        <row r="5">
          <cell r="A5">
            <v>42461</v>
          </cell>
        </row>
        <row r="6">
          <cell r="A6">
            <v>42491</v>
          </cell>
        </row>
        <row r="7">
          <cell r="A7">
            <v>42522</v>
          </cell>
        </row>
        <row r="8">
          <cell r="A8">
            <v>42552</v>
          </cell>
        </row>
        <row r="9">
          <cell r="A9">
            <v>42583</v>
          </cell>
        </row>
        <row r="10">
          <cell r="A10">
            <v>42614</v>
          </cell>
        </row>
        <row r="11">
          <cell r="A11">
            <v>42644</v>
          </cell>
        </row>
        <row r="12">
          <cell r="A12">
            <v>42675</v>
          </cell>
        </row>
        <row r="13">
          <cell r="A13">
            <v>42705</v>
          </cell>
        </row>
        <row r="14">
          <cell r="A14">
            <v>42736</v>
          </cell>
        </row>
        <row r="15">
          <cell r="A15">
            <v>42767</v>
          </cell>
        </row>
        <row r="16">
          <cell r="A16">
            <v>42795</v>
          </cell>
        </row>
        <row r="17">
          <cell r="A17">
            <v>42826</v>
          </cell>
        </row>
        <row r="18">
          <cell r="A18">
            <v>42856</v>
          </cell>
        </row>
        <row r="19">
          <cell r="A19">
            <v>42887</v>
          </cell>
        </row>
        <row r="20">
          <cell r="A20">
            <v>42917</v>
          </cell>
        </row>
        <row r="21">
          <cell r="A21">
            <v>42948</v>
          </cell>
        </row>
        <row r="22">
          <cell r="A22">
            <v>42979</v>
          </cell>
        </row>
        <row r="23">
          <cell r="A23">
            <v>43009</v>
          </cell>
        </row>
        <row r="24">
          <cell r="A24">
            <v>43040</v>
          </cell>
        </row>
        <row r="25">
          <cell r="A25">
            <v>43070</v>
          </cell>
        </row>
        <row r="26">
          <cell r="A26">
            <v>43101</v>
          </cell>
        </row>
        <row r="27">
          <cell r="A27">
            <v>43132</v>
          </cell>
        </row>
        <row r="28">
          <cell r="A28">
            <v>43160</v>
          </cell>
        </row>
        <row r="29">
          <cell r="A29">
            <v>43191</v>
          </cell>
        </row>
        <row r="30">
          <cell r="A30">
            <v>43221</v>
          </cell>
        </row>
        <row r="31">
          <cell r="A31">
            <v>43252</v>
          </cell>
        </row>
        <row r="32">
          <cell r="A32">
            <v>43282</v>
          </cell>
        </row>
        <row r="33">
          <cell r="A33">
            <v>43313</v>
          </cell>
        </row>
        <row r="34">
          <cell r="A34">
            <v>43344</v>
          </cell>
        </row>
        <row r="35">
          <cell r="A35">
            <v>43374</v>
          </cell>
        </row>
        <row r="36">
          <cell r="A36">
            <v>43405</v>
          </cell>
        </row>
        <row r="37">
          <cell r="A37">
            <v>43435</v>
          </cell>
        </row>
        <row r="38">
          <cell r="A38">
            <v>43466</v>
          </cell>
        </row>
        <row r="39">
          <cell r="A39">
            <v>43497</v>
          </cell>
        </row>
        <row r="40">
          <cell r="A40">
            <v>43525</v>
          </cell>
        </row>
        <row r="41">
          <cell r="A41">
            <v>43556</v>
          </cell>
        </row>
        <row r="42">
          <cell r="A42">
            <v>43586</v>
          </cell>
        </row>
        <row r="43">
          <cell r="A43">
            <v>43617</v>
          </cell>
        </row>
        <row r="44">
          <cell r="A44">
            <v>43647</v>
          </cell>
        </row>
        <row r="45">
          <cell r="A45">
            <v>43678</v>
          </cell>
        </row>
        <row r="46">
          <cell r="A46">
            <v>43709</v>
          </cell>
        </row>
        <row r="47">
          <cell r="A47">
            <v>43739</v>
          </cell>
        </row>
        <row r="48">
          <cell r="A48">
            <v>43770</v>
          </cell>
        </row>
        <row r="49">
          <cell r="A49">
            <v>43800</v>
          </cell>
        </row>
      </sheetData>
      <sheetData sheetId="30" refreshError="1"/>
      <sheetData sheetId="31" refreshError="1"/>
      <sheetData sheetId="3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 2011"/>
      <sheetName val="base trains"/>
      <sheetName val="base F&amp;B"/>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Route"/>
      <sheetName val="recapRes"/>
      <sheetName val="offre"/>
      <sheetName val="coûts"/>
      <sheetName val="infra"/>
      <sheetName val="SAB CAV"/>
      <sheetName val="maint"/>
      <sheetName val="Ch de K"/>
      <sheetName val="CU"/>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 Communes"/>
      <sheetName val="RC - budget ok"/>
      <sheetName val="CRN - budget ok"/>
      <sheetName val="reste à faire par A-D ok"/>
      <sheetName val="reste à faire par nature ok"/>
      <sheetName val="DFCE ok"/>
      <sheetName val="produits ok"/>
      <sheetName val="EDG fin de période ok"/>
      <sheetName val="EDG moyen ok"/>
      <sheetName val="péages ok"/>
      <sheetName val="ACE ok"/>
      <sheetName val="EBE à R net ok"/>
      <sheetName val="trafic &amp; produits GL ok"/>
      <sheetName val="trafic &amp; produits TER ok"/>
      <sheetName val="trafic &amp; produits Transilien ok"/>
      <sheetName val="trafic &amp; produits Corail IC ok"/>
      <sheetName val="trafic et produits Fret"/>
      <sheetName val="CR VFE"/>
      <sheetName val="CR GL ok"/>
      <sheetName val="CR Gares ok"/>
      <sheetName val="CR TP ok"/>
      <sheetName val="CR TER ok"/>
      <sheetName val="CR Transilien ok"/>
      <sheetName val="CR Corail IC ok"/>
      <sheetName val="CR Fret ok"/>
      <sheetName val="CR Infra OK"/>
      <sheetName val="CR Traction ok"/>
      <sheetName val="Traction élts de résultat ok"/>
      <sheetName val="CR Mat ok"/>
      <sheetName val="Matériel élts de résultat ok"/>
      <sheetName val="CR FT ok"/>
      <sheetName val="CR FT-RH ok"/>
      <sheetName val="CR FT-FAST ok"/>
      <sheetName val="CR FT-PRSG ok"/>
      <sheetName val="CR FT-DI ok"/>
      <sheetName val="CR FT-ENT ok"/>
      <sheetName val="Variables_Communes"/>
      <sheetName val="RC_-_budget_ok"/>
      <sheetName val="CRN_-_budget_ok"/>
      <sheetName val="reste_à_faire_par_A-D_ok"/>
      <sheetName val="reste_à_faire_par_nature_ok"/>
      <sheetName val="DFCE_ok"/>
      <sheetName val="produits_ok"/>
      <sheetName val="EDG_fin_de_période_ok"/>
      <sheetName val="EDG_moyen_ok"/>
      <sheetName val="péages_ok"/>
      <sheetName val="ACE_ok"/>
      <sheetName val="EBE_à_R_net_ok"/>
      <sheetName val="trafic_&amp;_produits_GL_ok"/>
      <sheetName val="trafic_&amp;_produits_TER_ok"/>
      <sheetName val="trafic_&amp;_produits_Transilien_ok"/>
      <sheetName val="trafic_&amp;_produits_Corail_IC_ok"/>
      <sheetName val="trafic_et_produits_Fret"/>
      <sheetName val="CR_VFE"/>
      <sheetName val="CR_GL_ok"/>
      <sheetName val="CR_Gares_ok"/>
      <sheetName val="CR_TP_ok"/>
      <sheetName val="CR_TER_ok"/>
      <sheetName val="CR_Transilien_ok"/>
      <sheetName val="CR_Corail_IC_ok"/>
      <sheetName val="CR_Fret_ok"/>
      <sheetName val="CR_Infra_OK"/>
      <sheetName val="CR_Traction_ok"/>
      <sheetName val="Traction_élts_de_résultat_ok"/>
      <sheetName val="CR_Mat_ok"/>
      <sheetName val="Matériel_élts_de_résultat_ok"/>
      <sheetName val="CR_FT_ok"/>
      <sheetName val="CR_FT-RH_ok"/>
      <sheetName val="CR_FT-FAST_ok"/>
      <sheetName val="CR_FT-PRSG_ok"/>
      <sheetName val="CR_FT-DI_ok"/>
      <sheetName val="CR_FT-ENT_ok"/>
      <sheetName val="Variables_Communes1"/>
      <sheetName val="RC_-_budget_ok1"/>
      <sheetName val="CRN_-_budget_ok1"/>
      <sheetName val="reste_à_faire_par_A-D_ok1"/>
      <sheetName val="reste_à_faire_par_nature_ok1"/>
      <sheetName val="DFCE_ok1"/>
      <sheetName val="produits_ok1"/>
      <sheetName val="EDG_fin_de_période_ok1"/>
      <sheetName val="EDG_moyen_ok1"/>
      <sheetName val="péages_ok1"/>
      <sheetName val="ACE_ok1"/>
      <sheetName val="EBE_à_R_net_ok1"/>
      <sheetName val="trafic_&amp;_produits_GL_ok1"/>
      <sheetName val="trafic_&amp;_produits_TER_ok1"/>
      <sheetName val="trafic_&amp;_produits_Transilien_o1"/>
      <sheetName val="trafic_&amp;_produits_Corail_IC_ok1"/>
      <sheetName val="trafic_et_produits_Fret1"/>
      <sheetName val="CR_VFE1"/>
      <sheetName val="CR_GL_ok1"/>
      <sheetName val="CR_Gares_ok1"/>
      <sheetName val="CR_TP_ok1"/>
      <sheetName val="CR_TER_ok1"/>
      <sheetName val="CR_Transilien_ok1"/>
      <sheetName val="CR_Corail_IC_ok1"/>
      <sheetName val="CR_Fret_ok1"/>
      <sheetName val="CR_Infra_OK1"/>
      <sheetName val="CR_Traction_ok1"/>
      <sheetName val="Traction_élts_de_résultat_ok1"/>
      <sheetName val="CR_Mat_ok1"/>
      <sheetName val="Matériel_élts_de_résultat_ok1"/>
      <sheetName val="CR_FT_ok1"/>
      <sheetName val="CR_FT-RH_ok1"/>
      <sheetName val="CR_FT-FAST_ok1"/>
      <sheetName val="CR_FT-PRSG_ok1"/>
      <sheetName val="CR_FT-DI_ok1"/>
      <sheetName val="CR_FT-ENT_ok1"/>
    </sheetNames>
    <sheetDataSet>
      <sheetData sheetId="0" refreshError="1">
        <row r="1">
          <cell r="B1" t="str">
            <v>CC= EUR</v>
          </cell>
        </row>
        <row r="4">
          <cell r="B4" t="str">
            <v>SC=3-EPIC</v>
          </cell>
        </row>
        <row r="10">
          <cell r="B10" t="str">
            <v>AU sum 3-CONSO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
          <cell r="B1" t="str">
            <v>CC= EUR</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ow r="1">
          <cell r="B1" t="str">
            <v>CC= EUR</v>
          </cell>
        </row>
      </sheetData>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n éco 31-10-09"/>
      <sheetName val="Bilan éco 31-12-08"/>
      <sheetName val="Variations Bilan éco"/>
      <sheetName val="Dimensions"/>
      <sheetName val="Feuil2"/>
    </sheetNames>
    <sheetDataSet>
      <sheetData sheetId="0"/>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èse dette"/>
      <sheetName val="Analyse"/>
      <sheetName val="TVE par MOP"/>
      <sheetName val="TFT"/>
      <sheetName val="TVE par MOP EPIC"/>
      <sheetName val="Dette N"/>
      <sheetName val="Dette N-1"/>
      <sheetName val="Dimensions"/>
      <sheetName val="Financier"/>
      <sheetName val="CAF"/>
      <sheetName val="TV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Passifs financiers"/>
      <sheetName val="Total (2)"/>
      <sheetName val="SNCFP (2)"/>
      <sheetName val="filiales directes (2)"/>
      <sheetName val="SAAD (2)"/>
      <sheetName val="Total EPIC (2)"/>
      <sheetName val="Social (2)"/>
      <sheetName val="Loc fi (2)"/>
      <sheetName val="Autres (2)"/>
      <sheetName val="IAS39 (2)"/>
      <sheetName val="Total"/>
      <sheetName val="SNCFP"/>
      <sheetName val="filiales directes"/>
      <sheetName val="SAAD"/>
      <sheetName val="Total EPIC"/>
      <sheetName val="Social"/>
      <sheetName val="Loc fi"/>
      <sheetName val="Autres"/>
      <sheetName val="IAS39"/>
      <sheetName val="Dimensions"/>
      <sheetName val="Passif Con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row r="5">
          <cell r="S5">
            <v>39447</v>
          </cell>
        </row>
        <row r="6">
          <cell r="S6">
            <v>39082</v>
          </cell>
        </row>
      </sheetData>
      <sheetData sheetId="2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G"/>
      <sheetName val="Exec_Sum"/>
      <sheetName val="Graphs FY20"/>
      <sheetName val="Scen_Ops"/>
      <sheetName val="Financial Ratios"/>
      <sheetName val="i_Gen"/>
      <sheetName val="i_Scen"/>
      <sheetName val="i_Fin"/>
      <sheetName val="i_Swap"/>
      <sheetName val="i_Vol"/>
      <sheetName val="i_Rev"/>
      <sheetName val="i_Rev book"/>
      <sheetName val="i.costs"/>
      <sheetName val="i_Train Plan"/>
      <sheetName val="i_On-board Crew"/>
      <sheetName val="i_Infra"/>
      <sheetName val="i_Dep"/>
      <sheetName val="i_Capex"/>
      <sheetName val="i_Opening Balance"/>
      <sheetName val="Actuals_IS"/>
      <sheetName val="Actuals_BS"/>
      <sheetName val="Actuals_CF"/>
      <sheetName val="c_Flags"/>
      <sheetName val="c_Ope"/>
      <sheetName val="c_Macro"/>
      <sheetName val="c_CAV"/>
      <sheetName val="c_FBD"/>
      <sheetName val="c_Costs"/>
      <sheetName val="c_Capex"/>
      <sheetName val="c_Infra"/>
      <sheetName val="c_Fin"/>
      <sheetName val="c_Effint"/>
      <sheetName val="c_Taxes"/>
      <sheetName val="c_Acc"/>
      <sheetName val="Comments"/>
      <sheetName val="o_Func P&amp;L"/>
      <sheetName val="o_Balance"/>
      <sheetName val="o_Cash"/>
      <sheetName val="o_Annual P&amp;L"/>
      <sheetName val="o_Annual Cash"/>
      <sheetName val="o_Annual Balance"/>
      <sheetName val="o_Checks"/>
      <sheetName val="Output_O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G"/>
      <sheetName val="Exec_Sum"/>
      <sheetName val="Graphs FY20"/>
      <sheetName val="Scen_Ops"/>
      <sheetName val="Financial Ratios"/>
      <sheetName val="i_Gen"/>
      <sheetName val="i_Scen"/>
      <sheetName val="i_Fin"/>
      <sheetName val="i_Swap"/>
      <sheetName val="i_Vol"/>
      <sheetName val="i_Rev"/>
      <sheetName val="i_Rev book"/>
      <sheetName val="i.costs"/>
      <sheetName val="i_Train Plan"/>
      <sheetName val="i_On-board Crew"/>
      <sheetName val="i_Infra"/>
      <sheetName val="i_Dep"/>
      <sheetName val="i_Capex"/>
      <sheetName val="i_Opening Balance"/>
      <sheetName val="Actuals_IS"/>
      <sheetName val="Actuals_BS"/>
      <sheetName val="Actuals_CF"/>
      <sheetName val="c_Flags"/>
      <sheetName val="c_Ope"/>
      <sheetName val="c_Macro"/>
      <sheetName val="c_CAV"/>
      <sheetName val="c_FBD"/>
      <sheetName val="c_Costs"/>
      <sheetName val="c_Capex"/>
      <sheetName val="c_Infra"/>
      <sheetName val="c_Fin"/>
      <sheetName val="c_Effint"/>
      <sheetName val="c_Taxes"/>
      <sheetName val="c_Acc"/>
      <sheetName val="Comments"/>
      <sheetName val="o_Func P&amp;L"/>
      <sheetName val="o_Balance"/>
      <sheetName val="o_Cash"/>
      <sheetName val="o_Annual P&amp;L"/>
      <sheetName val="o_Annual Cash"/>
      <sheetName val="o_Annual Balance"/>
      <sheetName val="o_Checks"/>
      <sheetName val="Output_Ope"/>
    </sheetNames>
    <sheetDataSet>
      <sheetData sheetId="0"/>
      <sheetData sheetId="1"/>
      <sheetData sheetId="2"/>
      <sheetData sheetId="3"/>
      <sheetData sheetId="4"/>
      <sheetData sheetId="5">
        <row r="12">
          <cell r="E12">
            <v>44377</v>
          </cell>
        </row>
        <row r="13">
          <cell r="E13">
            <v>100000</v>
          </cell>
        </row>
        <row r="25">
          <cell r="E25">
            <v>360</v>
          </cell>
        </row>
        <row r="26">
          <cell r="E26">
            <v>365</v>
          </cell>
        </row>
        <row r="32">
          <cell r="E32">
            <v>30</v>
          </cell>
        </row>
        <row r="80">
          <cell r="E80">
            <v>0.19</v>
          </cell>
        </row>
        <row r="82">
          <cell r="E82">
            <v>0.2</v>
          </cell>
        </row>
      </sheetData>
      <sheetData sheetId="6"/>
      <sheetData sheetId="7"/>
      <sheetData sheetId="8"/>
      <sheetData sheetId="9"/>
      <sheetData sheetId="10"/>
      <sheetData sheetId="11"/>
      <sheetData sheetId="12"/>
      <sheetData sheetId="13"/>
      <sheetData sheetId="14"/>
      <sheetData sheetId="15"/>
      <sheetData sheetId="16">
        <row r="12">
          <cell r="AE12">
            <v>43951</v>
          </cell>
        </row>
      </sheetData>
      <sheetData sheetId="17"/>
      <sheetData sheetId="18">
        <row r="10">
          <cell r="N10">
            <v>37287187.569999993</v>
          </cell>
        </row>
      </sheetData>
      <sheetData sheetId="19">
        <row r="117">
          <cell r="O117">
            <v>6749932.6499999994</v>
          </cell>
        </row>
      </sheetData>
      <sheetData sheetId="20">
        <row r="255">
          <cell r="N255">
            <v>57650954.950000003</v>
          </cell>
        </row>
      </sheetData>
      <sheetData sheetId="21"/>
      <sheetData sheetId="22">
        <row r="11">
          <cell r="O11">
            <v>1</v>
          </cell>
        </row>
      </sheetData>
      <sheetData sheetId="23"/>
      <sheetData sheetId="24">
        <row r="29">
          <cell r="D29">
            <v>350000000</v>
          </cell>
        </row>
        <row r="30">
          <cell r="D30">
            <v>372373965.74793577</v>
          </cell>
        </row>
      </sheetData>
      <sheetData sheetId="25"/>
      <sheetData sheetId="26"/>
      <sheetData sheetId="27"/>
      <sheetData sheetId="28"/>
      <sheetData sheetId="29"/>
      <sheetData sheetId="30"/>
      <sheetData sheetId="31"/>
      <sheetData sheetId="32"/>
      <sheetData sheetId="33">
        <row r="407">
          <cell r="O407">
            <v>5130400.5</v>
          </cell>
        </row>
      </sheetData>
      <sheetData sheetId="34"/>
      <sheetData sheetId="35"/>
      <sheetData sheetId="36"/>
      <sheetData sheetId="37"/>
      <sheetData sheetId="38"/>
      <sheetData sheetId="39"/>
      <sheetData sheetId="40"/>
      <sheetData sheetId="41">
        <row r="8">
          <cell r="K8">
            <v>1</v>
          </cell>
        </row>
      </sheetData>
      <sheetData sheetId="4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Packaged Sheets&gt;&gt;&gt;"/>
      <sheetName val="iPMannual"/>
      <sheetName val="icPMmonthly"/>
      <sheetName val="iPMbase"/>
      <sheetName val="oPM"/>
      <sheetName val="oCovenants"/>
      <sheetName val="Input Sheets&gt;&gt;&gt;"/>
      <sheetName val="icRCF"/>
      <sheetName val="iFX"/>
      <sheetName val="iVolumes"/>
      <sheetName val="icComp"/>
      <sheetName val="iFAM"/>
      <sheetName val="iFAplan"/>
      <sheetName val="iNBV"/>
      <sheetName val="External Data&gt;&gt;&gt;"/>
      <sheetName val="iCapex2017"/>
      <sheetName val="iCapex2018"/>
      <sheetName val="iFPAconsolidator"/>
      <sheetName val="iEAMrevenue5YP"/>
      <sheetName val="Balance Sheet Data&gt;&gt;&gt;"/>
      <sheetName val="iDepnAdaptive"/>
      <sheetName val="iNBVadaptive"/>
      <sheetName val="iGFCbalSheetGBP"/>
      <sheetName val="iGFCbalSheetNATIVE"/>
      <sheetName val="iBStotalGBP"/>
      <sheetName val="iBSccyGBP"/>
      <sheetName val="iBSccyEUR"/>
      <sheetName val="iBSccyUSD"/>
      <sheetName val="iBSprepay18"/>
      <sheetName val="iBSaccrualsDefRev18"/>
      <sheetName val="MID and LOW Data&gt;&gt;&gt;"/>
      <sheetName val="iPMbaseMID"/>
      <sheetName val="iPMbaseLOW"/>
      <sheetName val="iFPAconsolidatorMID"/>
      <sheetName val="iFPAconsolidatorLOW"/>
      <sheetName val="Output Sheets&gt;&gt;&gt;"/>
      <sheetName val="oMain"/>
      <sheetName val="CapexSchedule"/>
      <sheetName val="oCashflow2018"/>
      <sheetName val="oCashflow2018 Month"/>
      <sheetName val="oSNCFvaluation"/>
      <sheetName val="20 Year Plan"/>
      <sheetName val="May 2017 20 Year Plan"/>
      <sheetName val="20 Year Plan Delta"/>
      <sheetName val="oContribution"/>
      <sheetName val="oBudget2017"/>
      <sheetName val="2016 FinSubCo Charting&gt;&gt;&gt;"/>
      <sheetName val="cChartData"/>
      <sheetName val="oChartsFinSubComm"/>
      <sheetName val="Calc Sheets"/>
      <sheetName val="cRevenue"/>
      <sheetName val="cFAplan"/>
      <sheetName val="cFAdepRollForward"/>
      <sheetName val="cMain"/>
      <sheetName val="Projects&gt;&gt;&gt;"/>
      <sheetName val="iProjLIST"/>
      <sheetName val="iProj01"/>
      <sheetName val="iProjEhouse"/>
      <sheetName val="iProjPM"/>
      <sheetName val="iProjAMS"/>
      <sheetName val="iProjLAST"/>
      <sheetName val="cProjConsol"/>
      <sheetName val="TSSSA&gt;&gt;&gt;"/>
      <sheetName val="ioTSSSA"/>
      <sheetName val="Old TSSSA&gt;&gt;&gt;"/>
      <sheetName val="iTMIbill"/>
      <sheetName val="iTSSSA"/>
      <sheetName val="cTSSSA"/>
      <sheetName val="Admin&gt;&gt;&gt;"/>
      <sheetName val="aSysStructure"/>
      <sheetName val="aFixedAssets"/>
      <sheetName val="aSysData"/>
    </sheetNames>
    <sheetDataSet>
      <sheetData sheetId="0"/>
      <sheetData sheetId="1"/>
      <sheetData sheetId="2"/>
      <sheetData sheetId="3"/>
      <sheetData sheetId="4"/>
      <sheetData sheetId="5"/>
      <sheetData sheetId="6"/>
      <sheetData sheetId="7"/>
      <sheetData sheetId="8"/>
      <sheetData sheetId="9"/>
      <sheetData sheetId="10">
        <row r="112">
          <cell r="Z112">
            <v>0.5</v>
          </cell>
        </row>
        <row r="135">
          <cell r="Z135">
            <v>2016</v>
          </cell>
        </row>
        <row r="136">
          <cell r="Z136">
            <v>15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3">
          <cell r="A3">
            <v>1</v>
          </cell>
        </row>
      </sheetData>
      <sheetData sheetId="33">
        <row r="3">
          <cell r="A3">
            <v>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7">
          <cell r="F7">
            <v>0.5</v>
          </cell>
        </row>
      </sheetData>
      <sheetData sheetId="53"/>
      <sheetData sheetId="54"/>
      <sheetData sheetId="55"/>
      <sheetData sheetId="56"/>
      <sheetData sheetId="57"/>
      <sheetData sheetId="58"/>
      <sheetData sheetId="59"/>
      <sheetData sheetId="60">
        <row r="5">
          <cell r="Z5">
            <v>2</v>
          </cell>
        </row>
      </sheetData>
      <sheetData sheetId="61"/>
      <sheetData sheetId="62"/>
      <sheetData sheetId="63"/>
      <sheetData sheetId="64"/>
      <sheetData sheetId="65"/>
      <sheetData sheetId="66">
        <row r="187">
          <cell r="D187">
            <v>47806</v>
          </cell>
        </row>
      </sheetData>
      <sheetData sheetId="67">
        <row r="6">
          <cell r="I6">
            <v>43646</v>
          </cell>
          <cell r="J6">
            <v>44957</v>
          </cell>
          <cell r="K6">
            <v>46265</v>
          </cell>
          <cell r="L6">
            <v>47573</v>
          </cell>
          <cell r="M6">
            <v>44926</v>
          </cell>
          <cell r="N6">
            <v>47514</v>
          </cell>
          <cell r="P6">
            <v>1168566.1661999999</v>
          </cell>
          <cell r="Q6">
            <v>1222813.7939664798</v>
          </cell>
          <cell r="R6">
            <v>1323612.9762809318</v>
          </cell>
          <cell r="S6">
            <v>1404628.6793331355</v>
          </cell>
          <cell r="T6">
            <v>3707800.0474285758</v>
          </cell>
          <cell r="U6">
            <v>4259096.7729905266</v>
          </cell>
        </row>
        <row r="7">
          <cell r="I7">
            <v>43646</v>
          </cell>
          <cell r="J7">
            <v>44957</v>
          </cell>
          <cell r="K7">
            <v>46265</v>
          </cell>
          <cell r="L7">
            <v>47573</v>
          </cell>
          <cell r="M7">
            <v>44926</v>
          </cell>
          <cell r="N7">
            <v>47514</v>
          </cell>
          <cell r="P7">
            <v>1168566.1661999999</v>
          </cell>
          <cell r="Q7">
            <v>1222813.7939664798</v>
          </cell>
          <cell r="R7">
            <v>1323612.9762809318</v>
          </cell>
          <cell r="S7">
            <v>1404628.6793331355</v>
          </cell>
          <cell r="T7">
            <v>3707800.0474285758</v>
          </cell>
          <cell r="U7">
            <v>4259096.7729905266</v>
          </cell>
        </row>
        <row r="8">
          <cell r="I8">
            <v>43646</v>
          </cell>
          <cell r="J8">
            <v>44957</v>
          </cell>
          <cell r="K8">
            <v>46265</v>
          </cell>
          <cell r="L8">
            <v>47573</v>
          </cell>
          <cell r="M8">
            <v>44926</v>
          </cell>
          <cell r="N8">
            <v>47514</v>
          </cell>
          <cell r="P8">
            <v>1168566.1661999999</v>
          </cell>
          <cell r="Q8">
            <v>1222813.7939664798</v>
          </cell>
          <cell r="R8">
            <v>1323612.9762809318</v>
          </cell>
          <cell r="S8">
            <v>1404628.6793331355</v>
          </cell>
          <cell r="T8">
            <v>3707800.0474285758</v>
          </cell>
          <cell r="U8">
            <v>4259096.7729905266</v>
          </cell>
        </row>
        <row r="9">
          <cell r="I9">
            <v>43646</v>
          </cell>
          <cell r="J9">
            <v>44957</v>
          </cell>
          <cell r="K9">
            <v>46265</v>
          </cell>
          <cell r="L9">
            <v>47573</v>
          </cell>
          <cell r="M9">
            <v>44926</v>
          </cell>
          <cell r="N9">
            <v>47514</v>
          </cell>
          <cell r="P9">
            <v>1168566.1661999999</v>
          </cell>
          <cell r="Q9">
            <v>1222813.7939664798</v>
          </cell>
          <cell r="R9">
            <v>1323612.9762809318</v>
          </cell>
          <cell r="S9">
            <v>1404628.6793331355</v>
          </cell>
          <cell r="T9">
            <v>3707800.0474285758</v>
          </cell>
          <cell r="U9">
            <v>4259096.7729905266</v>
          </cell>
        </row>
        <row r="10">
          <cell r="I10">
            <v>43646</v>
          </cell>
          <cell r="J10">
            <v>44957</v>
          </cell>
          <cell r="K10">
            <v>46265</v>
          </cell>
          <cell r="L10">
            <v>47573</v>
          </cell>
          <cell r="M10">
            <v>44926</v>
          </cell>
          <cell r="N10">
            <v>47514</v>
          </cell>
          <cell r="P10">
            <v>1168566.1661999999</v>
          </cell>
          <cell r="Q10">
            <v>1222813.7939664798</v>
          </cell>
          <cell r="R10">
            <v>1323612.9762809318</v>
          </cell>
          <cell r="S10">
            <v>1404628.6793331355</v>
          </cell>
          <cell r="T10">
            <v>3707800.0474285758</v>
          </cell>
          <cell r="U10">
            <v>4259096.7729905266</v>
          </cell>
        </row>
        <row r="11">
          <cell r="I11">
            <v>43677</v>
          </cell>
          <cell r="J11">
            <v>44985</v>
          </cell>
          <cell r="K11">
            <v>46295</v>
          </cell>
          <cell r="L11">
            <v>47603</v>
          </cell>
          <cell r="M11">
            <v>44957</v>
          </cell>
          <cell r="N11">
            <v>47542</v>
          </cell>
          <cell r="P11">
            <v>1168566.1661999999</v>
          </cell>
          <cell r="Q11">
            <v>1222813.7939664798</v>
          </cell>
          <cell r="R11">
            <v>1323612.9762809318</v>
          </cell>
          <cell r="S11">
            <v>1432721.2529197983</v>
          </cell>
          <cell r="T11">
            <v>3707800.0474285758</v>
          </cell>
          <cell r="U11">
            <v>4259096.7729905266</v>
          </cell>
        </row>
        <row r="12">
          <cell r="I12">
            <v>43738</v>
          </cell>
          <cell r="J12">
            <v>45046</v>
          </cell>
          <cell r="K12">
            <v>46356</v>
          </cell>
          <cell r="L12">
            <v>47664</v>
          </cell>
          <cell r="M12">
            <v>45016</v>
          </cell>
          <cell r="N12">
            <v>47603</v>
          </cell>
          <cell r="P12">
            <v>1168566.1661999999</v>
          </cell>
          <cell r="Q12">
            <v>1247270.0698458091</v>
          </cell>
          <cell r="R12">
            <v>1323612.9762809318</v>
          </cell>
          <cell r="S12">
            <v>1432721.2529197983</v>
          </cell>
          <cell r="T12">
            <v>3707800.0474285758</v>
          </cell>
          <cell r="U12">
            <v>4344278.7084503369</v>
          </cell>
        </row>
        <row r="13">
          <cell r="I13">
            <v>43769</v>
          </cell>
          <cell r="J13">
            <v>45077</v>
          </cell>
          <cell r="K13">
            <v>46387</v>
          </cell>
          <cell r="L13">
            <v>47695</v>
          </cell>
          <cell r="M13">
            <v>45046</v>
          </cell>
          <cell r="N13">
            <v>47634</v>
          </cell>
          <cell r="P13">
            <v>1168566.1661999999</v>
          </cell>
          <cell r="Q13">
            <v>1247270.0698458091</v>
          </cell>
          <cell r="R13">
            <v>1323612.9762809318</v>
          </cell>
          <cell r="S13">
            <v>1432721.2529197983</v>
          </cell>
          <cell r="T13">
            <v>3781956.048377146</v>
          </cell>
          <cell r="U13">
            <v>4344278.7084503369</v>
          </cell>
        </row>
        <row r="14">
          <cell r="I14">
            <v>43708</v>
          </cell>
          <cell r="J14">
            <v>45016</v>
          </cell>
          <cell r="K14">
            <v>46326</v>
          </cell>
          <cell r="L14">
            <v>47634</v>
          </cell>
          <cell r="M14">
            <v>44985</v>
          </cell>
          <cell r="N14">
            <v>47573</v>
          </cell>
          <cell r="P14">
            <v>1168566.1661999999</v>
          </cell>
          <cell r="Q14">
            <v>1222813.7939664798</v>
          </cell>
          <cell r="R14">
            <v>1323612.9762809318</v>
          </cell>
          <cell r="S14">
            <v>1432721.2529197983</v>
          </cell>
          <cell r="T14">
            <v>3707800.0474285758</v>
          </cell>
          <cell r="U14">
            <v>4259096.7729905266</v>
          </cell>
        </row>
        <row r="15">
          <cell r="I15">
            <v>44500</v>
          </cell>
          <cell r="J15">
            <v>45808</v>
          </cell>
          <cell r="K15">
            <v>47118</v>
          </cell>
          <cell r="L15">
            <v>48426</v>
          </cell>
          <cell r="M15">
            <v>45777</v>
          </cell>
          <cell r="N15">
            <v>48365</v>
          </cell>
          <cell r="P15">
            <v>1198837.0529083135</v>
          </cell>
          <cell r="Q15">
            <v>1297659.7806675802</v>
          </cell>
          <cell r="R15">
            <v>1377086.9405226817</v>
          </cell>
          <cell r="S15">
            <v>0</v>
          </cell>
          <cell r="T15">
            <v>3934747.0727315838</v>
          </cell>
          <cell r="U15">
            <v>0</v>
          </cell>
        </row>
        <row r="16">
          <cell r="I16">
            <v>43951</v>
          </cell>
          <cell r="J16">
            <v>45260</v>
          </cell>
          <cell r="K16">
            <v>46568</v>
          </cell>
          <cell r="L16">
            <v>47787</v>
          </cell>
          <cell r="M16">
            <v>45230</v>
          </cell>
          <cell r="N16">
            <v>47787</v>
          </cell>
          <cell r="P16">
            <v>1175330.4440277584</v>
          </cell>
          <cell r="Q16">
            <v>1247270.0698458091</v>
          </cell>
          <cell r="R16">
            <v>1350085.2358065506</v>
          </cell>
          <cell r="S16">
            <v>1432721.2529197983</v>
          </cell>
          <cell r="T16">
            <v>3781956.048377146</v>
          </cell>
          <cell r="U16">
            <v>4344278.7084503369</v>
          </cell>
        </row>
        <row r="17">
          <cell r="I17">
            <v>44074</v>
          </cell>
          <cell r="J17">
            <v>45382</v>
          </cell>
          <cell r="K17">
            <v>46691</v>
          </cell>
          <cell r="L17">
            <v>47787</v>
          </cell>
          <cell r="M17">
            <v>45351</v>
          </cell>
          <cell r="N17">
            <v>47787</v>
          </cell>
          <cell r="P17">
            <v>1175330.4440277584</v>
          </cell>
          <cell r="Q17">
            <v>1247270.0698458091</v>
          </cell>
          <cell r="R17">
            <v>1350085.2358065506</v>
          </cell>
          <cell r="S17">
            <v>1432721.2529197983</v>
          </cell>
          <cell r="T17">
            <v>3781956.048377146</v>
          </cell>
          <cell r="U17">
            <v>4344278.7084503369</v>
          </cell>
        </row>
        <row r="18">
          <cell r="I18">
            <v>44165</v>
          </cell>
          <cell r="J18">
            <v>45473</v>
          </cell>
          <cell r="K18">
            <v>46783</v>
          </cell>
          <cell r="L18">
            <v>48091</v>
          </cell>
          <cell r="M18">
            <v>45443</v>
          </cell>
          <cell r="N18">
            <v>48029</v>
          </cell>
          <cell r="P18">
            <v>1175330.4440277584</v>
          </cell>
          <cell r="Q18">
            <v>1272215.4712427258</v>
          </cell>
          <cell r="R18">
            <v>1350085.2358065506</v>
          </cell>
          <cell r="S18">
            <v>0</v>
          </cell>
          <cell r="T18">
            <v>3857595.1693446906</v>
          </cell>
          <cell r="U18">
            <v>0</v>
          </cell>
        </row>
        <row r="19">
          <cell r="I19">
            <v>44255</v>
          </cell>
          <cell r="J19">
            <v>45565</v>
          </cell>
          <cell r="K19">
            <v>46873</v>
          </cell>
          <cell r="L19">
            <v>48182</v>
          </cell>
          <cell r="M19">
            <v>45535</v>
          </cell>
          <cell r="N19">
            <v>48121</v>
          </cell>
          <cell r="P19">
            <v>1175330.4440277584</v>
          </cell>
          <cell r="Q19">
            <v>1272215.4712427258</v>
          </cell>
          <cell r="R19">
            <v>1377086.9405226817</v>
          </cell>
          <cell r="S19">
            <v>0</v>
          </cell>
          <cell r="T19">
            <v>3857595.1693446906</v>
          </cell>
          <cell r="U19">
            <v>0</v>
          </cell>
        </row>
        <row r="20">
          <cell r="I20">
            <v>44316</v>
          </cell>
          <cell r="J20">
            <v>45626</v>
          </cell>
          <cell r="K20">
            <v>46934</v>
          </cell>
          <cell r="L20">
            <v>48244</v>
          </cell>
          <cell r="M20">
            <v>45596</v>
          </cell>
          <cell r="N20">
            <v>48182</v>
          </cell>
          <cell r="P20">
            <v>1198837.0529083135</v>
          </cell>
          <cell r="Q20">
            <v>1272215.4712427258</v>
          </cell>
          <cell r="R20">
            <v>1377086.9405226817</v>
          </cell>
          <cell r="S20">
            <v>0</v>
          </cell>
          <cell r="T20">
            <v>3857595.1693446906</v>
          </cell>
          <cell r="U20">
            <v>0</v>
          </cell>
        </row>
        <row r="21">
          <cell r="I21">
            <v>44439</v>
          </cell>
          <cell r="J21">
            <v>45747</v>
          </cell>
          <cell r="K21">
            <v>47057</v>
          </cell>
          <cell r="L21">
            <v>48365</v>
          </cell>
          <cell r="M21">
            <v>45716</v>
          </cell>
          <cell r="N21">
            <v>48304</v>
          </cell>
          <cell r="P21">
            <v>1198837.0529083135</v>
          </cell>
          <cell r="Q21">
            <v>1272215.4712427258</v>
          </cell>
          <cell r="R21">
            <v>1377086.9405226817</v>
          </cell>
          <cell r="S21">
            <v>0</v>
          </cell>
          <cell r="T21">
            <v>3857595.1693446906</v>
          </cell>
          <cell r="U21">
            <v>0</v>
          </cell>
        </row>
        <row r="22">
          <cell r="I22">
            <v>44500</v>
          </cell>
          <cell r="J22">
            <v>45808</v>
          </cell>
          <cell r="K22">
            <v>47118</v>
          </cell>
          <cell r="L22">
            <v>48426</v>
          </cell>
          <cell r="M22">
            <v>45777</v>
          </cell>
          <cell r="N22">
            <v>48365</v>
          </cell>
          <cell r="P22">
            <v>1198837.0529083135</v>
          </cell>
          <cell r="Q22">
            <v>1297659.7806675802</v>
          </cell>
          <cell r="R22">
            <v>1377086.9405226817</v>
          </cell>
          <cell r="S22">
            <v>0</v>
          </cell>
          <cell r="T22">
            <v>3934747.0727315838</v>
          </cell>
          <cell r="U22">
            <v>0</v>
          </cell>
        </row>
        <row r="26">
          <cell r="J26">
            <v>141.69999999999999</v>
          </cell>
          <cell r="K26">
            <v>728.4</v>
          </cell>
          <cell r="M26">
            <v>42657</v>
          </cell>
        </row>
        <row r="44">
          <cell r="D44">
            <v>43</v>
          </cell>
          <cell r="E44">
            <v>85</v>
          </cell>
        </row>
        <row r="45">
          <cell r="D45">
            <v>1168566.1661999999</v>
          </cell>
          <cell r="E45">
            <v>3543311.0976</v>
          </cell>
        </row>
        <row r="46">
          <cell r="D46">
            <v>27175.957353488368</v>
          </cell>
          <cell r="E46">
            <v>41686.01291294118</v>
          </cell>
        </row>
      </sheetData>
      <sheetData sheetId="68"/>
      <sheetData sheetId="69"/>
      <sheetData sheetId="70">
        <row r="20">
          <cell r="E20" t="str">
            <v>Zero</v>
          </cell>
        </row>
        <row r="21">
          <cell r="E21" t="str">
            <v>UK_RPI</v>
          </cell>
        </row>
        <row r="22">
          <cell r="E22" t="str">
            <v>UK_salaries</v>
          </cell>
        </row>
        <row r="23">
          <cell r="E23" t="str">
            <v>UK_varOpex_inflator</v>
          </cell>
        </row>
        <row r="24">
          <cell r="E24" t="str">
            <v>UK_fixedOpex_inflator</v>
          </cell>
        </row>
        <row r="25">
          <cell r="E25" t="str">
            <v>UK_IRC</v>
          </cell>
        </row>
        <row r="26">
          <cell r="E26" t="str">
            <v>UK_OMRC</v>
          </cell>
        </row>
        <row r="27">
          <cell r="E27" t="str">
            <v>UK_energy</v>
          </cell>
        </row>
        <row r="28">
          <cell r="E28" t="str">
            <v>UK_ET</v>
          </cell>
        </row>
        <row r="29">
          <cell r="E29" t="str">
            <v>UK_nonTunnel</v>
          </cell>
        </row>
        <row r="30">
          <cell r="E30" t="str">
            <v>UKinflatorLast</v>
          </cell>
        </row>
        <row r="31">
          <cell r="E31" t="str">
            <v>FR_IMP</v>
          </cell>
        </row>
        <row r="32">
          <cell r="E32" t="str">
            <v>FR_salaries</v>
          </cell>
        </row>
        <row r="33">
          <cell r="E33" t="str">
            <v>FR_varOpex_inflator</v>
          </cell>
        </row>
        <row r="34">
          <cell r="E34" t="str">
            <v>FR_fixedOpex_inflator</v>
          </cell>
        </row>
        <row r="35">
          <cell r="E35" t="str">
            <v>FR_RFF_RES</v>
          </cell>
        </row>
        <row r="36">
          <cell r="E36" t="str">
            <v>FR_RFF_CIRC</v>
          </cell>
        </row>
        <row r="37">
          <cell r="E37" t="str">
            <v>FR_energy</v>
          </cell>
        </row>
        <row r="38">
          <cell r="E38" t="str">
            <v>FR_ET</v>
          </cell>
        </row>
        <row r="39">
          <cell r="E39" t="str">
            <v>SNCF_mntnce</v>
          </cell>
        </row>
        <row r="40">
          <cell r="E40" t="str">
            <v>FR_stations</v>
          </cell>
        </row>
        <row r="41">
          <cell r="E41" t="str">
            <v>BE_RPI</v>
          </cell>
        </row>
        <row r="42">
          <cell r="E42" t="str">
            <v>BE_varOpex_inflator</v>
          </cell>
        </row>
        <row r="43">
          <cell r="E43" t="str">
            <v>BE_fixedOpex_inflator</v>
          </cell>
        </row>
        <row r="44">
          <cell r="E44" t="str">
            <v>BE_salaries</v>
          </cell>
        </row>
        <row r="45">
          <cell r="E45" t="str">
            <v>BE_Infra</v>
          </cell>
        </row>
        <row r="46">
          <cell r="E46" t="str">
            <v>BE_energy</v>
          </cell>
        </row>
        <row r="47">
          <cell r="E47" t="str">
            <v>SNCB_mntnce</v>
          </cell>
        </row>
        <row r="48">
          <cell r="E48" t="str">
            <v>EUR_nonTunnel</v>
          </cell>
        </row>
        <row r="49">
          <cell r="E49" t="str">
            <v>BEinflator7</v>
          </cell>
        </row>
        <row r="50">
          <cell r="E50" t="str">
            <v>BEinflatorLast</v>
          </cell>
        </row>
        <row r="51">
          <cell r="E51" t="str">
            <v>UK _EIL_ET_ fixed charge</v>
          </cell>
        </row>
        <row r="52">
          <cell r="E52" t="str">
            <v>UK _EIL_ET_ variable charge</v>
          </cell>
        </row>
        <row r="53">
          <cell r="E53" t="str">
            <v>UK _EIL_ET_ opex &amp; renewals</v>
          </cell>
        </row>
        <row r="54">
          <cell r="E54" t="str">
            <v>FR _EIL_ET_ fixed charge</v>
          </cell>
        </row>
        <row r="55">
          <cell r="E55" t="str">
            <v>FR _EIL_ET_ variable charge</v>
          </cell>
        </row>
        <row r="56">
          <cell r="E56" t="str">
            <v>FR _EIL_ET_ opex &amp; renewals</v>
          </cell>
        </row>
        <row r="57">
          <cell r="E57" t="str">
            <v>TWO_%</v>
          </cell>
        </row>
        <row r="58">
          <cell r="E58" t="str">
            <v>Adde320sMVRinflator</v>
          </cell>
        </row>
      </sheetData>
      <sheetData sheetId="71"/>
      <sheetData sheetId="72">
        <row r="6">
          <cell r="G6">
            <v>1</v>
          </cell>
        </row>
        <row r="7">
          <cell r="O7">
            <v>2031</v>
          </cell>
        </row>
        <row r="9">
          <cell r="G9">
            <v>2045</v>
          </cell>
        </row>
        <row r="10">
          <cell r="G10">
            <v>2030</v>
          </cell>
          <cell r="O10">
            <v>8</v>
          </cell>
        </row>
        <row r="11">
          <cell r="G11">
            <v>2015</v>
          </cell>
        </row>
        <row r="12">
          <cell r="G12">
            <v>2019</v>
          </cell>
        </row>
        <row r="15">
          <cell r="H15" t="str">
            <v>£m</v>
          </cell>
        </row>
        <row r="25">
          <cell r="D25">
            <v>10</v>
          </cell>
        </row>
        <row r="26">
          <cell r="D26">
            <v>7</v>
          </cell>
        </row>
        <row r="28">
          <cell r="H28" t="str">
            <v>Warn!</v>
          </cell>
        </row>
        <row r="29">
          <cell r="R29">
            <v>0</v>
          </cell>
        </row>
        <row r="30">
          <cell r="R30">
            <v>1.3275938367461881E-2</v>
          </cell>
        </row>
        <row r="31">
          <cell r="R31">
            <v>0</v>
          </cell>
        </row>
        <row r="32">
          <cell r="R32">
            <v>2.8911747737729265E-2</v>
          </cell>
        </row>
        <row r="33">
          <cell r="R33">
            <v>0</v>
          </cell>
        </row>
        <row r="34">
          <cell r="R34">
            <v>0</v>
          </cell>
        </row>
        <row r="35">
          <cell r="R35">
            <v>0</v>
          </cell>
        </row>
        <row r="37">
          <cell r="H37" t="str">
            <v>History</v>
          </cell>
        </row>
        <row r="38">
          <cell r="H38" t="str">
            <v>Current Year</v>
          </cell>
        </row>
        <row r="39">
          <cell r="H39" t="str">
            <v>Plan</v>
          </cell>
        </row>
        <row r="40">
          <cell r="H40" t="str">
            <v>L/term</v>
          </cell>
        </row>
        <row r="62">
          <cell r="B62" t="str">
            <v>Shareholder Agreement</v>
          </cell>
        </row>
        <row r="63">
          <cell r="B63" t="str">
            <v>Monotonically increasing Shareholder Agreement</v>
          </cell>
        </row>
        <row r="64">
          <cell r="B64" t="str">
            <v>1x EBITDA basis</v>
          </cell>
        </row>
        <row r="65">
          <cell r="B65" t="str">
            <v>2x EBITDA basis</v>
          </cell>
        </row>
        <row r="71">
          <cell r="B71" t="str">
            <v>&lt;S&amp;P blank line&gt;</v>
          </cell>
          <cell r="D71" t="str">
            <v>&lt;OPS blank line&gt;</v>
          </cell>
          <cell r="G71" t="str">
            <v>&lt;Comm &amp; CS &amp; Op Taxes blank line&gt;</v>
          </cell>
          <cell r="M71" t="str">
            <v>&lt;Infrastructure blank line&gt;</v>
          </cell>
          <cell r="Q71" t="str">
            <v>&lt;CoS blank line&gt;</v>
          </cell>
          <cell r="U71" t="str">
            <v>&lt;Revenue blank line&gt;</v>
          </cell>
        </row>
        <row r="72">
          <cell r="B72" t="str">
            <v>On board revenue</v>
          </cell>
          <cell r="D72" t="str">
            <v>NOL income</v>
          </cell>
          <cell r="G72" t="str">
            <v>Comm'l, IS &amp; Central Services ancillary income</v>
          </cell>
          <cell r="M72" t="str">
            <v>UK track access charges - IRC Paris</v>
          </cell>
          <cell r="Q72" t="str">
            <v>Projects ancillary income</v>
          </cell>
          <cell r="U72" t="str">
            <v>Calais / Lille / Brussels revenue</v>
          </cell>
        </row>
        <row r="73">
          <cell r="B73" t="str">
            <v>S&amp;P ancillary income</v>
          </cell>
          <cell r="D73" t="str">
            <v>Ops Delivery ancillary income</v>
          </cell>
          <cell r="G73" t="str">
            <v>Marketing, Sales &amp; Commercial - staff</v>
          </cell>
          <cell r="M73" t="str">
            <v>UK track access charges - IRC Brussels</v>
          </cell>
          <cell r="Q73" t="str">
            <v>Variable cost of sales</v>
          </cell>
          <cell r="U73" t="str">
            <v>Write offs and DB products revenue</v>
          </cell>
        </row>
        <row r="74">
          <cell r="B74" t="str">
            <v>UK Stations - staff</v>
          </cell>
          <cell r="D74" t="str">
            <v>TMST variable mntnce @ TMI - train km</v>
          </cell>
          <cell r="G74" t="str">
            <v>Marketing, Sales &amp; Commercial - non staff</v>
          </cell>
          <cell r="M74" t="str">
            <v>UK track access charges - IRC Disney</v>
          </cell>
          <cell r="Q74" t="str">
            <v>Projects cost of sales</v>
          </cell>
          <cell r="U74" t="str">
            <v>No Shows &amp; loyalty programmes</v>
          </cell>
        </row>
        <row r="75">
          <cell r="B75" t="str">
            <v>UK Stations - non staff</v>
          </cell>
          <cell r="D75" t="str">
            <v>TMST variable mntnce @ TMI - TMSTs in fleet</v>
          </cell>
          <cell r="G75" t="str">
            <v>Information Systems - staff</v>
          </cell>
          <cell r="M75" t="str">
            <v>UK track access charges - IRC AMS</v>
          </cell>
          <cell r="Q75" t="str">
            <v>Projects' Operating Costs</v>
          </cell>
          <cell r="U75" t="str">
            <v>Credit card income</v>
          </cell>
        </row>
        <row r="76">
          <cell r="B76" t="str">
            <v>FR Stations - staff</v>
          </cell>
          <cell r="D76" t="str">
            <v>e320 (TSSSA and mobilisation)</v>
          </cell>
          <cell r="G76" t="str">
            <v>Information Systems - non staff</v>
          </cell>
          <cell r="M76" t="str">
            <v>UK track access charges - IRC Provence</v>
          </cell>
          <cell r="Q76" t="str">
            <v>Productivity improvements</v>
          </cell>
          <cell r="U76" t="str">
            <v>Exchange fees</v>
          </cell>
        </row>
        <row r="77">
          <cell r="B77" t="str">
            <v>FR Stations - non staff</v>
          </cell>
          <cell r="D77" t="str">
            <v>e320 other maintenance</v>
          </cell>
          <cell r="G77" t="str">
            <v>Finance, proc, legal, strategy and CEO - staff</v>
          </cell>
          <cell r="M77" t="str">
            <v>UK track access charges - IRC Ski</v>
          </cell>
          <cell r="Q77" t="str">
            <v>Contingency and one off costs (e.g. bids)</v>
          </cell>
          <cell r="U77" t="str">
            <v>Other ancillary income</v>
          </cell>
        </row>
        <row r="78">
          <cell r="B78" t="str">
            <v>BE stations</v>
          </cell>
          <cell r="D78" t="str">
            <v>Fixed UK mntnce</v>
          </cell>
          <cell r="G78" t="str">
            <v>Finance, proc, legal, strategy and CEO - non staff</v>
          </cell>
          <cell r="M78" t="str">
            <v>UK track access charges - IRC OTH</v>
          </cell>
        </row>
        <row r="79">
          <cell r="B79" t="str">
            <v>AMS route stations</v>
          </cell>
          <cell r="D79" t="str">
            <v>UK Maintenance</v>
          </cell>
          <cell r="G79" t="str">
            <v>Rolling stock tax (IFER)</v>
          </cell>
          <cell r="M79" t="str">
            <v>UK track access charges - IRC unallocated</v>
          </cell>
        </row>
        <row r="80">
          <cell r="B80" t="str">
            <v>OTH routes stations</v>
          </cell>
          <cell r="D80" t="str">
            <v>SNCF mntnce - variable wrt TMST train km</v>
          </cell>
          <cell r="G80" t="str">
            <v>Other Op Taxes and Overheads</v>
          </cell>
          <cell r="M80" t="str">
            <v>UK track access charges - OMRC</v>
          </cell>
        </row>
        <row r="81">
          <cell r="B81" t="str">
            <v>Security</v>
          </cell>
          <cell r="D81" t="str">
            <v>SNCF mntnce - variable wrt TMSTs</v>
          </cell>
          <cell r="G81"/>
          <cell r="M81" t="str">
            <v>FR track access charges - RES Paris</v>
          </cell>
        </row>
        <row r="82">
          <cell r="B82" t="str">
            <v>OBS - train based</v>
          </cell>
          <cell r="D82" t="str">
            <v>SNCF mntnce - fixed</v>
          </cell>
          <cell r="M82" t="str">
            <v>FR track access charges - RES Brussels</v>
          </cell>
        </row>
        <row r="83">
          <cell r="B83" t="str">
            <v>OBS - FC pax based</v>
          </cell>
          <cell r="D83" t="str">
            <v>SNCF Maintenance</v>
          </cell>
          <cell r="M83" t="str">
            <v>FR track access charges - RES Disney</v>
          </cell>
          <cell r="U83" t="str">
            <v>&lt;leases and below EBIT blank line&gt;</v>
          </cell>
        </row>
        <row r="84">
          <cell r="B84" t="str">
            <v>OBS - ST pax based</v>
          </cell>
          <cell r="D84" t="str">
            <v>SNCB mntnce - variable wrt TMST train km</v>
          </cell>
          <cell r="M84" t="str">
            <v>FR track access charges - RES AMS</v>
          </cell>
          <cell r="U84" t="str">
            <v>Exceptional Items</v>
          </cell>
        </row>
        <row r="85">
          <cell r="B85" t="str">
            <v>OBS - other</v>
          </cell>
          <cell r="D85" t="str">
            <v>SNCB mntnce - variable wrt TMSTs</v>
          </cell>
          <cell r="M85" t="str">
            <v>FR track access charges - RES Provence</v>
          </cell>
          <cell r="U85" t="str">
            <v>Train Finance Lease Interest</v>
          </cell>
        </row>
        <row r="86">
          <cell r="B86" t="str">
            <v>CAV - train based</v>
          </cell>
          <cell r="D86" t="str">
            <v>SNCB mntnce - fixed</v>
          </cell>
          <cell r="M86" t="str">
            <v>FR track access charges - RES Ski</v>
          </cell>
          <cell r="U86" t="str">
            <v>Op lease prepayment</v>
          </cell>
        </row>
        <row r="87">
          <cell r="B87" t="str">
            <v>CAV - FC pax based</v>
          </cell>
          <cell r="D87" t="str">
            <v>Train Drivers - UK</v>
          </cell>
          <cell r="M87" t="str">
            <v>FR track access charges - RES OTH</v>
          </cell>
          <cell r="U87" t="str">
            <v>Forex gains and losses</v>
          </cell>
        </row>
        <row r="88">
          <cell r="B88" t="str">
            <v>CAV - other</v>
          </cell>
          <cell r="D88" t="str">
            <v>Train Drivers - FR/BE</v>
          </cell>
          <cell r="M88" t="str">
            <v>FR track access charges - RES unallocated</v>
          </cell>
          <cell r="U88" t="str">
            <v>Bank int &amp; charges - e320 acquisition</v>
          </cell>
        </row>
        <row r="89">
          <cell r="B89" t="str">
            <v>Business lounges</v>
          </cell>
          <cell r="D89" t="str">
            <v>Other Operations</v>
          </cell>
          <cell r="M89" t="str">
            <v>FR track access charges - RES sweeper charge</v>
          </cell>
          <cell r="U89" t="str">
            <v>Bank int &amp; charges - interest on cash and deposit</v>
          </cell>
        </row>
        <row r="90">
          <cell r="B90" t="str">
            <v>Train Managers - UK</v>
          </cell>
          <cell r="M90" t="str">
            <v>FR track access charges - OP Paris</v>
          </cell>
          <cell r="U90" t="str">
            <v>LCR earn-out (dividend on preference share)</v>
          </cell>
        </row>
        <row r="91">
          <cell r="B91" t="str">
            <v>Train Managers - FR/BE</v>
          </cell>
          <cell r="M91" t="str">
            <v>FR track access charges - OP Brussels</v>
          </cell>
          <cell r="U91" t="str">
            <v>Financing charges - Other</v>
          </cell>
        </row>
        <row r="92">
          <cell r="B92" t="str">
            <v>Other Customer Services</v>
          </cell>
          <cell r="M92" t="str">
            <v>FR track access charges - OP Disney</v>
          </cell>
          <cell r="U92" t="str">
            <v>Projects' Finance income/costs</v>
          </cell>
        </row>
        <row r="93">
          <cell r="M93" t="str">
            <v>FR track access charges - OP AMS</v>
          </cell>
          <cell r="U93" t="str">
            <v>Corporation Tax</v>
          </cell>
        </row>
        <row r="94">
          <cell r="M94" t="str">
            <v>FR track access charges - OP Provence</v>
          </cell>
          <cell r="U94" t="str">
            <v>Deferred Tax</v>
          </cell>
        </row>
        <row r="95">
          <cell r="M95" t="str">
            <v>FR track access charges - OP Ski</v>
          </cell>
          <cell r="U95" t="str">
            <v>Dividends paid</v>
          </cell>
        </row>
        <row r="96">
          <cell r="M96" t="str">
            <v>FR track access charges - OP OTH</v>
          </cell>
          <cell r="U96" t="str">
            <v>Dividends received</v>
          </cell>
        </row>
        <row r="97">
          <cell r="M97" t="str">
            <v>FR track access charges - OP unallocated</v>
          </cell>
        </row>
        <row r="98">
          <cell r="M98" t="str">
            <v>BE track access charges - RES Brussels</v>
          </cell>
        </row>
        <row r="99">
          <cell r="M99" t="str">
            <v>BE track access charges - RES AMS</v>
          </cell>
        </row>
        <row r="100">
          <cell r="M100" t="str">
            <v>BE track access charges - RES OTH</v>
          </cell>
          <cell r="Q100" t="str">
            <v>TMSTs - Mi Vie Refurb capex GBP</v>
          </cell>
        </row>
        <row r="101">
          <cell r="M101" t="str">
            <v>NL track access charges - RES AMS</v>
          </cell>
          <cell r="Q101" t="str">
            <v>TMSTs - other capex GBP</v>
          </cell>
        </row>
        <row r="102">
          <cell r="M102" t="str">
            <v>NL track access charges - OP AMS</v>
          </cell>
          <cell r="Q102" t="str">
            <v>e320s - Velocity capex (milestones and other) GBP</v>
          </cell>
        </row>
        <row r="103">
          <cell r="M103" t="str">
            <v>OTH track access charges - RES AMS</v>
          </cell>
          <cell r="Q103" t="str">
            <v>e320s - additional &amp; replacement sets capex GBP</v>
          </cell>
        </row>
        <row r="104">
          <cell r="M104" t="str">
            <v>OTH track access charges - OP AMS</v>
          </cell>
          <cell r="Q104" t="str">
            <v>Other core capex GBP</v>
          </cell>
        </row>
        <row r="105">
          <cell r="M105" t="str">
            <v>UK Energy</v>
          </cell>
          <cell r="Q105" t="str">
            <v>Project capex plus timing impacts GBP</v>
          </cell>
        </row>
        <row r="106">
          <cell r="M106" t="str">
            <v>France Energy</v>
          </cell>
        </row>
        <row r="107">
          <cell r="M107" t="str">
            <v>Belgium Energy</v>
          </cell>
        </row>
        <row r="108">
          <cell r="M108" t="str">
            <v>NL Energy</v>
          </cell>
          <cell r="Q108" t="str">
            <v>TMSTs - Mi Vie Refurb capex EUR</v>
          </cell>
        </row>
        <row r="109">
          <cell r="M109" t="str">
            <v>OTH Energy</v>
          </cell>
          <cell r="Q109" t="str">
            <v>TMSTs - other capex EUR</v>
          </cell>
        </row>
        <row r="110">
          <cell r="M110" t="str">
            <v>Eurotunnel - fixed</v>
          </cell>
          <cell r="Q110" t="str">
            <v>e320s - Velocity capex (milestones and other) EUR</v>
          </cell>
        </row>
        <row r="111">
          <cell r="M111" t="str">
            <v>Eurotunnel - variable</v>
          </cell>
          <cell r="Q111" t="str">
            <v>e320s - additional &amp; replacement sets capex EUR</v>
          </cell>
        </row>
        <row r="112">
          <cell r="M112" t="str">
            <v>Eurotunnel - opex &amp; capex renewals</v>
          </cell>
          <cell r="Q112" t="str">
            <v>Other core capex EUR</v>
          </cell>
        </row>
        <row r="113">
          <cell r="M113" t="str">
            <v>Eurotunnel - release of prepayments</v>
          </cell>
          <cell r="Q113" t="str">
            <v>Project capex plus timing impacts EUR</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iTMIbill"/>
      <sheetName val="iActuals"/>
      <sheetName val="iTSSSA"/>
      <sheetName val="cActuals"/>
      <sheetName val="cTSSSA"/>
      <sheetName val="oSummary"/>
      <sheetName val="oBookings"/>
      <sheetName val="oNFM"/>
      <sheetName val="DELTA&gt;&gt;&gt;&gt;"/>
      <sheetName val="oDeltaUpdate"/>
      <sheetName val="oDeltaSummary"/>
      <sheetName val="BneWorkBookProperties"/>
      <sheetName val="REFoBookings"/>
      <sheetName val="NEWminusREFoBookings"/>
      <sheetName val="REFiTMIbill"/>
      <sheetName val="NEWminusREFiTMIbill"/>
      <sheetName val="REFcTSSSA"/>
      <sheetName val="NEWminusREFcTSSSA"/>
      <sheetName val="oDelta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iTMIbill"/>
      <sheetName val="iActuals"/>
      <sheetName val="iTSSSA"/>
      <sheetName val="cActuals"/>
      <sheetName val="cTSSSA"/>
      <sheetName val="oSummary"/>
      <sheetName val="oBookings"/>
      <sheetName val="oNFM"/>
      <sheetName val="DELTA&gt;&gt;&gt;&gt;"/>
      <sheetName val="oDeltaUpdate"/>
      <sheetName val="oDeltaSummary"/>
      <sheetName val="BneWorkBookProperties"/>
      <sheetName val="REFoBookings"/>
      <sheetName val="NEWminusREFoBookings"/>
      <sheetName val="REFiTMIbill"/>
      <sheetName val="NEWminusREFiTMIbill"/>
      <sheetName val="REFcTSSSA"/>
      <sheetName val="NEWminusREFcTSSSA"/>
      <sheetName val="oDelta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Packaged Sheets&gt;&gt;&gt;"/>
      <sheetName val="iPMannual"/>
      <sheetName val="icPMmonthly"/>
      <sheetName val="oPM"/>
      <sheetName val="oCovenants"/>
      <sheetName val="Input Sheets&gt;&gt;&gt;"/>
      <sheetName val="icRCF"/>
      <sheetName val="iFX"/>
      <sheetName val="iVolumes"/>
      <sheetName val="iFAM"/>
      <sheetName val="iFixedAssets"/>
      <sheetName val="iNBV"/>
      <sheetName val="External Data&gt;&gt;&gt;"/>
      <sheetName val="iGFCbalSheetGBP"/>
      <sheetName val="iGFCbalSheetNATIVE"/>
      <sheetName val="iFPAconsolidator"/>
      <sheetName val="iEAMrevenue5YP"/>
      <sheetName val="iPMbase"/>
      <sheetName val="MID and LOW Data&gt;&gt;&gt;"/>
      <sheetName val="iPMbaseMID"/>
      <sheetName val="iPMbaseLOW"/>
      <sheetName val="iFPAconsolidatorMID"/>
      <sheetName val="iFPAconsolidatorLOW"/>
      <sheetName val="Output Sheets&gt;&gt;&gt;"/>
      <sheetName val="oMain"/>
      <sheetName val="20Y Plan 2016"/>
      <sheetName val="oContribution"/>
      <sheetName val="oBudget2017"/>
      <sheetName val="2016 FinSubCo Charting&gt;&gt;&gt;"/>
      <sheetName val="cChartData"/>
      <sheetName val="oChartsFinSubComm"/>
      <sheetName val="Calc Sheets"/>
      <sheetName val="cRevenue"/>
      <sheetName val="cMain"/>
      <sheetName val="cFixedAssets"/>
      <sheetName val="Projects&gt;&gt;&gt;"/>
      <sheetName val="iProjLIST"/>
      <sheetName val="iProj01"/>
      <sheetName val="iProjPM"/>
      <sheetName val="iProjEhouse"/>
      <sheetName val="iProjAMS"/>
      <sheetName val="iProjLAST"/>
      <sheetName val="cProjConsol"/>
      <sheetName val="TSSSA&gt;&gt;&gt;"/>
      <sheetName val="iTMIbill"/>
      <sheetName val="iTSSSA"/>
      <sheetName val="cTSSSA"/>
      <sheetName val="Admin&gt;&gt;&gt;"/>
      <sheetName val="aSysStructure"/>
      <sheetName val="aFixedAssets"/>
      <sheetName val="aSys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Packaged Sheets&gt;&gt;&gt;"/>
      <sheetName val="iPMannual"/>
      <sheetName val="icPMmonthly"/>
      <sheetName val="oPM"/>
      <sheetName val="oCovenants"/>
      <sheetName val="Input Sheets&gt;&gt;&gt;"/>
      <sheetName val="icRCF"/>
      <sheetName val="iFX"/>
      <sheetName val="iVolumes"/>
      <sheetName val="iFAM"/>
      <sheetName val="iFixedAssets"/>
      <sheetName val="iNBV"/>
      <sheetName val="External Data&gt;&gt;&gt;"/>
      <sheetName val="iGFCbalSheetGBP"/>
      <sheetName val="iGFCbalSheetNATIVE"/>
      <sheetName val="iFPAconsolidator"/>
      <sheetName val="iEAMrevenue5YP"/>
      <sheetName val="iPMbase"/>
      <sheetName val="MID and LOW Data&gt;&gt;&gt;"/>
      <sheetName val="iPMbaseMID"/>
      <sheetName val="iPMbaseLOW"/>
      <sheetName val="iFPAconsolidatorMID"/>
      <sheetName val="iFPAconsolidatorLOW"/>
      <sheetName val="Output Sheets&gt;&gt;&gt;"/>
      <sheetName val="oMain"/>
      <sheetName val="20Y Plan 2016"/>
      <sheetName val="oContribution"/>
      <sheetName val="oBudget2017"/>
      <sheetName val="2016 FinSubCo Charting&gt;&gt;&gt;"/>
      <sheetName val="cChartData"/>
      <sheetName val="oChartsFinSubComm"/>
      <sheetName val="Calc Sheets"/>
      <sheetName val="cRevenue"/>
      <sheetName val="cMain"/>
      <sheetName val="cFixedAssets"/>
      <sheetName val="Projects&gt;&gt;&gt;"/>
      <sheetName val="iProjLIST"/>
      <sheetName val="iProj01"/>
      <sheetName val="iProjPM"/>
      <sheetName val="iProjEhouse"/>
      <sheetName val="iProjAMS"/>
      <sheetName val="iProjLAST"/>
      <sheetName val="cProjConsol"/>
      <sheetName val="TSSSA&gt;&gt;&gt;"/>
      <sheetName val="iTMIbill"/>
      <sheetName val="iTSSSA"/>
      <sheetName val="cTSSSA"/>
      <sheetName val="Admin&gt;&gt;&gt;"/>
      <sheetName val="aSysStructure"/>
      <sheetName val="aFixedAssets"/>
      <sheetName val="aSysData"/>
    </sheetNames>
    <sheetDataSet>
      <sheetData sheetId="0"/>
      <sheetData sheetId="1"/>
      <sheetData sheetId="2"/>
      <sheetData sheetId="3"/>
      <sheetData sheetId="4"/>
      <sheetData sheetId="5"/>
      <sheetData sheetId="6"/>
      <sheetData sheetId="7"/>
      <sheetData sheetId="8"/>
      <sheetData sheetId="9">
        <row r="322">
          <cell r="F322" t="str">
            <v>&lt;&lt;top of volumes&gt;&gt;</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ow r="7">
          <cell r="G7">
            <v>2015</v>
          </cell>
        </row>
        <row r="8">
          <cell r="G8">
            <v>2016</v>
          </cell>
        </row>
        <row r="13">
          <cell r="G13">
            <v>2026</v>
          </cell>
        </row>
        <row r="16">
          <cell r="G16" t="str">
            <v>'000€</v>
          </cell>
        </row>
        <row r="18">
          <cell r="G18" t="str">
            <v>#'000</v>
          </cell>
          <cell r="H18" t="str">
            <v>#m</v>
          </cell>
        </row>
        <row r="22">
          <cell r="H22">
            <v>0.5</v>
          </cell>
        </row>
        <row r="33">
          <cell r="H33">
            <v>1E-3</v>
          </cell>
        </row>
        <row r="40">
          <cell r="L40">
            <v>0.23196681570866778</v>
          </cell>
        </row>
        <row r="41">
          <cell r="L41">
            <v>0.2</v>
          </cell>
        </row>
        <row r="42">
          <cell r="L42">
            <v>6.1455583687981465E-2</v>
          </cell>
        </row>
        <row r="43">
          <cell r="L43">
            <v>8.3333333333333329E-2</v>
          </cell>
        </row>
        <row r="44">
          <cell r="L44">
            <v>0</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éroulé CA"/>
      <sheetName val="CA K€"/>
      <sheetName val="CA M€"/>
      <sheetName val="RAF CA"/>
      <sheetName val="Aterissage juin"/>
      <sheetName val="Graph CA Mensuels "/>
      <sheetName val="Graph CA Cumulé"/>
      <sheetName val="CA 12 MG Groupe"/>
      <sheetName val="trim"/>
      <sheetName val="ca trim"/>
      <sheetName val="Taux croissance CA semestriel"/>
      <sheetName val="Graph REX Mensuels "/>
      <sheetName val="CA 12 MG UK"/>
      <sheetName val="CA 12 MG Italie"/>
      <sheetName val="Feuil1"/>
      <sheetName val="CA 12 MG Benelux"/>
      <sheetName val="Feuil2"/>
      <sheetName val="déroulé_CA"/>
      <sheetName val="CA_K€"/>
      <sheetName val="CA_M€"/>
      <sheetName val="RAF_CA"/>
      <sheetName val="Aterissage_juin"/>
      <sheetName val="Graph_CA_Mensuels_"/>
      <sheetName val="Graph_CA_Cumulé"/>
      <sheetName val="CA_12_MG_Groupe"/>
      <sheetName val="ca_trim"/>
      <sheetName val="Taux_croissance_CA_semestriel"/>
      <sheetName val="Graph_REX_Mensuels_"/>
      <sheetName val="CA_12_MG_UK"/>
      <sheetName val="CA_12_MG_Italie"/>
      <sheetName val="CA_12_MG_Benelux"/>
      <sheetName val="déroulé_CA1"/>
      <sheetName val="CA_K€1"/>
      <sheetName val="CA_M€1"/>
      <sheetName val="RAF_CA1"/>
      <sheetName val="Aterissage_juin1"/>
      <sheetName val="Graph_CA_Mensuels_1"/>
      <sheetName val="Graph_CA_Cumulé1"/>
      <sheetName val="CA_12_MG_Groupe1"/>
      <sheetName val="ca_trim1"/>
      <sheetName val="Taux_croissance_CA_semestriel1"/>
      <sheetName val="Graph_REX_Mensuels_1"/>
      <sheetName val="CA_12_MG_UK1"/>
      <sheetName val="CA_12_MG_Italie1"/>
      <sheetName val="CA_12_MG_Benelux1"/>
      <sheetName val="déroulé_CA2"/>
      <sheetName val="CA_K€2"/>
      <sheetName val="CA_M€2"/>
      <sheetName val="RAF_CA2"/>
      <sheetName val="Aterissage_juin2"/>
      <sheetName val="Graph_CA_Mensuels_2"/>
      <sheetName val="Graph_CA_Cumulé2"/>
      <sheetName val="CA_12_MG_Groupe2"/>
      <sheetName val="ca_trim2"/>
      <sheetName val="Taux_croissance_CA_semestriel2"/>
      <sheetName val="Graph_REX_Mensuels_2"/>
      <sheetName val="CA_12_MG_UK2"/>
      <sheetName val="CA_12_MG_Italie2"/>
      <sheetName val="CA_12_MG_Benelux2"/>
      <sheetName val="CheckList _ Revue"/>
      <sheetName val="Synthèse - Charges"/>
      <sheetName val="Synthèse - Produits"/>
      <sheetName val="Compte et libellés - Charges"/>
      <sheetName val="Compte et libellés - Produits"/>
      <sheetName val="Import reporting SAP"/>
      <sheetName val="TCD - Nom de compte"/>
      <sheetName val="Tous centres de coûts - OTP"/>
    </sheetNames>
    <sheetDataSet>
      <sheetData sheetId="0"/>
      <sheetData sheetId="1"/>
      <sheetData sheetId="2"/>
      <sheetData sheetId="3" refreshError="1">
        <row r="7">
          <cell r="B7" t="str">
            <v>Messagerie</v>
          </cell>
        </row>
        <row r="8">
          <cell r="B8" t="str">
            <v>Logistique</v>
          </cell>
        </row>
        <row r="9">
          <cell r="B9" t="str">
            <v>Overseas</v>
          </cell>
        </row>
        <row r="10">
          <cell r="B10" t="str">
            <v>Siege</v>
          </cell>
        </row>
        <row r="11">
          <cell r="B11" t="str">
            <v>Elims intra France</v>
          </cell>
        </row>
        <row r="12">
          <cell r="B12" t="str">
            <v>FRANCE</v>
          </cell>
        </row>
        <row r="14">
          <cell r="B14" t="str">
            <v>GEODIS BM</v>
          </cell>
        </row>
        <row r="16">
          <cell r="B16" t="str">
            <v>ITALIE</v>
          </cell>
        </row>
        <row r="17">
          <cell r="B17" t="str">
            <v>BENELUX</v>
          </cell>
        </row>
        <row r="18">
          <cell r="B18" t="str">
            <v>ALLEMAGNE</v>
          </cell>
        </row>
        <row r="19">
          <cell r="B19" t="str">
            <v>ESPAGNE</v>
          </cell>
        </row>
        <row r="20">
          <cell r="B20" t="str">
            <v>UK</v>
          </cell>
        </row>
        <row r="21">
          <cell r="B21" t="str">
            <v>IRLANDE</v>
          </cell>
        </row>
        <row r="22">
          <cell r="B22" t="str">
            <v>EST</v>
          </cell>
        </row>
        <row r="23">
          <cell r="B23" t="str">
            <v>Elims Intra Europe</v>
          </cell>
        </row>
        <row r="24">
          <cell r="B24" t="str">
            <v>EUROPE</v>
          </cell>
        </row>
        <row r="26">
          <cell r="B26" t="str">
            <v>ASIE - MEXIQUE</v>
          </cell>
        </row>
        <row r="28">
          <cell r="B28" t="str">
            <v>AFRIQUE</v>
          </cell>
        </row>
        <row r="29">
          <cell r="B29" t="str">
            <v>AUTRES</v>
          </cell>
        </row>
        <row r="31">
          <cell r="B31" t="str">
            <v>Elims inter zones</v>
          </cell>
        </row>
        <row r="33">
          <cell r="B33" t="str">
            <v>TOTAL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7">
          <cell r="B7" t="str">
            <v>Messagerie</v>
          </cell>
        </row>
      </sheetData>
      <sheetData sheetId="18"/>
      <sheetData sheetId="19"/>
      <sheetData sheetId="20">
        <row r="7">
          <cell r="B7" t="str">
            <v>Messagerie</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
          <cell r="B7" t="str">
            <v>Messagerie</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7">
          <cell r="B7" t="str">
            <v>Messagerie</v>
          </cell>
        </row>
      </sheetData>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S"/>
      <sheetName val="Procedure utilisation"/>
      <sheetName val="CRN DETAIL"/>
      <sheetName val="FT"/>
      <sheetName val="VFE"/>
      <sheetName val="TER"/>
      <sheetName val="TP"/>
      <sheetName val="FRET"/>
      <sheetName val="INFRA"/>
      <sheetName val="MATERIEL"/>
      <sheetName val="TRACTION"/>
      <sheetName val="CRN"/>
      <sheetName val="CRN FLUX"/>
      <sheetName val="PDTS EXT"/>
      <sheetName val="ACH EXT"/>
      <sheetName val="PDTS INT"/>
      <sheetName val="ACH INT"/>
      <sheetName val="EFFECTIF"/>
      <sheetName val="MS"/>
      <sheetName val="DOTATION"/>
      <sheetName val="DONNEES MATERIEL VFE GL"/>
      <sheetName val="DONNEES MATERIEL TER DIF CORAIL"/>
      <sheetName val="DONNEES MATERIEL FRET INFRA"/>
      <sheetName val="DONNEES PHY TRACTION"/>
      <sheetName val="TRAFIC&amp;PRD GL"/>
      <sheetName val="TRAFIC&amp;PRD TER"/>
      <sheetName val="TRAFIC&amp;PRD TRANSILIEN"/>
      <sheetName val="TRAFIC&amp;PRD CORAIL"/>
      <sheetName val="TRAFIC&amp;PRD FRET"/>
      <sheetName val="Feuil1"/>
      <sheetName val="Variables Communes"/>
      <sheetName val="RAF CA"/>
      <sheetName val="Stand. Hors roulement  doc N°8"/>
      <sheetName val="Procedure_utilisation"/>
      <sheetName val="CRN_DETAIL"/>
      <sheetName val="CRN_FLUX"/>
      <sheetName val="PDTS_EXT"/>
      <sheetName val="ACH_EXT"/>
      <sheetName val="PDTS_INT"/>
      <sheetName val="ACH_INT"/>
      <sheetName val="DONNEES_MATERIEL_VFE_GL"/>
      <sheetName val="DONNEES_MATERIEL_TER_DIF_CORAIL"/>
      <sheetName val="DONNEES_MATERIEL_FRET_INFRA"/>
      <sheetName val="DONNEES_PHY_TRACTION"/>
      <sheetName val="TRAFIC&amp;PRD_GL"/>
      <sheetName val="TRAFIC&amp;PRD_TER"/>
      <sheetName val="TRAFIC&amp;PRD_TRANSILIEN"/>
      <sheetName val="TRAFIC&amp;PRD_CORAIL"/>
      <sheetName val="TRAFIC&amp;PRD_FRET"/>
      <sheetName val="Variables_Communes"/>
      <sheetName val="RAF_CA"/>
      <sheetName val="Stand__Hors_roulement__doc_N°8"/>
      <sheetName val="Procedure_utilisation1"/>
      <sheetName val="CRN_DETAIL1"/>
      <sheetName val="CRN_FLUX1"/>
      <sheetName val="PDTS_EXT1"/>
      <sheetName val="ACH_EXT1"/>
      <sheetName val="PDTS_INT1"/>
      <sheetName val="ACH_INT1"/>
      <sheetName val="DONNEES_MATERIEL_VFE_GL1"/>
      <sheetName val="DONNEES_MATERIEL_TER_DIF_CORAI1"/>
      <sheetName val="DONNEES_MATERIEL_FRET_INFRA1"/>
      <sheetName val="DONNEES_PHY_TRACTION1"/>
      <sheetName val="TRAFIC&amp;PRD_GL1"/>
      <sheetName val="TRAFIC&amp;PRD_TER1"/>
      <sheetName val="TRAFIC&amp;PRD_TRANSILIEN1"/>
      <sheetName val="TRAFIC&amp;PRD_CORAIL1"/>
      <sheetName val="TRAFIC&amp;PRD_FRET1"/>
      <sheetName val="Variables_Communes1"/>
      <sheetName val="RAF_CA1"/>
      <sheetName val="Stand__Hors_roulement__doc_N°81"/>
    </sheetNames>
    <sheetDataSet>
      <sheetData sheetId="0" refreshError="1">
        <row r="2">
          <cell r="A2" t="str">
            <v>SOCIAL</v>
          </cell>
          <cell r="C2" t="str">
            <v>Choisir une unité…</v>
          </cell>
          <cell r="F2" t="str">
            <v>Choisir un périmètre…</v>
          </cell>
          <cell r="I2" t="str">
            <v>CC=AED</v>
          </cell>
        </row>
        <row r="3">
          <cell r="A3" t="str">
            <v>CONSO</v>
          </cell>
          <cell r="C3" t="e">
            <v>#NAME?</v>
          </cell>
          <cell r="F3" t="str">
            <v>EPIC</v>
          </cell>
          <cell r="I3" t="str">
            <v>CC=AFA</v>
          </cell>
        </row>
        <row r="4">
          <cell r="C4" t="e">
            <v>#NAME?</v>
          </cell>
          <cell r="F4" t="str">
            <v>FONCTIONS COMMUNES</v>
          </cell>
          <cell r="I4" t="str">
            <v>CC=ALL</v>
          </cell>
        </row>
        <row r="5">
          <cell r="C5" t="e">
            <v>#NAME?</v>
          </cell>
          <cell r="F5" t="str">
            <v>FONCTIONS TRANSVERSES</v>
          </cell>
          <cell r="I5" t="str">
            <v>CC=AMD</v>
          </cell>
        </row>
        <row r="6">
          <cell r="C6" t="e">
            <v>#NAME?</v>
          </cell>
          <cell r="F6" t="str">
            <v>TER</v>
          </cell>
          <cell r="I6" t="str">
            <v>CC=ANG</v>
          </cell>
        </row>
        <row r="7">
          <cell r="C7" t="e">
            <v>#NAME?</v>
          </cell>
          <cell r="F7" t="str">
            <v>TRANSPORTS PUBLICS</v>
          </cell>
          <cell r="I7" t="str">
            <v>CC=AOA</v>
          </cell>
        </row>
        <row r="8">
          <cell r="C8" t="e">
            <v>#NAME?</v>
          </cell>
          <cell r="F8" t="str">
            <v>VOYAGEURS France EUROPE</v>
          </cell>
          <cell r="I8" t="str">
            <v>CC=ARA</v>
          </cell>
        </row>
        <row r="9">
          <cell r="C9" t="e">
            <v>#NAME?</v>
          </cell>
          <cell r="I9" t="str">
            <v>CC=ARP</v>
          </cell>
        </row>
        <row r="10">
          <cell r="C10" t="e">
            <v>#NAME?</v>
          </cell>
          <cell r="I10" t="str">
            <v>CC=ARS</v>
          </cell>
        </row>
        <row r="11">
          <cell r="C11" t="e">
            <v>#NAME?</v>
          </cell>
          <cell r="I11" t="str">
            <v>CC=ATS</v>
          </cell>
        </row>
        <row r="12">
          <cell r="C12" t="e">
            <v>#NAME?</v>
          </cell>
          <cell r="I12" t="str">
            <v>CC=AUD</v>
          </cell>
        </row>
        <row r="13">
          <cell r="C13" t="e">
            <v>#NAME?</v>
          </cell>
          <cell r="F13" t="str">
            <v>Choisir une nature de donnée…</v>
          </cell>
          <cell r="I13" t="str">
            <v>CC=AZM</v>
          </cell>
        </row>
        <row r="14">
          <cell r="C14" t="e">
            <v>#NAME?</v>
          </cell>
          <cell r="F14" t="str">
            <v>Sociale</v>
          </cell>
          <cell r="I14" t="str">
            <v>CC=BAM</v>
          </cell>
        </row>
        <row r="15">
          <cell r="C15" t="e">
            <v>#NAME?</v>
          </cell>
          <cell r="F15" t="str">
            <v>Consolidée</v>
          </cell>
          <cell r="I15" t="str">
            <v>CC=BBD</v>
          </cell>
        </row>
        <row r="16">
          <cell r="C16" t="e">
            <v>#NAME?</v>
          </cell>
          <cell r="I16" t="str">
            <v>CC=BDT</v>
          </cell>
        </row>
        <row r="17">
          <cell r="C17" t="e">
            <v>#NAME?</v>
          </cell>
          <cell r="I17" t="str">
            <v>CC=BEF</v>
          </cell>
        </row>
        <row r="18">
          <cell r="C18" t="e">
            <v>#NAME?</v>
          </cell>
          <cell r="I18" t="str">
            <v>CC=BGN</v>
          </cell>
        </row>
        <row r="19">
          <cell r="C19" t="e">
            <v>#NAME?</v>
          </cell>
          <cell r="I19" t="str">
            <v>CC=BHD</v>
          </cell>
        </row>
        <row r="20">
          <cell r="C20" t="e">
            <v>#NAME?</v>
          </cell>
          <cell r="I20" t="str">
            <v>CC=BIF</v>
          </cell>
        </row>
        <row r="21">
          <cell r="C21" t="e">
            <v>#NAME?</v>
          </cell>
          <cell r="I21" t="str">
            <v>CC=BMD</v>
          </cell>
        </row>
        <row r="22">
          <cell r="C22" t="e">
            <v>#NAME?</v>
          </cell>
          <cell r="I22" t="str">
            <v>CC=BND</v>
          </cell>
        </row>
        <row r="23">
          <cell r="C23" t="e">
            <v>#NAME?</v>
          </cell>
          <cell r="I23" t="str">
            <v>CC=BOB</v>
          </cell>
        </row>
        <row r="24">
          <cell r="C24" t="e">
            <v>#NAME?</v>
          </cell>
          <cell r="I24" t="str">
            <v>CC=BRC</v>
          </cell>
        </row>
        <row r="25">
          <cell r="C25" t="e">
            <v>#NAME?</v>
          </cell>
          <cell r="I25" t="str">
            <v>CC=BRL</v>
          </cell>
        </row>
        <row r="26">
          <cell r="C26" t="e">
            <v>#NAME?</v>
          </cell>
          <cell r="I26" t="str">
            <v>CC=BSD</v>
          </cell>
        </row>
        <row r="27">
          <cell r="C27" t="e">
            <v>#NAME?</v>
          </cell>
          <cell r="I27" t="str">
            <v>CC=BTN</v>
          </cell>
        </row>
        <row r="28">
          <cell r="C28" t="e">
            <v>#NAME?</v>
          </cell>
          <cell r="I28" t="str">
            <v>CC=BUK</v>
          </cell>
        </row>
        <row r="29">
          <cell r="C29" t="e">
            <v>#NAME?</v>
          </cell>
          <cell r="I29" t="str">
            <v>CC=BWP</v>
          </cell>
        </row>
        <row r="30">
          <cell r="C30" t="e">
            <v>#NAME?</v>
          </cell>
          <cell r="I30" t="str">
            <v>CC=BYR</v>
          </cell>
        </row>
        <row r="31">
          <cell r="C31" t="e">
            <v>#NAME?</v>
          </cell>
          <cell r="I31" t="str">
            <v>CC=BZD</v>
          </cell>
        </row>
        <row r="32">
          <cell r="C32" t="e">
            <v>#NAME?</v>
          </cell>
          <cell r="I32" t="str">
            <v>CC=CAD</v>
          </cell>
        </row>
        <row r="33">
          <cell r="C33" t="e">
            <v>#NAME?</v>
          </cell>
          <cell r="I33" t="str">
            <v>CC=CDF</v>
          </cell>
        </row>
        <row r="34">
          <cell r="C34" t="e">
            <v>#NAME?</v>
          </cell>
          <cell r="I34" t="str">
            <v>CC=CHF</v>
          </cell>
        </row>
        <row r="35">
          <cell r="C35" t="e">
            <v>#NAME?</v>
          </cell>
          <cell r="I35" t="str">
            <v>CC=CLP</v>
          </cell>
        </row>
        <row r="36">
          <cell r="C36" t="e">
            <v>#NAME?</v>
          </cell>
          <cell r="I36" t="str">
            <v>CC=CNY</v>
          </cell>
        </row>
        <row r="37">
          <cell r="C37" t="e">
            <v>#NAME?</v>
          </cell>
          <cell r="I37" t="str">
            <v>CC=COP</v>
          </cell>
        </row>
        <row r="38">
          <cell r="C38" t="e">
            <v>#NAME?</v>
          </cell>
          <cell r="I38" t="str">
            <v>CC=CRC</v>
          </cell>
        </row>
        <row r="39">
          <cell r="C39" t="e">
            <v>#NAME?</v>
          </cell>
          <cell r="I39" t="str">
            <v>CC=CSK</v>
          </cell>
        </row>
        <row r="40">
          <cell r="C40" t="e">
            <v>#NAME?</v>
          </cell>
          <cell r="I40" t="str">
            <v>CC=CUP</v>
          </cell>
        </row>
        <row r="41">
          <cell r="C41" t="e">
            <v>#NAME?</v>
          </cell>
          <cell r="I41" t="str">
            <v>CC=CVE</v>
          </cell>
        </row>
        <row r="42">
          <cell r="C42" t="e">
            <v>#NAME?</v>
          </cell>
          <cell r="I42" t="str">
            <v>CC=CYP</v>
          </cell>
        </row>
        <row r="43">
          <cell r="C43" t="e">
            <v>#NAME?</v>
          </cell>
          <cell r="I43" t="str">
            <v>CC=CZK</v>
          </cell>
        </row>
        <row r="44">
          <cell r="C44" t="e">
            <v>#NAME?</v>
          </cell>
          <cell r="I44" t="str">
            <v>CC=DDM</v>
          </cell>
        </row>
        <row r="45">
          <cell r="C45" t="e">
            <v>#NAME?</v>
          </cell>
          <cell r="I45" t="str">
            <v>CC=DEM</v>
          </cell>
        </row>
        <row r="46">
          <cell r="I46" t="str">
            <v>CC=DJF</v>
          </cell>
        </row>
        <row r="47">
          <cell r="I47" t="str">
            <v>CC=DKK</v>
          </cell>
        </row>
        <row r="48">
          <cell r="I48" t="str">
            <v>CC=DOP</v>
          </cell>
        </row>
        <row r="49">
          <cell r="I49" t="str">
            <v>CC=DWD</v>
          </cell>
        </row>
        <row r="50">
          <cell r="I50" t="str">
            <v>CC=DZD</v>
          </cell>
        </row>
        <row r="51">
          <cell r="I51" t="str">
            <v>CC=ECS</v>
          </cell>
        </row>
        <row r="52">
          <cell r="I52" t="str">
            <v>CC=EEK</v>
          </cell>
        </row>
        <row r="53">
          <cell r="I53" t="str">
            <v>CC=EGP</v>
          </cell>
        </row>
        <row r="54">
          <cell r="I54" t="str">
            <v>CC=ENF</v>
          </cell>
        </row>
        <row r="55">
          <cell r="I55" t="str">
            <v>CC=ERM</v>
          </cell>
        </row>
        <row r="56">
          <cell r="I56" t="str">
            <v>CC=ERN</v>
          </cell>
        </row>
        <row r="57">
          <cell r="I57" t="str">
            <v>CC=ESP</v>
          </cell>
        </row>
        <row r="58">
          <cell r="I58" t="str">
            <v>CC=ETB</v>
          </cell>
        </row>
        <row r="59">
          <cell r="I59" t="str">
            <v>CC=EUR</v>
          </cell>
        </row>
        <row r="60">
          <cell r="I60" t="str">
            <v>CC=FIM</v>
          </cell>
        </row>
        <row r="61">
          <cell r="I61" t="str">
            <v>CC=FJD</v>
          </cell>
        </row>
        <row r="62">
          <cell r="I62" t="str">
            <v>CC=FKP</v>
          </cell>
        </row>
        <row r="63">
          <cell r="I63" t="str">
            <v>CC=FRF</v>
          </cell>
        </row>
        <row r="64">
          <cell r="I64" t="str">
            <v>CC=GBP</v>
          </cell>
        </row>
        <row r="65">
          <cell r="I65" t="str">
            <v>CC=GBP06</v>
          </cell>
        </row>
        <row r="66">
          <cell r="I66" t="str">
            <v>CC=GEL</v>
          </cell>
        </row>
        <row r="67">
          <cell r="I67" t="str">
            <v>CC=GHC</v>
          </cell>
        </row>
        <row r="68">
          <cell r="I68" t="str">
            <v>CC=GIP</v>
          </cell>
        </row>
        <row r="69">
          <cell r="I69" t="str">
            <v>CC=GMD</v>
          </cell>
        </row>
        <row r="70">
          <cell r="I70" t="str">
            <v>CC=GNS</v>
          </cell>
        </row>
        <row r="71">
          <cell r="I71" t="str">
            <v>CC=GQE</v>
          </cell>
        </row>
        <row r="72">
          <cell r="I72" t="str">
            <v>CC=GRD</v>
          </cell>
        </row>
        <row r="73">
          <cell r="I73" t="str">
            <v>CC=GTQ</v>
          </cell>
        </row>
        <row r="74">
          <cell r="I74" t="str">
            <v>CC=GWP</v>
          </cell>
        </row>
        <row r="75">
          <cell r="I75" t="str">
            <v>CC=GYD</v>
          </cell>
        </row>
        <row r="76">
          <cell r="I76" t="str">
            <v>CC=HKD</v>
          </cell>
        </row>
        <row r="77">
          <cell r="I77" t="str">
            <v>CC=HNL</v>
          </cell>
        </row>
        <row r="78">
          <cell r="I78" t="str">
            <v>CC=HRK</v>
          </cell>
        </row>
        <row r="79">
          <cell r="I79" t="str">
            <v>CC=HTG</v>
          </cell>
        </row>
        <row r="80">
          <cell r="I80" t="str">
            <v>CC=HUF</v>
          </cell>
        </row>
        <row r="81">
          <cell r="I81" t="str">
            <v>CC=IDR</v>
          </cell>
        </row>
        <row r="82">
          <cell r="I82" t="str">
            <v>CC=IEP</v>
          </cell>
        </row>
        <row r="83">
          <cell r="I83" t="str">
            <v>CC=ILS</v>
          </cell>
        </row>
        <row r="84">
          <cell r="I84" t="str">
            <v>CC=INR</v>
          </cell>
        </row>
        <row r="85">
          <cell r="I85" t="str">
            <v>CC=IQD</v>
          </cell>
        </row>
        <row r="86">
          <cell r="I86" t="str">
            <v>CC=IRR</v>
          </cell>
        </row>
        <row r="87">
          <cell r="I87" t="str">
            <v>CC=ISK</v>
          </cell>
        </row>
        <row r="88">
          <cell r="I88" t="str">
            <v>CC=ITL</v>
          </cell>
        </row>
        <row r="89">
          <cell r="I89" t="str">
            <v>CC=JMD</v>
          </cell>
        </row>
        <row r="90">
          <cell r="I90" t="str">
            <v>CC=JOD</v>
          </cell>
        </row>
        <row r="91">
          <cell r="I91" t="str">
            <v>CC=JPY</v>
          </cell>
        </row>
        <row r="92">
          <cell r="I92" t="str">
            <v>CC=KES</v>
          </cell>
        </row>
        <row r="93">
          <cell r="I93" t="str">
            <v>CC=KGS</v>
          </cell>
        </row>
        <row r="94">
          <cell r="I94" t="str">
            <v>CC=KHR</v>
          </cell>
        </row>
        <row r="95">
          <cell r="I95" t="str">
            <v>CC=KMF</v>
          </cell>
        </row>
        <row r="96">
          <cell r="I96" t="str">
            <v>CC=KPW</v>
          </cell>
        </row>
        <row r="97">
          <cell r="I97" t="str">
            <v>CC=KRW</v>
          </cell>
        </row>
        <row r="98">
          <cell r="I98" t="str">
            <v>CC=KWD</v>
          </cell>
        </row>
        <row r="99">
          <cell r="I99" t="str">
            <v>CC=KYD</v>
          </cell>
        </row>
        <row r="100">
          <cell r="I100" t="str">
            <v>CC=KZT</v>
          </cell>
        </row>
        <row r="101">
          <cell r="I101" t="str">
            <v>CC=LAK</v>
          </cell>
        </row>
        <row r="102">
          <cell r="I102" t="str">
            <v>CC=LBP</v>
          </cell>
        </row>
        <row r="103">
          <cell r="I103" t="str">
            <v>CC=LKR</v>
          </cell>
        </row>
        <row r="104">
          <cell r="I104" t="str">
            <v>CC=LRD</v>
          </cell>
        </row>
        <row r="105">
          <cell r="I105" t="str">
            <v>CC=LSL</v>
          </cell>
        </row>
        <row r="106">
          <cell r="I106" t="str">
            <v>CC=LSM</v>
          </cell>
        </row>
        <row r="107">
          <cell r="I107" t="str">
            <v>CC=LTL</v>
          </cell>
        </row>
        <row r="108">
          <cell r="I108" t="str">
            <v>CC=LUF</v>
          </cell>
        </row>
        <row r="109">
          <cell r="I109" t="str">
            <v>CC=LVL</v>
          </cell>
        </row>
        <row r="110">
          <cell r="I110" t="str">
            <v>CC=LYD</v>
          </cell>
        </row>
        <row r="111">
          <cell r="I111" t="str">
            <v>CC=MAD</v>
          </cell>
        </row>
        <row r="112">
          <cell r="I112" t="str">
            <v>CC=MDL</v>
          </cell>
        </row>
        <row r="113">
          <cell r="I113" t="str">
            <v>CC=MGF</v>
          </cell>
        </row>
        <row r="114">
          <cell r="I114" t="str">
            <v>CC=MKD</v>
          </cell>
        </row>
        <row r="115">
          <cell r="I115" t="str">
            <v>CC=MLF</v>
          </cell>
        </row>
        <row r="116">
          <cell r="I116" t="str">
            <v>CC=MMK</v>
          </cell>
        </row>
        <row r="117">
          <cell r="I117" t="str">
            <v>CC=MNT</v>
          </cell>
        </row>
        <row r="118">
          <cell r="I118" t="str">
            <v>CC=MOP</v>
          </cell>
        </row>
        <row r="119">
          <cell r="I119" t="str">
            <v>CC=MRO</v>
          </cell>
        </row>
        <row r="120">
          <cell r="I120" t="str">
            <v>CC=MTL</v>
          </cell>
        </row>
        <row r="121">
          <cell r="I121" t="str">
            <v>CC=MTP</v>
          </cell>
        </row>
        <row r="122">
          <cell r="I122" t="str">
            <v>CC=MUR</v>
          </cell>
        </row>
        <row r="123">
          <cell r="I123" t="str">
            <v>CC=MVR</v>
          </cell>
        </row>
        <row r="124">
          <cell r="I124" t="str">
            <v>CC=MWK</v>
          </cell>
        </row>
        <row r="125">
          <cell r="I125" t="str">
            <v>CC=MXN</v>
          </cell>
        </row>
        <row r="126">
          <cell r="I126" t="str">
            <v>CC=MYR</v>
          </cell>
        </row>
        <row r="127">
          <cell r="I127" t="str">
            <v>CC=MZM</v>
          </cell>
        </row>
        <row r="128">
          <cell r="I128" t="str">
            <v>CC=NAD</v>
          </cell>
        </row>
        <row r="129">
          <cell r="I129" t="str">
            <v>CC=NGN</v>
          </cell>
        </row>
        <row r="130">
          <cell r="I130" t="str">
            <v>CC=NIC</v>
          </cell>
        </row>
        <row r="131">
          <cell r="I131" t="str">
            <v>CC=NIO</v>
          </cell>
        </row>
        <row r="132">
          <cell r="I132" t="str">
            <v>CC=NLG</v>
          </cell>
        </row>
        <row r="133">
          <cell r="I133" t="str">
            <v>CC=NOK</v>
          </cell>
        </row>
        <row r="134">
          <cell r="I134" t="str">
            <v>CC=NPR</v>
          </cell>
        </row>
        <row r="135">
          <cell r="I135" t="str">
            <v>CC=NZD</v>
          </cell>
        </row>
        <row r="136">
          <cell r="I136" t="str">
            <v>CC=OMR</v>
          </cell>
        </row>
        <row r="137">
          <cell r="I137" t="str">
            <v>CC=PAB</v>
          </cell>
        </row>
        <row r="138">
          <cell r="I138" t="str">
            <v>CC=PEN</v>
          </cell>
        </row>
        <row r="139">
          <cell r="I139" t="str">
            <v>CC=PES</v>
          </cell>
        </row>
        <row r="140">
          <cell r="I140" t="str">
            <v>CC=PGK</v>
          </cell>
        </row>
        <row r="141">
          <cell r="I141" t="str">
            <v>CC=PHP</v>
          </cell>
        </row>
        <row r="142">
          <cell r="I142" t="str">
            <v>CC=PIVOT</v>
          </cell>
        </row>
        <row r="143">
          <cell r="I143" t="str">
            <v>CC=PKR</v>
          </cell>
        </row>
        <row r="144">
          <cell r="I144" t="str">
            <v>CC=PLN</v>
          </cell>
        </row>
        <row r="145">
          <cell r="I145" t="str">
            <v>CC=PTE</v>
          </cell>
        </row>
        <row r="146">
          <cell r="I146" t="str">
            <v>CC=PYG</v>
          </cell>
        </row>
        <row r="147">
          <cell r="I147" t="str">
            <v>CC=QAR</v>
          </cell>
        </row>
        <row r="148">
          <cell r="I148" t="str">
            <v>CC=ROL</v>
          </cell>
        </row>
        <row r="149">
          <cell r="I149" t="str">
            <v>CC=RON</v>
          </cell>
        </row>
        <row r="150">
          <cell r="I150" t="str">
            <v>CC=RUB</v>
          </cell>
        </row>
        <row r="151">
          <cell r="I151" t="str">
            <v>CC=RWF</v>
          </cell>
        </row>
        <row r="152">
          <cell r="I152" t="str">
            <v>CC=SAR</v>
          </cell>
        </row>
        <row r="153">
          <cell r="I153" t="str">
            <v>CC=SBD</v>
          </cell>
        </row>
        <row r="154">
          <cell r="I154" t="str">
            <v>CC=SCR</v>
          </cell>
        </row>
        <row r="155">
          <cell r="I155" t="str">
            <v>CC=SDD</v>
          </cell>
        </row>
        <row r="156">
          <cell r="I156" t="str">
            <v>CC=SDP</v>
          </cell>
        </row>
        <row r="157">
          <cell r="I157" t="str">
            <v>CC=SEK</v>
          </cell>
        </row>
        <row r="158">
          <cell r="I158" t="str">
            <v>CC=SGD</v>
          </cell>
        </row>
        <row r="159">
          <cell r="I159" t="str">
            <v>CC=SHP</v>
          </cell>
        </row>
        <row r="160">
          <cell r="I160" t="str">
            <v>CC=SIT</v>
          </cell>
        </row>
        <row r="161">
          <cell r="I161" t="str">
            <v>CC=SKK</v>
          </cell>
        </row>
        <row r="162">
          <cell r="I162" t="str">
            <v>CC=SLL</v>
          </cell>
        </row>
        <row r="163">
          <cell r="I163" t="str">
            <v>CC=SOS</v>
          </cell>
        </row>
        <row r="164">
          <cell r="I164" t="str">
            <v>CC=SRG</v>
          </cell>
        </row>
        <row r="165">
          <cell r="I165" t="str">
            <v>CC=STD</v>
          </cell>
        </row>
        <row r="166">
          <cell r="I166" t="str">
            <v>CC=SUR</v>
          </cell>
        </row>
        <row r="167">
          <cell r="I167" t="str">
            <v>CC=SVC</v>
          </cell>
        </row>
        <row r="168">
          <cell r="I168" t="str">
            <v>CC=SYP</v>
          </cell>
        </row>
        <row r="169">
          <cell r="I169" t="str">
            <v>CC=SZL</v>
          </cell>
        </row>
        <row r="170">
          <cell r="I170" t="str">
            <v>CC=THB</v>
          </cell>
        </row>
        <row r="171">
          <cell r="I171" t="str">
            <v>CC=TMM</v>
          </cell>
        </row>
        <row r="172">
          <cell r="I172" t="str">
            <v>CC=TND</v>
          </cell>
        </row>
        <row r="173">
          <cell r="I173" t="str">
            <v>CC=TOP</v>
          </cell>
        </row>
        <row r="174">
          <cell r="I174" t="str">
            <v>CC=TPE</v>
          </cell>
        </row>
        <row r="175">
          <cell r="I175" t="str">
            <v>CC=TRL</v>
          </cell>
        </row>
        <row r="176">
          <cell r="I176" t="str">
            <v>CC=TTD</v>
          </cell>
        </row>
        <row r="177">
          <cell r="I177" t="str">
            <v>CC=TWD</v>
          </cell>
        </row>
        <row r="178">
          <cell r="I178" t="str">
            <v>CC=TZS</v>
          </cell>
        </row>
        <row r="179">
          <cell r="I179" t="str">
            <v>CC=UAH</v>
          </cell>
        </row>
        <row r="180">
          <cell r="I180" t="str">
            <v>CC=UGS</v>
          </cell>
        </row>
        <row r="181">
          <cell r="I181" t="str">
            <v>CC=USD</v>
          </cell>
        </row>
        <row r="182">
          <cell r="I182" t="str">
            <v>CC=UYU</v>
          </cell>
        </row>
        <row r="183">
          <cell r="I183" t="str">
            <v>CC=UZS</v>
          </cell>
        </row>
        <row r="184">
          <cell r="I184" t="str">
            <v>CC=VEB</v>
          </cell>
        </row>
        <row r="185">
          <cell r="I185" t="str">
            <v>CC=VND</v>
          </cell>
        </row>
        <row r="186">
          <cell r="I186" t="str">
            <v>CC=VUV</v>
          </cell>
        </row>
        <row r="187">
          <cell r="I187" t="str">
            <v>CC=WST</v>
          </cell>
        </row>
        <row r="188">
          <cell r="I188" t="str">
            <v>CC=XAF</v>
          </cell>
        </row>
        <row r="189">
          <cell r="I189" t="str">
            <v>CC=XAU</v>
          </cell>
        </row>
        <row r="190">
          <cell r="I190" t="str">
            <v>CC=XBB</v>
          </cell>
        </row>
        <row r="191">
          <cell r="I191" t="str">
            <v>CC=XCD</v>
          </cell>
        </row>
        <row r="192">
          <cell r="I192" t="str">
            <v>CC=XDR</v>
          </cell>
        </row>
        <row r="193">
          <cell r="I193" t="str">
            <v>CC=XOF</v>
          </cell>
        </row>
        <row r="194">
          <cell r="I194" t="str">
            <v>CC=XPF</v>
          </cell>
        </row>
        <row r="195">
          <cell r="I195" t="str">
            <v>CC=YDD</v>
          </cell>
        </row>
        <row r="196">
          <cell r="I196" t="str">
            <v>CC=YER</v>
          </cell>
        </row>
        <row r="197">
          <cell r="I197" t="str">
            <v>CC=YUD</v>
          </cell>
        </row>
        <row r="198">
          <cell r="I198" t="str">
            <v>CC=ZAL</v>
          </cell>
        </row>
        <row r="199">
          <cell r="I199" t="str">
            <v>CC=ZAR</v>
          </cell>
        </row>
        <row r="200">
          <cell r="I200" t="str">
            <v>CC=ZAUTRES</v>
          </cell>
        </row>
        <row r="201">
          <cell r="I201" t="str">
            <v>CC=ZMK</v>
          </cell>
        </row>
        <row r="202">
          <cell r="I202" t="str">
            <v>CC=ZRZ</v>
          </cell>
        </row>
        <row r="203">
          <cell r="I203" t="str">
            <v>CC=ZWD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Route"/>
      <sheetName val="recapRes"/>
      <sheetName val="offre"/>
      <sheetName val="coûts"/>
      <sheetName val="infra"/>
      <sheetName val="SAB CAV"/>
      <sheetName val="maint"/>
      <sheetName val="Ch de K"/>
      <sheetName val="CU"/>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Recap (2)"/>
      <sheetName val="212 rue bercy  2004"/>
      <sheetName val="Gabriel Lamé (a voir) 2004"/>
      <sheetName val="SERNAM 2004"/>
      <sheetName val="Maroc Est Pierre 2004"/>
      <sheetName val="15 Traversière 2005"/>
      <sheetName val="ZAC SeinRivGauc (a voir) 2005"/>
      <sheetName val="39 41 Londres 2004"/>
      <sheetName val="8 Place Gare Grenoble 2004"/>
      <sheetName val="122 144 rue poissonniers 2005"/>
      <sheetName val="Louvres 2005"/>
      <sheetName val="13-23 rue d Alsace 2006"/>
      <sheetName val="Lugdunum 2007"/>
      <sheetName val="DR Strasbourg 2007"/>
      <sheetName val="AIR (a voir)"/>
      <sheetName val="La Dalbade 2004 (a voir)"/>
      <sheetName val="18 Dunkerque 2007"/>
      <sheetName val="Autres à détermin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Contrôles de cohérence"/>
      <sheetName val="Balance verrouillée"/>
      <sheetName val="TFT - Tableau de flux"/>
      <sheetName val="GIG1 - Répartition du capital "/>
      <sheetName val="GIG2 - Personnel"/>
      <sheetName val="GIG3 - Certification"/>
      <sheetName val="EP11 - Capitaux propres"/>
      <sheetName val="FA11 - Trésorerie ACTIVE"/>
      <sheetName val="FA 12 - Dettes de Trésorerie"/>
      <sheetName val="FA13 - Trésorerie de clôture"/>
      <sheetName val="EA11 - Var des immobilisations"/>
      <sheetName val="EA21 -  EUROFIMA"/>
      <sheetName val="EA22 - Pickle Lease (MT)"/>
      <sheetName val="EA23 - Services Contracts"/>
      <sheetName val="EA24 - Cession Bail"/>
      <sheetName val="EA25 - Matériel Roulant TER"/>
      <sheetName val="EA26 - Raccord Créances"/>
      <sheetName val="FA31 - Créance RFF"/>
      <sheetName val="FA41-Autres immo financières"/>
      <sheetName val="FA42-1 Titres participation"/>
      <sheetName val="FA42-2 Portefeuille détaillé"/>
      <sheetName val="FA51 - Ecarts de conversion"/>
      <sheetName val="FA52 - Ecarts conv. - échéance"/>
      <sheetName val="FA53 - Ecarts conv. - nature"/>
      <sheetName val="FA54 - Ecarts conv. - devises"/>
      <sheetName val="FP11.1 - Evolution de la dette"/>
      <sheetName val="FP11.2 - Raccord Dettes fin."/>
      <sheetName val="FP12 - Dette - Echéances"/>
      <sheetName val="FP13 - Dette - Devises"/>
      <sheetName val="FP14 - Dette - Taux"/>
      <sheetName val="FP21 -  EUROFIMA"/>
      <sheetName val="FP22 - Leasehold"/>
      <sheetName val="FP23 -Services Contracts"/>
      <sheetName val="FP24 - Pickle Lease"/>
      <sheetName val="FP25 - Raccord Dettes d'exploit"/>
      <sheetName val="FP26 - Cessions bails"/>
      <sheetName val="FP27 - Paris Nord"/>
      <sheetName val="FR11 - Résultat financier "/>
      <sheetName val="FHB11 - SWAP de devises"/>
      <sheetName val="FHB12 - Achats à terme devises"/>
      <sheetName val="FHB13 - Options sur devises"/>
      <sheetName val="FHB14 - Instruments de taux"/>
      <sheetName val="FHB15 - Instruments - MP"/>
      <sheetName val="FHB16 - VM instruments dérivés"/>
      <sheetName val="FHB17 - Opé. de titrisation"/>
      <sheetName val="FHB21 - Engagements hors bilan"/>
      <sheetName val="EP21.1 - Raccord-DAP"/>
      <sheetName val="EP21.2 - Prov. R&amp;C"/>
      <sheetName val="EP22-Engagements non prov."/>
      <sheetName val="ER11 - Chiffre d'affaires"/>
      <sheetName val="XR11 - Résultat excep."/>
      <sheetName val="Module1"/>
      <sheetName val="Hypothèses"/>
      <sheetName val="Contrôles_de_cohérence"/>
      <sheetName val="Balance_verrouillée"/>
      <sheetName val="TFT_-_Tableau_de_flux"/>
      <sheetName val="GIG1_-_Répartition_du_capital_"/>
      <sheetName val="GIG2_-_Personnel"/>
      <sheetName val="GIG3_-_Certification"/>
      <sheetName val="EP11_-_Capitaux_propres"/>
      <sheetName val="FA11_-_Trésorerie_ACTIVE"/>
      <sheetName val="FA_12_-_Dettes_de_Trésorerie"/>
      <sheetName val="FA13_-_Trésorerie_de_clôture"/>
      <sheetName val="EA11_-_Var_des_immobilisations"/>
      <sheetName val="EA21_-__EUROFIMA"/>
      <sheetName val="EA22_-_Pickle_Lease_(MT)"/>
      <sheetName val="EA23_-_Services_Contracts"/>
      <sheetName val="EA24_-_Cession_Bail"/>
      <sheetName val="EA25_-_Matériel_Roulant_TER"/>
      <sheetName val="EA26_-_Raccord_Créances"/>
      <sheetName val="FA31_-_Créance_RFF"/>
      <sheetName val="FA41-Autres_immo_financières"/>
      <sheetName val="FA42-1_Titres_participation"/>
      <sheetName val="FA42-2_Portefeuille_détaillé"/>
      <sheetName val="FA51_-_Ecarts_de_conversion"/>
      <sheetName val="FA52_-_Ecarts_conv__-_échéance"/>
      <sheetName val="FA53_-_Ecarts_conv__-_nature"/>
      <sheetName val="FA54_-_Ecarts_conv__-_devises"/>
      <sheetName val="FP11_1_-_Evolution_de_la_dette"/>
      <sheetName val="FP11_2_-_Raccord_Dettes_fin_"/>
      <sheetName val="FP12_-_Dette_-_Echéances"/>
      <sheetName val="FP13_-_Dette_-_Devises"/>
      <sheetName val="FP14_-_Dette_-_Taux"/>
      <sheetName val="FP21_-__EUROFIMA"/>
      <sheetName val="FP22_-_Leasehold"/>
      <sheetName val="FP23_-Services_Contracts"/>
      <sheetName val="FP24_-_Pickle_Lease"/>
      <sheetName val="FP25_-_Raccord_Dettes_d'exploit"/>
      <sheetName val="FP26_-_Cessions_bails"/>
      <sheetName val="FP27_-_Paris_Nord"/>
      <sheetName val="FR11_-_Résultat_financier_"/>
      <sheetName val="FHB11_-_SWAP_de_devises"/>
      <sheetName val="FHB12_-_Achats_à_terme_devises"/>
      <sheetName val="FHB13_-_Options_sur_devises"/>
      <sheetName val="FHB14_-_Instruments_de_taux"/>
      <sheetName val="FHB15_-_Instruments_-_MP"/>
      <sheetName val="FHB16_-_VM_instruments_dérivés"/>
      <sheetName val="FHB17_-_Opé__de_titrisation"/>
      <sheetName val="FHB21_-_Engagements_hors_bilan"/>
      <sheetName val="EP21_1_-_Raccord-DAP"/>
      <sheetName val="EP21_2_-_Prov__R&amp;C"/>
      <sheetName val="EP22-Engagements_non_prov_"/>
      <sheetName val="ER11_-_Chiffre_d'affaires"/>
      <sheetName val="XR11_-_Résultat_excep_"/>
      <sheetName val="Contrôles_de_cohérence1"/>
      <sheetName val="Balance_verrouillée1"/>
      <sheetName val="TFT_-_Tableau_de_flux1"/>
      <sheetName val="GIG1_-_Répartition_du_capital_1"/>
      <sheetName val="GIG2_-_Personnel1"/>
      <sheetName val="GIG3_-_Certification1"/>
      <sheetName val="EP11_-_Capitaux_propres1"/>
      <sheetName val="FA11_-_Trésorerie_ACTIVE1"/>
      <sheetName val="FA_12_-_Dettes_de_Trésorerie1"/>
      <sheetName val="FA13_-_Trésorerie_de_clôture1"/>
      <sheetName val="EA11_-_Var_des_immobilisations1"/>
      <sheetName val="EA21_-__EUROFIMA1"/>
      <sheetName val="EA22_-_Pickle_Lease_(MT)1"/>
      <sheetName val="EA23_-_Services_Contracts1"/>
      <sheetName val="EA24_-_Cession_Bail1"/>
      <sheetName val="EA25_-_Matériel_Roulant_TER1"/>
      <sheetName val="EA26_-_Raccord_Créances1"/>
      <sheetName val="FA31_-_Créance_RFF1"/>
      <sheetName val="FA41-Autres_immo_financières1"/>
      <sheetName val="FA42-1_Titres_participation1"/>
      <sheetName val="FA42-2_Portefeuille_détaillé1"/>
      <sheetName val="FA51_-_Ecarts_de_conversion1"/>
      <sheetName val="FA52_-_Ecarts_conv__-_échéance1"/>
      <sheetName val="FA53_-_Ecarts_conv__-_nature1"/>
      <sheetName val="FA54_-_Ecarts_conv__-_devises1"/>
      <sheetName val="FP11_1_-_Evolution_de_la_dette1"/>
      <sheetName val="FP11_2_-_Raccord_Dettes_fin_1"/>
      <sheetName val="FP12_-_Dette_-_Echéances1"/>
      <sheetName val="FP13_-_Dette_-_Devises1"/>
      <sheetName val="FP14_-_Dette_-_Taux1"/>
      <sheetName val="FP21_-__EUROFIMA1"/>
      <sheetName val="FP22_-_Leasehold1"/>
      <sheetName val="FP23_-Services_Contracts1"/>
      <sheetName val="FP24_-_Pickle_Lease1"/>
      <sheetName val="FP25_-_Raccord_Dettes_d'exploi1"/>
      <sheetName val="FP26_-_Cessions_bails1"/>
      <sheetName val="FP27_-_Paris_Nord1"/>
      <sheetName val="FR11_-_Résultat_financier_1"/>
      <sheetName val="FHB11_-_SWAP_de_devises1"/>
      <sheetName val="FHB12_-_Achats_à_terme_devises1"/>
      <sheetName val="FHB13_-_Options_sur_devises1"/>
      <sheetName val="FHB14_-_Instruments_de_taux1"/>
      <sheetName val="FHB15_-_Instruments_-_MP1"/>
      <sheetName val="FHB16_-_VM_instruments_dérivés1"/>
      <sheetName val="FHB17_-_Opé__de_titrisation1"/>
      <sheetName val="FHB21_-_Engagements_hors_bilan1"/>
      <sheetName val="EP21_1_-_Raccord-DAP1"/>
      <sheetName val="EP21_2_-_Prov__R&amp;C1"/>
      <sheetName val="EP22-Engagements_non_prov_1"/>
      <sheetName val="ER11_-_Chiffre_d'affaires1"/>
      <sheetName val="XR11_-_Résultat_excep_1"/>
    </sheetNames>
    <sheetDataSet>
      <sheetData sheetId="0" refreshError="1">
        <row r="1">
          <cell r="U1" t="str">
            <v>SNCF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rossfireHiddenWorksheet"/>
      <sheetName val="OfficeConnectCellHighlights"/>
      <sheetName val="Summary - by function"/>
      <sheetName val="Summary - by project"/>
      <sheetName val="BOF reporting "/>
      <sheetName val="Actuals 2024"/>
      <sheetName val="Detail1"/>
      <sheetName val="Sheet3"/>
      <sheetName val="Unallocated"/>
      <sheetName val="Reconciling Items"/>
      <sheetName val="Capex Payables"/>
      <sheetName val="Mapping"/>
      <sheetName val="2024 Budget Adaptive"/>
      <sheetName val="0+12 Adaptive"/>
      <sheetName val="Movement - recognition to Cash"/>
      <sheetName val="6+6 Adaptive"/>
      <sheetName val="Project view -"/>
      <sheetName val="Sheet2"/>
      <sheetName val="Project view "/>
      <sheetName val="iSetup"/>
      <sheetName val="Sheet1"/>
      <sheetName val="FAR Apr"/>
      <sheetName val="Invoices view"/>
      <sheetName val="26.04 FM Capex || Planned"/>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A2">
            <v>45292</v>
          </cell>
          <cell r="B2" t="str">
            <v>0+12</v>
          </cell>
        </row>
        <row r="3">
          <cell r="A3">
            <v>45323</v>
          </cell>
          <cell r="B3" t="str">
            <v>1+11</v>
          </cell>
        </row>
        <row r="4">
          <cell r="A4">
            <v>45352</v>
          </cell>
          <cell r="B4" t="str">
            <v>2+10</v>
          </cell>
        </row>
        <row r="5">
          <cell r="A5">
            <v>45383</v>
          </cell>
          <cell r="B5" t="str">
            <v>3+9</v>
          </cell>
        </row>
        <row r="6">
          <cell r="A6">
            <v>45413</v>
          </cell>
          <cell r="B6" t="str">
            <v>4+8</v>
          </cell>
        </row>
        <row r="7">
          <cell r="A7">
            <v>45444</v>
          </cell>
          <cell r="B7" t="str">
            <v>5+7</v>
          </cell>
        </row>
        <row r="8">
          <cell r="A8">
            <v>45474</v>
          </cell>
          <cell r="B8" t="str">
            <v>6+6</v>
          </cell>
        </row>
        <row r="9">
          <cell r="A9">
            <v>45505</v>
          </cell>
          <cell r="B9" t="str">
            <v>7+5</v>
          </cell>
        </row>
        <row r="10">
          <cell r="A10">
            <v>45536</v>
          </cell>
          <cell r="B10" t="str">
            <v>8+4</v>
          </cell>
        </row>
        <row r="11">
          <cell r="A11">
            <v>45566</v>
          </cell>
          <cell r="B11" t="str">
            <v>9+3</v>
          </cell>
        </row>
        <row r="12">
          <cell r="A12">
            <v>45597</v>
          </cell>
          <cell r="B12" t="str">
            <v>10+2</v>
          </cell>
        </row>
        <row r="13">
          <cell r="A13">
            <v>45627</v>
          </cell>
          <cell r="B13" t="str">
            <v>11+1</v>
          </cell>
        </row>
        <row r="14">
          <cell r="B14" t="str">
            <v>12+0</v>
          </cell>
        </row>
      </sheetData>
      <sheetData sheetId="20"/>
      <sheetData sheetId="21"/>
      <sheetData sheetId="22"/>
      <sheetData sheetId="23"/>
      <sheetData sheetId="24"/>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garde"/>
      <sheetName val="sommaire"/>
      <sheetName val="intercalaire 1"/>
      <sheetName val="chiffres clés"/>
      <sheetName val="intercalaire 2"/>
      <sheetName val="analyse"/>
      <sheetName val="bilan actif"/>
      <sheetName val="bilan passif"/>
      <sheetName val="résultat"/>
      <sheetName val="sig"/>
      <sheetName val="bilan actif activité"/>
      <sheetName val="bilan passif activité"/>
      <sheetName val="résultat activité"/>
      <sheetName val="sig activité"/>
      <sheetName val="intercalaire 3"/>
      <sheetName val="organigramme"/>
      <sheetName val="périmètre"/>
      <sheetName val="variation péri"/>
      <sheetName val="intercalaire 4"/>
      <sheetName val="résultat soc-conso"/>
      <sheetName val="résultat soc-cons activité"/>
      <sheetName val="varkp"/>
      <sheetName val="varkp activité"/>
      <sheetName val="intercalaire 5"/>
      <sheetName val="eaac IFRS"/>
      <sheetName val="eaac 99-02"/>
      <sheetName val="titres ME"/>
      <sheetName val="investissemt"/>
      <sheetName val="titpart"/>
      <sheetName val="titimmob"/>
      <sheetName val="prov risq charg"/>
      <sheetName val="det financières"/>
      <sheetName val="variat dettes fi"/>
      <sheetName val="passage ca soc-conso"/>
      <sheetName val="ca zone géographique"/>
      <sheetName val="exceptionnel"/>
      <sheetName val="intercalaire 6"/>
      <sheetName val="TFT"/>
      <sheetName val="TFT activité"/>
      <sheetName val="effectif"/>
      <sheetName val="H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Ben Gbeve (2)"/>
      <sheetName val="OPEX Budget template 2026"/>
      <sheetName val="Mael 2026 (OPEX)"/>
      <sheetName val="Blanche 2026"/>
      <sheetName val="Blanche (old)"/>
      <sheetName val="Paolo Rodeghiero (old)"/>
      <sheetName val="Paolo Rodeghiero "/>
      <sheetName val="Roger Plummer (2025)"/>
      <sheetName val="Roger Plummer (2026)"/>
      <sheetName val="Olivier (2026)"/>
      <sheetName val="Detail2"/>
      <sheetName val="Olivier Lepretre (OLD)"/>
      <sheetName val="Xavier Romanet"/>
      <sheetName val="Sheet1"/>
      <sheetName val="Mael Delmas (OLD)"/>
      <sheetName val="Valérie Veyt 2026"/>
      <sheetName val="Detail5"/>
      <sheetName val="Capex"/>
      <sheetName val="Valerie Veyt (OLD)"/>
      <sheetName val="Ben Gbeve (2026)"/>
      <sheetName val="Ben Gbeve"/>
      <sheetName val="Total Simlify Targets "/>
      <sheetName val="Target Summary"/>
      <sheetName val="Group P&amp;L 2025 BU 2026 BP"/>
      <sheetName val="Detail9"/>
      <sheetName val="Opex targets (non-staff)"/>
      <sheetName val="Simplify detail"/>
      <sheetName val="Reference "/>
      <sheetName val="Opex detail"/>
      <sheetName val="THIF GLs"/>
      <sheetName val="P&amp;L Detail"/>
      <sheetName val="Capex 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2">
          <cell r="E12">
            <v>1.1628000000000001</v>
          </cell>
        </row>
      </sheetData>
      <sheetData sheetId="28"/>
      <sheetData sheetId="29"/>
      <sheetData sheetId="30"/>
      <sheetData sheetId="3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sncf"/>
      <sheetName val="HSL"/>
      <sheetName val="ANDERE"/>
      <sheetName val="WAALSE AS"/>
      <sheetName val="LUCHTHAVEN"/>
      <sheetName val="PIEKURE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margin without interests"/>
      <sheetName val="margin with interests"/>
      <sheetName val="rates"/>
      <sheetName val="transport plan"/>
      <sheetName val="time and distance"/>
      <sheetName val="costs and runnings"/>
      <sheetName val="traffic and revenues"/>
      <sheetName val="allocated parts"/>
      <sheetName val="travellers-Kms"/>
      <sheetName val="infra overview"/>
      <sheetName val="infra sncf"/>
      <sheetName val="infra SNCB"/>
      <sheetName val="capital charges"/>
      <sheetName val="Maintenance"/>
      <sheetName val="HKm 2004"/>
      <sheetName val="HKm 2004 without Disn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Résultat conso"/>
      <sheetName val="DFCE sans BFRI"/>
      <sheetName val="DCFE avec BFRI"/>
      <sheetName val="Invts"/>
      <sheetName val="3.2 Dette nette"/>
      <sheetName val="3.3 Bilan"/>
      <sheetName val="3.3 Avis sur les actifs"/>
      <sheetName val="3.4 Concours public"/>
      <sheetName val="3.5 Effectifs et pol sociale"/>
      <sheetName val="Rés courant"/>
      <sheetName val="5.4 CR EPiC"/>
      <sheetName val="5.4 Bilan EPIC"/>
      <sheetName val="5.4 TFT EPIC"/>
      <sheetName val="3.2 Maîtrise de la dette"/>
      <sheetName val="billeti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ION ADM_FIN"/>
      <sheetName val="DIRECTION EXPLOITATION"/>
      <sheetName val="DIRECTION COMMERCIALE"/>
      <sheetName val="COMMUNICATION"/>
      <sheetName val="CORPORATE"/>
      <sheetName val="SERVICE CLIENTELE"/>
      <sheetName val="DIR. GENERALE"/>
      <sheetName val="PRODUITS"/>
      <sheetName val="RH"/>
      <sheetName val="TOTAL THI"/>
      <sheetName val="CD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4">
          <cell r="P4" t="str">
            <v>New Role</v>
          </cell>
          <cell r="Q4" t="str">
            <v>London</v>
          </cell>
          <cell r="R4" t="str">
            <v>Manager</v>
          </cell>
        </row>
        <row r="5">
          <cell r="P5" t="str">
            <v>Redundant</v>
          </cell>
          <cell r="Q5" t="str">
            <v>Ashford</v>
          </cell>
          <cell r="R5" t="str">
            <v>Non-Manager</v>
          </cell>
        </row>
        <row r="6">
          <cell r="P6" t="str">
            <v>Grade Change</v>
          </cell>
          <cell r="Q6" t="str">
            <v>Ebbsfleet</v>
          </cell>
        </row>
        <row r="7">
          <cell r="P7" t="str">
            <v>Increase</v>
          </cell>
          <cell r="Q7" t="str">
            <v>Paris</v>
          </cell>
        </row>
        <row r="9">
          <cell r="P9" t="str">
            <v>Job title change</v>
          </cell>
          <cell r="Q9" t="str">
            <v>Brussels</v>
          </cell>
        </row>
        <row r="10">
          <cell r="P10" t="str">
            <v>Expired</v>
          </cell>
          <cell r="Q10" t="str">
            <v>Lille</v>
          </cell>
        </row>
        <row r="11">
          <cell r="P11" t="str">
            <v>Decrease</v>
          </cell>
          <cell r="Q11" t="str">
            <v>Other</v>
          </cell>
        </row>
        <row r="12">
          <cell r="P12" t="str">
            <v>Reinstated</v>
          </cell>
          <cell r="Q12" t="str">
            <v>Multi</v>
          </cell>
        </row>
        <row r="13">
          <cell r="P13" t="str">
            <v>Audit update</v>
          </cell>
        </row>
      </sheetData>
      <sheetData sheetId="1" refreshError="1"/>
      <sheetData sheetId="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ANT"/>
      <sheetName val="ATTENTION"/>
      <sheetName val="Indices perte de valeur"/>
      <sheetName val="Hypothèses du test"/>
      <sheetName val="Test de dépréciation"/>
    </sheetNames>
    <sheetDataSet>
      <sheetData sheetId="0"/>
      <sheetData sheetId="1"/>
      <sheetData sheetId="2" refreshError="1">
        <row r="4">
          <cell r="D4" t="str">
            <v>Français</v>
          </cell>
        </row>
      </sheetData>
      <sheetData sheetId="3"/>
      <sheetData sheetId="4"/>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claimer"/>
      <sheetName val="Cover"/>
      <sheetName val="Contents"/>
      <sheetName val="Guide"/>
      <sheetName val="KPIs"/>
      <sheetName val="Charts"/>
      <sheetName val="Val"/>
      <sheetName val="afsEIL"/>
      <sheetName val="afsEIL GBP"/>
      <sheetName val="afsTHIF"/>
      <sheetName val="afsHoldCo"/>
      <sheetName val="afsCombined"/>
      <sheetName val="ifsEIL"/>
      <sheetName val="ifsEIL GBP"/>
      <sheetName val="ifsHoldCo"/>
      <sheetName val="ifsCombined"/>
      <sheetName val="ifsTHIF"/>
      <sheetName val="opsEIL"/>
      <sheetName val="opsTHIF"/>
      <sheetName val="fcstEIL"/>
      <sheetName val="fcstTHIF"/>
      <sheetName val="fcstHoldCo"/>
      <sheetName val="fcstCombined"/>
      <sheetName val="Returns"/>
      <sheetName val="Timing"/>
      <sheetName val="OverrideEIL"/>
      <sheetName val="OverrideTHIF"/>
      <sheetName val="OverrideHoldCo"/>
      <sheetName val="actTHIF"/>
      <sheetName val="actEIL"/>
      <sheetName val="actHoldCo"/>
      <sheetName val="actCombined"/>
      <sheetName val="BudDty"/>
      <sheetName val="BudAdj"/>
      <sheetName val="BudCln"/>
      <sheetName val="IFRS 16"/>
      <sheetName val="TSSSA"/>
      <sheetName val="Pensions EIL"/>
      <sheetName val="Econ"/>
      <sheetName val="TravRev"/>
      <sheetName val="Events"/>
      <sheetName val="OthRev"/>
      <sheetName val="Sales"/>
      <sheetName val="OpCost"/>
      <sheetName val="NonOpCost"/>
      <sheetName val="StaffCost"/>
      <sheetName val="InfraCost"/>
      <sheetName val="CapexEIL"/>
      <sheetName val="CapexTHIF"/>
      <sheetName val="WC adj"/>
      <sheetName val="Debt"/>
      <sheetName val="InterCo"/>
      <sheetName val="D&amp;T"/>
      <sheetName val="ORC"/>
      <sheetName val="Scenarios"/>
      <sheetName val="Plan"/>
      <sheetName val="Lists"/>
      <sheetName val="NonOp"/>
      <sheetName val="TravelRev"/>
      <sheetName val="S_COS"/>
      <sheetName val="Oper"/>
      <sheetName val="Infra"/>
      <sheetName val="OtherRev"/>
      <sheetName val="InterComp"/>
      <sheetName val="TrainPlan"/>
      <sheetName val="Drivers"/>
      <sheetName val="WC"/>
      <sheetName val="Events%"/>
      <sheetName val="EventsABS"/>
      <sheetName val="ORCC"/>
      <sheetName val="faEIL"/>
      <sheetName val="faTHIF"/>
      <sheetName val="Staff"/>
      <sheetName val="Depn Calc EIL"/>
      <sheetName val="Depn Calc THIF"/>
      <sheetName val="Tax"/>
      <sheetName val="FundingTHIF"/>
      <sheetName val="FundingHoldCo"/>
      <sheetName val="FundingEIL"/>
      <sheetName val="Checks"/>
      <sheetName val="DropDown"/>
      <sheetName val="Tech"/>
      <sheetName val="Notes"/>
      <sheetName val="Log"/>
      <sheetName val="Com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claimer"/>
      <sheetName val="Cover"/>
      <sheetName val="Contents"/>
      <sheetName val="Guide"/>
      <sheetName val="KPIs"/>
      <sheetName val="Charts"/>
      <sheetName val="Val"/>
      <sheetName val="afsEIL"/>
      <sheetName val="afsEIL GBP"/>
      <sheetName val="afsTHIF"/>
      <sheetName val="afsHoldCo"/>
      <sheetName val="afsCombined"/>
      <sheetName val="ifsEIL"/>
      <sheetName val="ifsTHIF"/>
      <sheetName val="ifsEIL GBP"/>
      <sheetName val="ifsHoldCo"/>
      <sheetName val="ifsCombined"/>
      <sheetName val="opsEIL"/>
      <sheetName val="opsTHIF"/>
      <sheetName val="fcstEIL"/>
      <sheetName val="fcstTHIF"/>
      <sheetName val="fcstHoldCo"/>
      <sheetName val="fcstCombined"/>
      <sheetName val="Returns"/>
      <sheetName val="Timing"/>
      <sheetName val="OverrideEIL"/>
      <sheetName val="OverrideTHIF"/>
      <sheetName val="OverrideHoldCo"/>
      <sheetName val="actTHIF"/>
      <sheetName val="actEIL"/>
      <sheetName val="actHoldCo"/>
      <sheetName val="actCombined"/>
      <sheetName val="BudDty"/>
      <sheetName val="BudAdj"/>
      <sheetName val="BudCln"/>
      <sheetName val="IFRS 16"/>
      <sheetName val="TSSSA"/>
      <sheetName val="Pensions EIL"/>
      <sheetName val="Econ"/>
      <sheetName val="TravRev"/>
      <sheetName val="Events"/>
      <sheetName val="OthRev"/>
      <sheetName val="Sales"/>
      <sheetName val="OpCost"/>
      <sheetName val="NonOpCost"/>
      <sheetName val="StaffCost"/>
      <sheetName val="InfraCost"/>
      <sheetName val="CapexEIL"/>
      <sheetName val="CapexTHIF"/>
      <sheetName val="WC adj"/>
      <sheetName val="Debt"/>
      <sheetName val="InterCo"/>
      <sheetName val="D&amp;T"/>
      <sheetName val="ORC"/>
      <sheetName val="Scenarios"/>
      <sheetName val="Plan"/>
      <sheetName val="Lists"/>
      <sheetName val="NonOp"/>
      <sheetName val="TravelRev"/>
      <sheetName val="S_COS"/>
      <sheetName val="Oper"/>
      <sheetName val="Infra"/>
      <sheetName val="OtherRev"/>
      <sheetName val="InterComp"/>
      <sheetName val="TrainPlan"/>
      <sheetName val="Drivers"/>
      <sheetName val="Events%"/>
      <sheetName val="EventsABS"/>
      <sheetName val="ORCC"/>
      <sheetName val="faEIL"/>
      <sheetName val="faTHIF"/>
      <sheetName val="WC"/>
      <sheetName val="Staff"/>
      <sheetName val="Depn Calc EIL"/>
      <sheetName val="Depn Calc THIF"/>
      <sheetName val="Tax"/>
      <sheetName val="FundingTHIF"/>
      <sheetName val="FundingHoldCo"/>
      <sheetName val="FundingEIL"/>
      <sheetName val="Checks"/>
      <sheetName val="DropDown"/>
      <sheetName val="Tech"/>
      <sheetName val="Notes"/>
      <sheetName val="Log"/>
      <sheetName val="Comms"/>
      <sheetName val="Eurostar 20Y-plan model - BP 20"/>
    </sheetNames>
    <sheetDataSet>
      <sheetData sheetId="0"/>
      <sheetData sheetId="1"/>
      <sheetData sheetId="2"/>
      <sheetData sheetId="3"/>
      <sheetData sheetId="4"/>
      <sheetData sheetId="5"/>
      <sheetData sheetId="6"/>
      <sheetData sheetId="7">
        <row r="64">
          <cell r="N64">
            <v>174254.50435336426</v>
          </cell>
        </row>
      </sheetData>
      <sheetData sheetId="8"/>
      <sheetData sheetId="9">
        <row r="64">
          <cell r="N64">
            <v>196530.76732475145</v>
          </cell>
        </row>
      </sheetData>
      <sheetData sheetId="10"/>
      <sheetData sheetId="11"/>
      <sheetData sheetId="12"/>
      <sheetData sheetId="13">
        <row r="3">
          <cell r="X3">
            <v>45292</v>
          </cell>
        </row>
      </sheetData>
      <sheetData sheetId="14"/>
      <sheetData sheetId="15"/>
      <sheetData sheetId="16"/>
      <sheetData sheetId="17">
        <row r="1">
          <cell r="C1"/>
        </row>
      </sheetData>
      <sheetData sheetId="18">
        <row r="1">
          <cell r="C1"/>
        </row>
      </sheetData>
      <sheetData sheetId="19">
        <row r="64">
          <cell r="AV64">
            <v>-7716.3887306503811</v>
          </cell>
        </row>
      </sheetData>
      <sheetData sheetId="20">
        <row r="64">
          <cell r="AV64">
            <v>3487.8416464344518</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36">
          <cell r="C36" t="str">
            <v>No uplift</v>
          </cell>
        </row>
        <row r="37">
          <cell r="C37" t="str">
            <v>HS1</v>
          </cell>
        </row>
        <row r="38">
          <cell r="C38" t="str">
            <v>Track access: UK</v>
          </cell>
        </row>
        <row r="39">
          <cell r="C39" t="str">
            <v>Track access: FR (SNCF RESEAU)</v>
          </cell>
        </row>
        <row r="40">
          <cell r="C40" t="str">
            <v>Track access: BE (INFRABEL)</v>
          </cell>
        </row>
        <row r="41">
          <cell r="C41" t="str">
            <v>Track access: DE (SVDE)</v>
          </cell>
        </row>
        <row r="42">
          <cell r="C42" t="str">
            <v>Track access: NL</v>
          </cell>
        </row>
        <row r="43">
          <cell r="C43" t="str">
            <v>Eurotunnel: UK</v>
          </cell>
        </row>
        <row r="44">
          <cell r="C44" t="str">
            <v>Eurotunnel: FR</v>
          </cell>
        </row>
        <row r="45">
          <cell r="C45" t="str">
            <v>Energy: UK</v>
          </cell>
        </row>
        <row r="46">
          <cell r="C46" t="str">
            <v xml:space="preserve">Energy: FR (SNCF ENERGIE) </v>
          </cell>
        </row>
        <row r="47">
          <cell r="C47" t="str">
            <v>Energy: FR (RCTE)</v>
          </cell>
        </row>
        <row r="48">
          <cell r="C48" t="str">
            <v xml:space="preserve">Energy: BE (INFRABEL) </v>
          </cell>
        </row>
        <row r="49">
          <cell r="C49" t="str">
            <v>Energy: DE (SVDE)</v>
          </cell>
        </row>
        <row r="50">
          <cell r="C50" t="str">
            <v>Energy: NL</v>
          </cell>
        </row>
        <row r="51">
          <cell r="C51" t="str">
            <v>UK RPI</v>
          </cell>
        </row>
        <row r="52">
          <cell r="C52" t="str">
            <v>CPI Forecast: UK</v>
          </cell>
        </row>
        <row r="53">
          <cell r="C53" t="str">
            <v>CPI Forecast: FR</v>
          </cell>
        </row>
        <row r="54">
          <cell r="C54" t="str">
            <v>CPI Forecast: BE</v>
          </cell>
        </row>
        <row r="55">
          <cell r="C55" t="str">
            <v>CPI Forecast: DE</v>
          </cell>
        </row>
        <row r="56">
          <cell r="C56" t="str">
            <v>CPI Forecast: NL</v>
          </cell>
        </row>
        <row r="57">
          <cell r="C57" t="str">
            <v>Staff: UK Employees</v>
          </cell>
        </row>
        <row r="58">
          <cell r="C58" t="str">
            <v>Staff: BE Employees</v>
          </cell>
        </row>
        <row r="59">
          <cell r="C59" t="str">
            <v>Staff: FR Employees</v>
          </cell>
        </row>
        <row r="60">
          <cell r="C60" t="str">
            <v>Staff: SNCF Secondees</v>
          </cell>
        </row>
        <row r="61">
          <cell r="C61" t="str">
            <v>Staff: SNCB Secondees</v>
          </cell>
        </row>
        <row r="62">
          <cell r="C62" t="str">
            <v>spare 1</v>
          </cell>
        </row>
        <row r="63">
          <cell r="C63" t="str">
            <v>spare 2</v>
          </cell>
        </row>
        <row r="64">
          <cell r="C64" t="str">
            <v>spare 3</v>
          </cell>
        </row>
        <row r="65">
          <cell r="C65" t="str">
            <v>spare 4</v>
          </cell>
        </row>
        <row r="66">
          <cell r="C66" t="str">
            <v>spare 5</v>
          </cell>
        </row>
        <row r="67">
          <cell r="C67" t="str">
            <v>spare 6</v>
          </cell>
        </row>
        <row r="68">
          <cell r="C68" t="str">
            <v>spare 7</v>
          </cell>
        </row>
        <row r="69">
          <cell r="C69" t="str">
            <v>spare 8</v>
          </cell>
        </row>
        <row r="70">
          <cell r="C70" t="str">
            <v>spare 9</v>
          </cell>
        </row>
        <row r="71">
          <cell r="C71" t="str">
            <v>Do not delete</v>
          </cell>
        </row>
      </sheetData>
      <sheetData sheetId="39"/>
      <sheetData sheetId="40"/>
      <sheetData sheetId="41"/>
      <sheetData sheetId="42"/>
      <sheetData sheetId="43">
        <row r="10">
          <cell r="C10" t="str">
            <v>Catering Fixed BE</v>
          </cell>
        </row>
      </sheetData>
      <sheetData sheetId="44">
        <row r="376">
          <cell r="C376" t="str">
            <v>Intergration Synergies</v>
          </cell>
        </row>
        <row r="377">
          <cell r="C377" t="str">
            <v>Integration Charges</v>
          </cell>
        </row>
        <row r="378">
          <cell r="C378" t="str">
            <v>Intergration Synergies</v>
          </cell>
        </row>
        <row r="379">
          <cell r="C379" t="str">
            <v>Intergration Charges</v>
          </cell>
        </row>
        <row r="380">
          <cell r="C380" t="str">
            <v>Intergration Charges</v>
          </cell>
        </row>
        <row r="381">
          <cell r="C381" t="str">
            <v>Train Lease</v>
          </cell>
        </row>
        <row r="382">
          <cell r="C382" t="str">
            <v>Plan de transfo</v>
          </cell>
        </row>
        <row r="383">
          <cell r="C383" t="str">
            <v>Plan de transfo</v>
          </cell>
        </row>
        <row r="384">
          <cell r="C384" t="str">
            <v>Board stretch</v>
          </cell>
        </row>
        <row r="385">
          <cell r="C385" t="str">
            <v>Board stretch</v>
          </cell>
        </row>
        <row r="386">
          <cell r="C386" t="str">
            <v>Do not delete</v>
          </cell>
        </row>
      </sheetData>
      <sheetData sheetId="45"/>
      <sheetData sheetId="46"/>
      <sheetData sheetId="47"/>
      <sheetData sheetId="48"/>
      <sheetData sheetId="49"/>
      <sheetData sheetId="50"/>
      <sheetData sheetId="51"/>
      <sheetData sheetId="52"/>
      <sheetData sheetId="53"/>
      <sheetData sheetId="54"/>
      <sheetData sheetId="55"/>
      <sheetData sheetId="56">
        <row r="10">
          <cell r="C10" t="str">
            <v>London-Paris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D4" t="str">
            <v>Eurostar</v>
          </cell>
        </row>
      </sheetData>
      <sheetData sheetId="82"/>
      <sheetData sheetId="83"/>
      <sheetData sheetId="84"/>
      <sheetData sheetId="8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TE "/>
      <sheetName val="NB DOSSIERS"/>
      <sheetName val="A MASQUER=&gt;Gagnés (AO OU NON)"/>
      <sheetName val="RECAP AO PERDUS"/>
      <sheetName val="DOSSIERS PERDUS"/>
      <sheetName val="CHIMIE"/>
      <sheetName val="Récap En Cours CARGO"/>
    </sheetNames>
    <sheetDataSet>
      <sheetData sheetId="0" refreshError="1"/>
      <sheetData sheetId="1" refreshError="1"/>
      <sheetData sheetId="2" refreshError="1"/>
      <sheetData sheetId="3" refreshError="1"/>
      <sheetData sheetId="4" refreshError="1"/>
      <sheetData sheetId="5" refreshError="1">
        <row r="5">
          <cell r="J5" t="str">
            <v>A</v>
          </cell>
        </row>
        <row r="6">
          <cell r="J6" t="str">
            <v>B</v>
          </cell>
        </row>
        <row r="7">
          <cell r="J7" t="str">
            <v>C</v>
          </cell>
        </row>
        <row r="8">
          <cell r="J8" t="str">
            <v>D</v>
          </cell>
        </row>
      </sheetData>
      <sheetData sheetId="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és - SNCF"/>
      <sheetName val="Unités - base 281205"/>
      <sheetName val="Rubriques - APR"/>
      <sheetName val="liste ref"/>
      <sheetName val="Rappro rubriques et plan magni "/>
      <sheetName val="Feuil2"/>
      <sheetName val="Rubriques - base 281205"/>
    </sheetNames>
    <sheetDataSet>
      <sheetData sheetId="0" refreshError="1"/>
      <sheetData sheetId="1" refreshError="1"/>
      <sheetData sheetId="2" refreshError="1"/>
      <sheetData sheetId="3" refreshError="1">
        <row r="1">
          <cell r="A1" t="str">
            <v>OK=est dans le plan de comptes rubriques et caractéristiques (de BP)</v>
          </cell>
        </row>
        <row r="2">
          <cell r="A2" t="str">
            <v>PB=n'est pas dans le plan de comptes rubriques et caracteristiques</v>
          </cell>
        </row>
        <row r="3">
          <cell r="A3" t="str">
            <v>OK= est bien repris en Bilan/Cpte Rt dans Magnitude</v>
          </cell>
        </row>
        <row r="4">
          <cell r="A4" t="str">
            <v>PB=n'est pas repris dans le bial/cpte Rt Magnitude</v>
          </cell>
        </row>
        <row r="6">
          <cell r="A6" t="str">
            <v>P_NAME</v>
          </cell>
          <cell r="B6" t="str">
            <v>P_LDESC1</v>
          </cell>
        </row>
        <row r="7">
          <cell r="A7" t="str">
            <v>Code</v>
          </cell>
          <cell r="B7" t="str">
            <v>Libellé</v>
          </cell>
        </row>
        <row r="8">
          <cell r="A8" t="str">
            <v>A100L</v>
          </cell>
          <cell r="B8" t="str">
            <v>Liaison élimination titres consolidés</v>
          </cell>
          <cell r="C8" t="str">
            <v>OK</v>
          </cell>
          <cell r="D8" t="str">
            <v>OK</v>
          </cell>
        </row>
        <row r="9">
          <cell r="A9" t="str">
            <v>A102L</v>
          </cell>
          <cell r="B9" t="str">
            <v>Liaison élimination titres/détentrices</v>
          </cell>
          <cell r="C9" t="str">
            <v>OK</v>
          </cell>
          <cell r="D9" t="str">
            <v>OK</v>
          </cell>
        </row>
        <row r="10">
          <cell r="A10" t="str">
            <v>A10900</v>
          </cell>
          <cell r="B10" t="str">
            <v>Capital souscrit non appelé</v>
          </cell>
          <cell r="C10" t="str">
            <v>OK</v>
          </cell>
          <cell r="D10" t="str">
            <v>OK</v>
          </cell>
        </row>
        <row r="11">
          <cell r="A11" t="str">
            <v>A200L</v>
          </cell>
          <cell r="B11" t="str">
            <v>Liaison neut. +/- values IG immo. incor.</v>
          </cell>
          <cell r="C11" t="str">
            <v>OK</v>
          </cell>
          <cell r="D11" t="str">
            <v>OK</v>
          </cell>
        </row>
        <row r="12">
          <cell r="A12" t="str">
            <v>A20100</v>
          </cell>
          <cell r="B12" t="str">
            <v>Frais d'établissement</v>
          </cell>
          <cell r="C12" t="str">
            <v>OK</v>
          </cell>
          <cell r="D12" t="str">
            <v>OK</v>
          </cell>
        </row>
        <row r="13">
          <cell r="A13" t="str">
            <v>A20300</v>
          </cell>
          <cell r="B13" t="str">
            <v>Frais de recherche et développement *</v>
          </cell>
          <cell r="C13" t="str">
            <v>OK</v>
          </cell>
          <cell r="D13" t="str">
            <v>OK</v>
          </cell>
        </row>
        <row r="14">
          <cell r="A14" t="str">
            <v>A20500</v>
          </cell>
          <cell r="B14" t="str">
            <v>Logiciels</v>
          </cell>
          <cell r="C14" t="str">
            <v>OK</v>
          </cell>
          <cell r="D14" t="str">
            <v>OK</v>
          </cell>
        </row>
        <row r="15">
          <cell r="A15" t="str">
            <v>A20600</v>
          </cell>
          <cell r="B15" t="str">
            <v>Droit au bail</v>
          </cell>
          <cell r="C15" t="str">
            <v>OK</v>
          </cell>
          <cell r="D15" t="str">
            <v>OK</v>
          </cell>
        </row>
        <row r="16">
          <cell r="A16" t="str">
            <v>A20700</v>
          </cell>
          <cell r="B16" t="str">
            <v>Fonds commercial et parts de marché</v>
          </cell>
          <cell r="C16" t="str">
            <v>OK</v>
          </cell>
          <cell r="D16" t="str">
            <v>OK</v>
          </cell>
        </row>
        <row r="17">
          <cell r="A17" t="str">
            <v>A20800</v>
          </cell>
          <cell r="B17" t="str">
            <v>Autres Immobilisations incorporelles</v>
          </cell>
          <cell r="C17" t="str">
            <v>OK</v>
          </cell>
          <cell r="D17" t="str">
            <v>OK</v>
          </cell>
        </row>
        <row r="18">
          <cell r="A18" t="str">
            <v>A20900</v>
          </cell>
          <cell r="B18" t="str">
            <v>Ecart d'acquisition</v>
          </cell>
          <cell r="C18" t="str">
            <v>OK</v>
          </cell>
          <cell r="D18" t="str">
            <v>OK</v>
          </cell>
        </row>
        <row r="19">
          <cell r="A19" t="str">
            <v>A210L</v>
          </cell>
          <cell r="B19" t="str">
            <v>Liaison neut. +/- values IG immo. corp.</v>
          </cell>
          <cell r="C19" t="str">
            <v>OK</v>
          </cell>
          <cell r="D19" t="str">
            <v>OK</v>
          </cell>
        </row>
        <row r="20">
          <cell r="A20" t="str">
            <v>A21100</v>
          </cell>
          <cell r="B20" t="str">
            <v>Terrains et aménagements terrains</v>
          </cell>
          <cell r="C20" t="str">
            <v>OK</v>
          </cell>
          <cell r="D20" t="str">
            <v>OK</v>
          </cell>
        </row>
        <row r="21">
          <cell r="A21" t="str">
            <v>A21110</v>
          </cell>
          <cell r="B21" t="str">
            <v>Terrains et aménagements terrains - placement</v>
          </cell>
          <cell r="C21" t="str">
            <v>OK</v>
          </cell>
          <cell r="D21" t="str">
            <v>OK</v>
          </cell>
        </row>
        <row r="22">
          <cell r="A22" t="str">
            <v>A21180</v>
          </cell>
          <cell r="B22" t="str">
            <v>Terrains à céder</v>
          </cell>
          <cell r="C22" t="str">
            <v>PB</v>
          </cell>
          <cell r="D22" t="str">
            <v>OK</v>
          </cell>
        </row>
        <row r="23">
          <cell r="A23" t="str">
            <v>A212L</v>
          </cell>
          <cell r="B23" t="str">
            <v>Liaison neut. +/- values IG immo. corp. de placement</v>
          </cell>
          <cell r="C23" t="str">
            <v>PB</v>
          </cell>
          <cell r="D23" t="str">
            <v>OK</v>
          </cell>
        </row>
        <row r="24">
          <cell r="A24" t="str">
            <v>A21300</v>
          </cell>
          <cell r="B24" t="str">
            <v>Constructions</v>
          </cell>
          <cell r="C24" t="str">
            <v>OK</v>
          </cell>
          <cell r="D24" t="str">
            <v>OK</v>
          </cell>
        </row>
        <row r="25">
          <cell r="A25" t="str">
            <v>A21310</v>
          </cell>
          <cell r="B25" t="str">
            <v>Constructions - placement</v>
          </cell>
          <cell r="C25" t="str">
            <v>OK</v>
          </cell>
          <cell r="D25" t="str">
            <v>OK</v>
          </cell>
        </row>
        <row r="26">
          <cell r="A26" t="str">
            <v>A21320</v>
          </cell>
          <cell r="B26" t="str">
            <v>Constructions - Composant révision</v>
          </cell>
          <cell r="C26" t="str">
            <v>PB</v>
          </cell>
          <cell r="D26" t="str">
            <v>OK</v>
          </cell>
        </row>
        <row r="27">
          <cell r="A27" t="str">
            <v>A21380</v>
          </cell>
          <cell r="B27" t="str">
            <v>Constructions à céder</v>
          </cell>
          <cell r="C27" t="str">
            <v>PB</v>
          </cell>
          <cell r="D27" t="str">
            <v>OK</v>
          </cell>
        </row>
        <row r="28">
          <cell r="A28" t="str">
            <v>A21500</v>
          </cell>
          <cell r="B28" t="str">
            <v>Matériel &amp; outillage &amp; installations techniques</v>
          </cell>
          <cell r="C28" t="str">
            <v>OK</v>
          </cell>
          <cell r="D28" t="str">
            <v>OK</v>
          </cell>
        </row>
        <row r="29">
          <cell r="A29" t="str">
            <v>A21700</v>
          </cell>
          <cell r="B29" t="str">
            <v>Matériel de transport</v>
          </cell>
          <cell r="C29" t="str">
            <v>OK</v>
          </cell>
          <cell r="D29" t="str">
            <v>OK</v>
          </cell>
        </row>
        <row r="30">
          <cell r="A30" t="str">
            <v>A21730</v>
          </cell>
          <cell r="B30" t="str">
            <v>Matériels de transport maritime</v>
          </cell>
          <cell r="C30" t="str">
            <v>PB</v>
          </cell>
          <cell r="D30" t="str">
            <v>OK</v>
          </cell>
        </row>
        <row r="31">
          <cell r="A31" t="str">
            <v>A21740</v>
          </cell>
          <cell r="B31" t="str">
            <v>Matériels de transport maritime - Composant révision</v>
          </cell>
          <cell r="C31" t="str">
            <v>PB</v>
          </cell>
          <cell r="D31" t="str">
            <v>OK</v>
          </cell>
        </row>
        <row r="32">
          <cell r="A32" t="str">
            <v>A21750</v>
          </cell>
          <cell r="B32" t="str">
            <v>Matériel de transport ferroviaire</v>
          </cell>
          <cell r="C32" t="str">
            <v>OK</v>
          </cell>
          <cell r="D32" t="str">
            <v>OK</v>
          </cell>
        </row>
        <row r="33">
          <cell r="A33" t="str">
            <v>A21760</v>
          </cell>
          <cell r="B33" t="str">
            <v>Matériel de transport ferroviaire - Composant révision</v>
          </cell>
          <cell r="C33" t="str">
            <v>OK</v>
          </cell>
          <cell r="D33" t="str">
            <v>OK</v>
          </cell>
        </row>
        <row r="34">
          <cell r="A34" t="str">
            <v>A21780</v>
          </cell>
          <cell r="B34" t="str">
            <v>Matériel de transport à céder</v>
          </cell>
          <cell r="C34" t="str">
            <v>PB</v>
          </cell>
          <cell r="D34" t="str">
            <v>OK</v>
          </cell>
        </row>
        <row r="35">
          <cell r="A35" t="str">
            <v>A21800</v>
          </cell>
          <cell r="B35" t="str">
            <v>Autres Immobilisations corporelles</v>
          </cell>
          <cell r="C35" t="str">
            <v>OK</v>
          </cell>
          <cell r="D35" t="str">
            <v>OK</v>
          </cell>
        </row>
        <row r="36">
          <cell r="A36" t="str">
            <v>A21810</v>
          </cell>
          <cell r="B36" t="str">
            <v>Autres Immobilisations corporelles - placement</v>
          </cell>
          <cell r="C36" t="str">
            <v>OK</v>
          </cell>
          <cell r="D36" t="str">
            <v>OK</v>
          </cell>
        </row>
        <row r="37">
          <cell r="A37" t="str">
            <v>A21830</v>
          </cell>
          <cell r="B37" t="str">
            <v>Matériel informatique</v>
          </cell>
          <cell r="C37" t="str">
            <v>OK</v>
          </cell>
          <cell r="D37" t="str">
            <v>OK</v>
          </cell>
        </row>
        <row r="38">
          <cell r="A38" t="str">
            <v>A23100</v>
          </cell>
          <cell r="B38" t="str">
            <v>Immobilisations corporelles en cours</v>
          </cell>
          <cell r="C38" t="str">
            <v>OK</v>
          </cell>
          <cell r="D38" t="str">
            <v>OK</v>
          </cell>
        </row>
        <row r="39">
          <cell r="A39" t="str">
            <v>A23200</v>
          </cell>
          <cell r="B39" t="str">
            <v>Immobilisations incorporelles en cours</v>
          </cell>
          <cell r="C39" t="str">
            <v>OK</v>
          </cell>
          <cell r="D39" t="str">
            <v>OK</v>
          </cell>
        </row>
        <row r="40">
          <cell r="A40" t="str">
            <v>A23700</v>
          </cell>
          <cell r="B40" t="str">
            <v>Avances et acomptes s/immo. incorp.</v>
          </cell>
          <cell r="C40" t="str">
            <v>OK</v>
          </cell>
          <cell r="D40" t="str">
            <v>OK</v>
          </cell>
        </row>
        <row r="41">
          <cell r="A41" t="str">
            <v>A23800</v>
          </cell>
          <cell r="B41" t="str">
            <v>Avances et acomptes s/immo. corp.</v>
          </cell>
          <cell r="C41" t="str">
            <v>OK</v>
          </cell>
          <cell r="D41" t="str">
            <v>OK</v>
          </cell>
        </row>
        <row r="42">
          <cell r="A42" t="str">
            <v>A26000</v>
          </cell>
          <cell r="B42" t="str">
            <v>Titres mis en équivalence</v>
          </cell>
          <cell r="C42" t="str">
            <v>OK</v>
          </cell>
          <cell r="D42" t="str">
            <v>OK</v>
          </cell>
        </row>
        <row r="43">
          <cell r="A43" t="str">
            <v>A260L</v>
          </cell>
          <cell r="B43" t="str">
            <v>Liaison neutral. +/- values IG titres</v>
          </cell>
          <cell r="C43" t="str">
            <v>OK</v>
          </cell>
          <cell r="D43" t="str">
            <v>OK</v>
          </cell>
        </row>
        <row r="44">
          <cell r="A44" t="str">
            <v>A26110</v>
          </cell>
          <cell r="B44" t="str">
            <v>Titres de participation</v>
          </cell>
          <cell r="C44" t="str">
            <v>OK</v>
          </cell>
          <cell r="D44" t="str">
            <v>OK</v>
          </cell>
        </row>
        <row r="45">
          <cell r="A45" t="str">
            <v>A26120</v>
          </cell>
          <cell r="B45" t="str">
            <v>Titres de participation non libérés</v>
          </cell>
          <cell r="C45" t="str">
            <v>PB</v>
          </cell>
          <cell r="D45" t="str">
            <v>PB</v>
          </cell>
          <cell r="F45" t="str">
            <v>sont ok car correctement rattachées a une caracteristique</v>
          </cell>
        </row>
        <row r="46">
          <cell r="A46" t="str">
            <v>A26180</v>
          </cell>
          <cell r="B46" t="str">
            <v>Titres de participation à céder</v>
          </cell>
          <cell r="C46" t="str">
            <v>PB</v>
          </cell>
          <cell r="D46" t="str">
            <v>OK</v>
          </cell>
        </row>
        <row r="47">
          <cell r="A47" t="str">
            <v>A26710</v>
          </cell>
          <cell r="B47" t="str">
            <v>Autres créances ratt à des participat.</v>
          </cell>
          <cell r="C47" t="str">
            <v>OK</v>
          </cell>
          <cell r="D47" t="str">
            <v>OK</v>
          </cell>
        </row>
        <row r="48">
          <cell r="A48" t="str">
            <v>A27310</v>
          </cell>
          <cell r="B48" t="str">
            <v>Prêts et Créances  &gt; 1 an</v>
          </cell>
          <cell r="C48" t="str">
            <v>OK</v>
          </cell>
          <cell r="D48" t="str">
            <v>OK</v>
          </cell>
        </row>
        <row r="49">
          <cell r="A49" t="str">
            <v>A27318</v>
          </cell>
          <cell r="B49" t="str">
            <v>Intérêts courus à échéance &gt; 1 an sur prêts et Créances</v>
          </cell>
          <cell r="C49" t="str">
            <v>OK</v>
          </cell>
          <cell r="D49" t="str">
            <v>OK</v>
          </cell>
        </row>
        <row r="50">
          <cell r="A50" t="str">
            <v>A27320</v>
          </cell>
          <cell r="B50" t="str">
            <v>Prêts et créances &lt; 1 an</v>
          </cell>
          <cell r="C50" t="str">
            <v>OK</v>
          </cell>
          <cell r="D50" t="str">
            <v>OK</v>
          </cell>
        </row>
        <row r="51">
          <cell r="A51" t="str">
            <v>A27330</v>
          </cell>
          <cell r="B51" t="str">
            <v>Prêts et créances &lt; 3 mois</v>
          </cell>
          <cell r="C51" t="str">
            <v>PB</v>
          </cell>
          <cell r="D51" t="str">
            <v>PB</v>
          </cell>
        </row>
        <row r="52">
          <cell r="A52" t="str">
            <v>A27338</v>
          </cell>
          <cell r="B52" t="str">
            <v>Intérêts courus à échéance &lt;1 an sur prêts et créances</v>
          </cell>
          <cell r="C52" t="str">
            <v>OK</v>
          </cell>
          <cell r="D52" t="str">
            <v>OK</v>
          </cell>
        </row>
        <row r="53">
          <cell r="A53" t="str">
            <v>A27339</v>
          </cell>
          <cell r="B53" t="str">
            <v>Intérêts courus sur prêts et créances &lt; 3 mois</v>
          </cell>
          <cell r="C53" t="str">
            <v>PB</v>
          </cell>
          <cell r="D53" t="str">
            <v>PB</v>
          </cell>
        </row>
        <row r="54">
          <cell r="A54" t="str">
            <v>A27340</v>
          </cell>
          <cell r="B54" t="str">
            <v>Gages espèces</v>
          </cell>
          <cell r="C54" t="str">
            <v>PB</v>
          </cell>
          <cell r="D54" t="str">
            <v>PB</v>
          </cell>
        </row>
        <row r="55">
          <cell r="A55" t="str">
            <v>A27410</v>
          </cell>
          <cell r="B55" t="str">
            <v>Créance RFF</v>
          </cell>
          <cell r="C55" t="str">
            <v>PB</v>
          </cell>
          <cell r="D55" t="str">
            <v>OK</v>
          </cell>
        </row>
        <row r="56">
          <cell r="A56" t="str">
            <v>A27420</v>
          </cell>
          <cell r="B56" t="str">
            <v>Intérêts courus sur créances RFF</v>
          </cell>
          <cell r="C56" t="str">
            <v>PB</v>
          </cell>
          <cell r="D56" t="str">
            <v>PB</v>
          </cell>
        </row>
        <row r="57">
          <cell r="A57" t="str">
            <v>A27500</v>
          </cell>
          <cell r="B57" t="str">
            <v>Dépôts et  cautionnements</v>
          </cell>
          <cell r="C57" t="str">
            <v>OK</v>
          </cell>
          <cell r="D57" t="str">
            <v>OK</v>
          </cell>
        </row>
        <row r="58">
          <cell r="A58" t="str">
            <v>A27600</v>
          </cell>
          <cell r="B58" t="str">
            <v>Actifs de retraite</v>
          </cell>
          <cell r="C58" t="str">
            <v>OK</v>
          </cell>
          <cell r="D58" t="str">
            <v>OK</v>
          </cell>
        </row>
        <row r="59">
          <cell r="A59" t="str">
            <v>A28010</v>
          </cell>
          <cell r="B59" t="str">
            <v>Amt. frais d'établissement</v>
          </cell>
          <cell r="C59" t="str">
            <v>OK</v>
          </cell>
          <cell r="D59" t="str">
            <v>OK</v>
          </cell>
        </row>
        <row r="60">
          <cell r="A60" t="str">
            <v>A28030</v>
          </cell>
          <cell r="B60" t="str">
            <v>Amt frais de recherche et développement *</v>
          </cell>
          <cell r="C60" t="str">
            <v>OK</v>
          </cell>
          <cell r="D60" t="str">
            <v>OK</v>
          </cell>
        </row>
        <row r="61">
          <cell r="A61" t="str">
            <v>A28040</v>
          </cell>
          <cell r="B61" t="str">
            <v>Amt droit au bail</v>
          </cell>
          <cell r="C61" t="str">
            <v>OK</v>
          </cell>
          <cell r="D61" t="str">
            <v>OK</v>
          </cell>
        </row>
        <row r="62">
          <cell r="A62" t="str">
            <v>A28050</v>
          </cell>
          <cell r="B62" t="str">
            <v>Amt logiciels</v>
          </cell>
          <cell r="C62" t="str">
            <v>OK</v>
          </cell>
          <cell r="D62" t="str">
            <v>OK</v>
          </cell>
        </row>
        <row r="63">
          <cell r="A63" t="str">
            <v>A28070</v>
          </cell>
          <cell r="B63" t="str">
            <v>Amt fonds commercial et parts de marché</v>
          </cell>
          <cell r="C63" t="str">
            <v>OK</v>
          </cell>
          <cell r="D63" t="str">
            <v>OK</v>
          </cell>
        </row>
        <row r="64">
          <cell r="A64" t="str">
            <v>A28080</v>
          </cell>
          <cell r="B64" t="str">
            <v>Amt autres immos incorp.</v>
          </cell>
          <cell r="C64" t="str">
            <v>OK</v>
          </cell>
          <cell r="D64" t="str">
            <v>OK</v>
          </cell>
        </row>
        <row r="65">
          <cell r="A65" t="str">
            <v>A28111</v>
          </cell>
          <cell r="B65" t="str">
            <v>Amt. Terrains et aménagements terrains - placement</v>
          </cell>
          <cell r="C65" t="str">
            <v>OK</v>
          </cell>
          <cell r="D65" t="str">
            <v>OK</v>
          </cell>
        </row>
        <row r="66">
          <cell r="A66" t="str">
            <v>A28120</v>
          </cell>
          <cell r="B66" t="str">
            <v>Amt agencements aménagement terrain</v>
          </cell>
          <cell r="C66" t="str">
            <v>OK</v>
          </cell>
          <cell r="D66" t="str">
            <v>OK</v>
          </cell>
        </row>
        <row r="67">
          <cell r="A67" t="str">
            <v>A28128</v>
          </cell>
          <cell r="B67" t="str">
            <v>Amt terrain à céder</v>
          </cell>
          <cell r="C67" t="str">
            <v>PB</v>
          </cell>
          <cell r="D67" t="str">
            <v>OK</v>
          </cell>
        </row>
        <row r="68">
          <cell r="A68" t="str">
            <v>A28130</v>
          </cell>
          <cell r="B68" t="str">
            <v>Amt. constructions</v>
          </cell>
          <cell r="C68" t="str">
            <v>OK</v>
          </cell>
          <cell r="D68" t="str">
            <v>OK</v>
          </cell>
        </row>
        <row r="69">
          <cell r="A69" t="str">
            <v>A28131</v>
          </cell>
          <cell r="B69" t="str">
            <v>Amt. Constructions - placement</v>
          </cell>
          <cell r="C69" t="str">
            <v>OK</v>
          </cell>
          <cell r="D69" t="str">
            <v>OK</v>
          </cell>
        </row>
        <row r="70">
          <cell r="A70" t="str">
            <v>A28132</v>
          </cell>
          <cell r="B70" t="str">
            <v>Amt. Constructions - composant révision</v>
          </cell>
          <cell r="C70" t="str">
            <v>OK</v>
          </cell>
          <cell r="D70" t="str">
            <v>OK</v>
          </cell>
        </row>
        <row r="71">
          <cell r="A71" t="str">
            <v>A28138</v>
          </cell>
          <cell r="B71" t="str">
            <v>Amt constructions à céder</v>
          </cell>
          <cell r="C71" t="str">
            <v>PB</v>
          </cell>
          <cell r="D71" t="str">
            <v>OK</v>
          </cell>
        </row>
        <row r="72">
          <cell r="A72" t="str">
            <v>A28150</v>
          </cell>
          <cell r="B72" t="str">
            <v>Amt. matériel &amp; outil.</v>
          </cell>
          <cell r="C72" t="str">
            <v>OK</v>
          </cell>
          <cell r="D72" t="str">
            <v>OK</v>
          </cell>
        </row>
        <row r="73">
          <cell r="A73" t="str">
            <v>A28170</v>
          </cell>
          <cell r="B73" t="str">
            <v>Amt matériel de transport</v>
          </cell>
          <cell r="C73" t="str">
            <v>OK</v>
          </cell>
          <cell r="D73" t="str">
            <v>OK</v>
          </cell>
        </row>
        <row r="74">
          <cell r="A74" t="str">
            <v>A28173</v>
          </cell>
          <cell r="B74" t="str">
            <v>Amt matériel de transport maritime</v>
          </cell>
          <cell r="C74" t="str">
            <v>PB</v>
          </cell>
          <cell r="D74" t="str">
            <v>OK</v>
          </cell>
        </row>
        <row r="75">
          <cell r="A75" t="str">
            <v>A28174</v>
          </cell>
          <cell r="B75" t="str">
            <v>Amt matériel de transport maritime - Composant révision</v>
          </cell>
          <cell r="C75" t="str">
            <v>PB</v>
          </cell>
          <cell r="D75" t="str">
            <v>OK</v>
          </cell>
        </row>
        <row r="76">
          <cell r="A76" t="str">
            <v>A28175</v>
          </cell>
          <cell r="B76" t="str">
            <v>Amt matériel de transport ferroviaire</v>
          </cell>
          <cell r="C76" t="str">
            <v>OK</v>
          </cell>
          <cell r="D76" t="str">
            <v>OK</v>
          </cell>
        </row>
        <row r="77">
          <cell r="A77" t="str">
            <v>A28176</v>
          </cell>
          <cell r="B77" t="str">
            <v>Amt matériel de transport ferroviaire - Composant révision</v>
          </cell>
          <cell r="C77" t="str">
            <v>OK</v>
          </cell>
          <cell r="D77" t="str">
            <v>OK</v>
          </cell>
        </row>
        <row r="78">
          <cell r="A78" t="str">
            <v>A28178</v>
          </cell>
          <cell r="B78" t="str">
            <v>Amt matériel de transport à céder</v>
          </cell>
          <cell r="C78" t="str">
            <v>PB</v>
          </cell>
          <cell r="D78" t="str">
            <v>OK</v>
          </cell>
        </row>
        <row r="79">
          <cell r="A79" t="str">
            <v>A28180</v>
          </cell>
          <cell r="B79" t="str">
            <v>Amt autres Immobilisations corp.</v>
          </cell>
          <cell r="C79" t="str">
            <v>OK</v>
          </cell>
          <cell r="D79" t="str">
            <v>OK</v>
          </cell>
        </row>
        <row r="80">
          <cell r="A80" t="str">
            <v>A28181</v>
          </cell>
          <cell r="B80" t="str">
            <v>Amt. Autres Immobilisations corporelles - placement</v>
          </cell>
          <cell r="C80" t="str">
            <v>OK</v>
          </cell>
          <cell r="D80" t="str">
            <v>OK</v>
          </cell>
        </row>
        <row r="81">
          <cell r="A81" t="str">
            <v>A28183</v>
          </cell>
          <cell r="B81" t="str">
            <v>Amt matériel informatique</v>
          </cell>
          <cell r="C81" t="str">
            <v>OK</v>
          </cell>
          <cell r="D81" t="str">
            <v>OK</v>
          </cell>
        </row>
        <row r="82">
          <cell r="A82" t="str">
            <v>A28900</v>
          </cell>
          <cell r="B82" t="str">
            <v>Amortissement écart d'acquisition</v>
          </cell>
          <cell r="C82" t="str">
            <v>OK</v>
          </cell>
          <cell r="D82" t="str">
            <v>OK</v>
          </cell>
        </row>
        <row r="83">
          <cell r="A83" t="str">
            <v>A29030</v>
          </cell>
          <cell r="B83" t="str">
            <v>Provisions pour dépréciation sur frais de développement</v>
          </cell>
          <cell r="C83" t="str">
            <v>OK</v>
          </cell>
          <cell r="D83" t="str">
            <v>OK</v>
          </cell>
        </row>
        <row r="84">
          <cell r="A84" t="str">
            <v>A29040</v>
          </cell>
          <cell r="B84" t="str">
            <v>Provisions pour dépréciation sur droit au bail</v>
          </cell>
          <cell r="C84" t="str">
            <v>OK</v>
          </cell>
          <cell r="D84" t="str">
            <v>OK</v>
          </cell>
        </row>
        <row r="85">
          <cell r="A85" t="str">
            <v>A29050</v>
          </cell>
          <cell r="B85" t="str">
            <v>Provisions pour dépréciation sur logiciels</v>
          </cell>
          <cell r="C85" t="str">
            <v>OK</v>
          </cell>
          <cell r="D85" t="str">
            <v>OK</v>
          </cell>
        </row>
        <row r="86">
          <cell r="A86" t="str">
            <v>A29075</v>
          </cell>
          <cell r="B86" t="str">
            <v>Prov. pour dépréciation fonds commercial et parts de marché</v>
          </cell>
          <cell r="C86" t="str">
            <v>OK</v>
          </cell>
          <cell r="D86" t="str">
            <v>OK</v>
          </cell>
        </row>
        <row r="87">
          <cell r="A87" t="str">
            <v>A29110</v>
          </cell>
          <cell r="B87" t="str">
            <v>Provisions sur Immobilisations corporelles</v>
          </cell>
          <cell r="C87" t="str">
            <v>OK</v>
          </cell>
          <cell r="D87" t="str">
            <v>OK</v>
          </cell>
        </row>
        <row r="88">
          <cell r="A88" t="str">
            <v>A29111</v>
          </cell>
          <cell r="B88" t="str">
            <v>Provisions pour dépréciation sur terrains et aménagements terrains - placement</v>
          </cell>
          <cell r="C88" t="str">
            <v>OK</v>
          </cell>
          <cell r="D88" t="str">
            <v>OK</v>
          </cell>
        </row>
        <row r="89">
          <cell r="A89" t="str">
            <v>A29120</v>
          </cell>
          <cell r="B89" t="str">
            <v>Provisions pour dépréciation sur terrains et aménagements terrains</v>
          </cell>
          <cell r="C89" t="str">
            <v>OK</v>
          </cell>
          <cell r="D89" t="str">
            <v>OK</v>
          </cell>
        </row>
        <row r="90">
          <cell r="A90" t="str">
            <v>A29128</v>
          </cell>
          <cell r="B90" t="str">
            <v>Provisions pour dépréciation sur terrains à céder</v>
          </cell>
          <cell r="C90" t="str">
            <v>PB</v>
          </cell>
          <cell r="D90" t="str">
            <v>OK</v>
          </cell>
        </row>
        <row r="91">
          <cell r="A91" t="str">
            <v>A29130</v>
          </cell>
          <cell r="B91" t="str">
            <v>Provisions pour dépréciation sur constructions</v>
          </cell>
          <cell r="C91" t="str">
            <v>OK</v>
          </cell>
          <cell r="D91" t="str">
            <v>OK</v>
          </cell>
        </row>
        <row r="92">
          <cell r="A92" t="str">
            <v>A29131</v>
          </cell>
          <cell r="B92" t="str">
            <v>Provisions pour dépréciation sur Constructions - placement</v>
          </cell>
          <cell r="C92" t="str">
            <v>OK</v>
          </cell>
          <cell r="D92" t="str">
            <v>OK</v>
          </cell>
        </row>
        <row r="93">
          <cell r="A93" t="str">
            <v>A29132</v>
          </cell>
          <cell r="B93" t="str">
            <v>Provisions pour dépréciation sur Constructions - composant révision</v>
          </cell>
          <cell r="C93" t="str">
            <v>PB</v>
          </cell>
          <cell r="D93" t="str">
            <v>OK</v>
          </cell>
        </row>
        <row r="94">
          <cell r="A94" t="str">
            <v>A29138</v>
          </cell>
          <cell r="B94" t="str">
            <v>Provisions pour dépréciation sur constructions à céder</v>
          </cell>
          <cell r="C94" t="str">
            <v>PB</v>
          </cell>
          <cell r="D94" t="str">
            <v>OK</v>
          </cell>
        </row>
        <row r="95">
          <cell r="A95" t="str">
            <v>A29150</v>
          </cell>
          <cell r="B95" t="str">
            <v>Provisions pour dépréciation sur matériel &amp; outil.</v>
          </cell>
          <cell r="C95" t="str">
            <v>OK</v>
          </cell>
          <cell r="D95" t="str">
            <v>OK</v>
          </cell>
        </row>
        <row r="96">
          <cell r="A96" t="str">
            <v>A29170</v>
          </cell>
          <cell r="B96" t="str">
            <v>Provisions pour dépréciation sur matériel de transport</v>
          </cell>
          <cell r="C96" t="str">
            <v>OK</v>
          </cell>
          <cell r="D96" t="str">
            <v>OK</v>
          </cell>
        </row>
        <row r="97">
          <cell r="A97" t="str">
            <v>A29173</v>
          </cell>
          <cell r="B97" t="str">
            <v>Provisions pour dépréciation sur matériel de transport maritime</v>
          </cell>
          <cell r="C97" t="str">
            <v>PB</v>
          </cell>
          <cell r="D97" t="str">
            <v>OK</v>
          </cell>
        </row>
        <row r="98">
          <cell r="A98" t="str">
            <v>A29174</v>
          </cell>
          <cell r="B98" t="str">
            <v>Provisions pour dépréciation sur matériel de transport maritime - Composant révision</v>
          </cell>
          <cell r="C98" t="str">
            <v>PB</v>
          </cell>
          <cell r="D98" t="str">
            <v>OK</v>
          </cell>
        </row>
        <row r="99">
          <cell r="A99" t="str">
            <v>A29175</v>
          </cell>
          <cell r="B99" t="str">
            <v>Provisions pour dépréciation sur matériel de transport ferroviaire</v>
          </cell>
          <cell r="C99" t="str">
            <v>OK</v>
          </cell>
          <cell r="D99" t="str">
            <v>OK</v>
          </cell>
        </row>
        <row r="100">
          <cell r="A100" t="str">
            <v>A29176</v>
          </cell>
          <cell r="B100" t="str">
            <v>Prov. pour dép. sur matériel de transport ferroviaire - Composant révision</v>
          </cell>
          <cell r="C100" t="str">
            <v>PB</v>
          </cell>
          <cell r="D100" t="str">
            <v>OK</v>
          </cell>
        </row>
        <row r="101">
          <cell r="A101" t="str">
            <v>A29178</v>
          </cell>
          <cell r="B101" t="str">
            <v>Provisions pour dépréciation sur matériel de transport à céder</v>
          </cell>
          <cell r="C101" t="str">
            <v>PB</v>
          </cell>
          <cell r="D101" t="str">
            <v>OK</v>
          </cell>
        </row>
        <row r="102">
          <cell r="A102" t="str">
            <v>A29180</v>
          </cell>
          <cell r="B102" t="str">
            <v>Provisions pour dépréciation sur autres Immobilisations corp.</v>
          </cell>
          <cell r="C102" t="str">
            <v>OK</v>
          </cell>
          <cell r="D102" t="str">
            <v>OK</v>
          </cell>
        </row>
        <row r="103">
          <cell r="A103" t="str">
            <v>A29181</v>
          </cell>
          <cell r="B103" t="str">
            <v>Provisions pour dépréciation sur Autres Immobilisations corporelles - placement</v>
          </cell>
          <cell r="C103" t="str">
            <v>OK</v>
          </cell>
          <cell r="D103" t="str">
            <v>OK</v>
          </cell>
        </row>
        <row r="104">
          <cell r="A104" t="str">
            <v>A29183</v>
          </cell>
          <cell r="B104" t="str">
            <v>Provisions pour dépréciation sur matériel informatique</v>
          </cell>
          <cell r="C104" t="str">
            <v>OK</v>
          </cell>
          <cell r="D104" t="str">
            <v>OK</v>
          </cell>
        </row>
        <row r="105">
          <cell r="A105" t="str">
            <v>A29310</v>
          </cell>
          <cell r="B105" t="str">
            <v>Prov. pour dépréciation Immobilisations corp. en cours</v>
          </cell>
          <cell r="C105" t="str">
            <v>OK</v>
          </cell>
          <cell r="D105" t="str">
            <v>OK</v>
          </cell>
        </row>
        <row r="106">
          <cell r="A106" t="str">
            <v>A29360</v>
          </cell>
          <cell r="B106" t="str">
            <v>Provisions sur Immobilisations incorporelles *</v>
          </cell>
          <cell r="C106" t="str">
            <v>OK</v>
          </cell>
          <cell r="D106" t="str">
            <v>OK</v>
          </cell>
        </row>
        <row r="107">
          <cell r="A107" t="str">
            <v>A29370</v>
          </cell>
          <cell r="B107" t="str">
            <v>Prov avances et acomptes s/immo. incorp.</v>
          </cell>
          <cell r="C107" t="str">
            <v>OK</v>
          </cell>
          <cell r="D107" t="str">
            <v>OK</v>
          </cell>
        </row>
        <row r="108">
          <cell r="A108" t="str">
            <v>A29380</v>
          </cell>
          <cell r="B108" t="str">
            <v>Prov. avances et acomptes s/immo. corp.</v>
          </cell>
          <cell r="C108" t="str">
            <v>OK</v>
          </cell>
          <cell r="D108" t="str">
            <v>OK</v>
          </cell>
        </row>
        <row r="109">
          <cell r="A109" t="str">
            <v>A29610</v>
          </cell>
          <cell r="B109" t="str">
            <v>Provisions sur titres de participation</v>
          </cell>
          <cell r="C109" t="str">
            <v>OK</v>
          </cell>
          <cell r="D109" t="str">
            <v>OK</v>
          </cell>
        </row>
        <row r="110">
          <cell r="A110" t="str">
            <v>A29618</v>
          </cell>
          <cell r="B110" t="str">
            <v>Provisions sur titres de participation à céder</v>
          </cell>
          <cell r="C110" t="str">
            <v>PB</v>
          </cell>
          <cell r="D110" t="str">
            <v>OK</v>
          </cell>
        </row>
        <row r="111">
          <cell r="A111" t="str">
            <v>A29670</v>
          </cell>
          <cell r="B111" t="str">
            <v>Prov /créances rattachées à des participations</v>
          </cell>
          <cell r="C111" t="str">
            <v>OK</v>
          </cell>
          <cell r="D111" t="str">
            <v>OK</v>
          </cell>
        </row>
        <row r="112">
          <cell r="A112" t="str">
            <v>A29731</v>
          </cell>
          <cell r="B112" t="str">
            <v>Provisions sur prêts et autres immo financières &gt; 1 an *</v>
          </cell>
          <cell r="C112" t="str">
            <v>OK</v>
          </cell>
          <cell r="D112" t="str">
            <v>OK</v>
          </cell>
        </row>
        <row r="113">
          <cell r="A113" t="str">
            <v>A29732</v>
          </cell>
          <cell r="B113" t="str">
            <v>Provisions sur prêts et créances &lt; 1 an</v>
          </cell>
          <cell r="C113" t="str">
            <v>OK</v>
          </cell>
          <cell r="D113" t="str">
            <v>OK</v>
          </cell>
        </row>
        <row r="114">
          <cell r="A114" t="str">
            <v>A29741</v>
          </cell>
          <cell r="B114" t="str">
            <v>Provision s/ créance financière RFF</v>
          </cell>
          <cell r="C114" t="str">
            <v>PB</v>
          </cell>
          <cell r="D114" t="str">
            <v>OK</v>
          </cell>
        </row>
        <row r="115">
          <cell r="A115" t="str">
            <v>A29750</v>
          </cell>
          <cell r="B115" t="str">
            <v>Provision / dépôts et cautionnements</v>
          </cell>
          <cell r="C115" t="str">
            <v>OK</v>
          </cell>
          <cell r="D115" t="str">
            <v>OK</v>
          </cell>
        </row>
        <row r="116">
          <cell r="A116" t="str">
            <v>A29900</v>
          </cell>
          <cell r="B116" t="str">
            <v>Provision pour dépréciation écart d'acquisition</v>
          </cell>
          <cell r="C116" t="str">
            <v>OK</v>
          </cell>
          <cell r="D116" t="str">
            <v>OK</v>
          </cell>
        </row>
        <row r="117">
          <cell r="A117" t="str">
            <v>A30000</v>
          </cell>
          <cell r="B117" t="str">
            <v>Stocks</v>
          </cell>
          <cell r="C117" t="str">
            <v>OK</v>
          </cell>
          <cell r="D117" t="str">
            <v>OK</v>
          </cell>
        </row>
        <row r="118">
          <cell r="A118" t="str">
            <v>A300L</v>
          </cell>
          <cell r="B118" t="str">
            <v>Liaison neutral. profits IG s/ stocks</v>
          </cell>
          <cell r="C118" t="str">
            <v>PB</v>
          </cell>
          <cell r="D118" t="str">
            <v>OK</v>
          </cell>
        </row>
        <row r="119">
          <cell r="A119" t="str">
            <v>A32000</v>
          </cell>
          <cell r="B119" t="str">
            <v>Stocks de fournitures</v>
          </cell>
          <cell r="C119" t="str">
            <v>PB</v>
          </cell>
          <cell r="D119" t="str">
            <v>OK</v>
          </cell>
        </row>
        <row r="120">
          <cell r="A120" t="str">
            <v>A33000</v>
          </cell>
          <cell r="B120" t="str">
            <v>Stocks de Produits finis</v>
          </cell>
          <cell r="C120" t="str">
            <v>PB</v>
          </cell>
          <cell r="D120" t="str">
            <v>OK</v>
          </cell>
        </row>
        <row r="121">
          <cell r="A121" t="str">
            <v>A34000</v>
          </cell>
          <cell r="B121" t="str">
            <v>Stocks - en-cours production de services</v>
          </cell>
          <cell r="C121" t="str">
            <v>OK</v>
          </cell>
          <cell r="D121" t="str">
            <v>OK</v>
          </cell>
        </row>
        <row r="122">
          <cell r="A122" t="str">
            <v>A39000</v>
          </cell>
          <cell r="B122" t="str">
            <v>Prov. s/ stocks</v>
          </cell>
          <cell r="C122" t="str">
            <v>OK</v>
          </cell>
          <cell r="D122" t="str">
            <v>OK</v>
          </cell>
        </row>
        <row r="123">
          <cell r="A123" t="str">
            <v>A39200</v>
          </cell>
          <cell r="B123" t="str">
            <v>Provisions pour dépréciation des stocks de fournitures</v>
          </cell>
          <cell r="C123" t="str">
            <v>PB</v>
          </cell>
          <cell r="D123" t="str">
            <v>OK</v>
          </cell>
        </row>
        <row r="124">
          <cell r="A124" t="str">
            <v>A39300</v>
          </cell>
          <cell r="B124" t="str">
            <v>Provisions pour dépréciation des stocks de produits finis</v>
          </cell>
          <cell r="C124" t="str">
            <v>PB</v>
          </cell>
          <cell r="D124" t="str">
            <v>OK</v>
          </cell>
        </row>
        <row r="125">
          <cell r="A125" t="str">
            <v>A39400</v>
          </cell>
          <cell r="B125" t="str">
            <v>Prov s/ stocks -en-cours prod de service</v>
          </cell>
          <cell r="C125" t="str">
            <v>OK</v>
          </cell>
          <cell r="D125" t="str">
            <v>OK</v>
          </cell>
        </row>
        <row r="126">
          <cell r="A126" t="str">
            <v>A40910</v>
          </cell>
          <cell r="B126" t="str">
            <v>Fournisseurs : av. &amp; acptes versés</v>
          </cell>
          <cell r="C126" t="str">
            <v>OK</v>
          </cell>
          <cell r="D126" t="str">
            <v>OK</v>
          </cell>
        </row>
        <row r="127">
          <cell r="A127" t="str">
            <v>A41000</v>
          </cell>
          <cell r="B127" t="str">
            <v>Clients et comptes rattachés</v>
          </cell>
          <cell r="C127" t="str">
            <v>OK</v>
          </cell>
          <cell r="D127" t="str">
            <v>OK</v>
          </cell>
        </row>
        <row r="128">
          <cell r="A128" t="str">
            <v>A42000</v>
          </cell>
          <cell r="B128" t="str">
            <v>Créances sur personnel et organismes sociaux</v>
          </cell>
          <cell r="C128" t="str">
            <v>OK</v>
          </cell>
          <cell r="D128" t="str">
            <v>OK</v>
          </cell>
        </row>
        <row r="129">
          <cell r="A129" t="str">
            <v>A44000</v>
          </cell>
          <cell r="B129" t="str">
            <v>Créances sur l'Etat</v>
          </cell>
          <cell r="C129" t="str">
            <v>OK</v>
          </cell>
          <cell r="D129" t="str">
            <v>OK</v>
          </cell>
        </row>
        <row r="130">
          <cell r="A130" t="str">
            <v>A44050</v>
          </cell>
          <cell r="B130" t="str">
            <v>Créances sur l'Etat - IS</v>
          </cell>
          <cell r="C130" t="str">
            <v>OK</v>
          </cell>
          <cell r="D130" t="str">
            <v>OK</v>
          </cell>
        </row>
        <row r="131">
          <cell r="A131" t="str">
            <v>A44100</v>
          </cell>
          <cell r="B131" t="str">
            <v>Impôts différés - actif</v>
          </cell>
          <cell r="C131" t="str">
            <v>OK</v>
          </cell>
          <cell r="D131" t="str">
            <v>OK</v>
          </cell>
        </row>
        <row r="132">
          <cell r="A132" t="str">
            <v>A45000</v>
          </cell>
          <cell r="B132" t="str">
            <v>Comptes courants financiers - actif</v>
          </cell>
          <cell r="C132" t="str">
            <v>OK</v>
          </cell>
          <cell r="D132" t="str">
            <v>OK</v>
          </cell>
        </row>
        <row r="133">
          <cell r="A133" t="str">
            <v>A45110</v>
          </cell>
          <cell r="B133" t="str">
            <v>Comptes courants non financiers</v>
          </cell>
          <cell r="C133" t="str">
            <v>PB</v>
          </cell>
          <cell r="D133" t="str">
            <v>OK</v>
          </cell>
        </row>
        <row r="134">
          <cell r="A134" t="str">
            <v>A45800</v>
          </cell>
          <cell r="B134" t="str">
            <v>Compte courant / IS intégration fiscale</v>
          </cell>
          <cell r="C134" t="str">
            <v>OK</v>
          </cell>
          <cell r="D134" t="str">
            <v>OK</v>
          </cell>
        </row>
        <row r="135">
          <cell r="A135" t="str">
            <v>A46000</v>
          </cell>
          <cell r="B135" t="str">
            <v>Autres débiteurs</v>
          </cell>
          <cell r="C135" t="str">
            <v>OK</v>
          </cell>
          <cell r="D135" t="str">
            <v>OK</v>
          </cell>
        </row>
        <row r="136">
          <cell r="A136" t="str">
            <v>A46010</v>
          </cell>
          <cell r="B136" t="str">
            <v>Surdimensionnement Titrisation</v>
          </cell>
          <cell r="C136" t="str">
            <v>OK</v>
          </cell>
          <cell r="D136" t="str">
            <v>OK</v>
          </cell>
        </row>
        <row r="137">
          <cell r="A137" t="str">
            <v>A46020</v>
          </cell>
          <cell r="B137" t="str">
            <v>Créances correspondants</v>
          </cell>
          <cell r="C137" t="str">
            <v>OK</v>
          </cell>
          <cell r="D137" t="str">
            <v>OK</v>
          </cell>
        </row>
        <row r="138">
          <cell r="A138" t="str">
            <v>A46100</v>
          </cell>
          <cell r="B138" t="str">
            <v>RFF</v>
          </cell>
          <cell r="C138" t="str">
            <v>PB</v>
          </cell>
          <cell r="D138" t="str">
            <v>OK</v>
          </cell>
        </row>
        <row r="139">
          <cell r="A139" t="str">
            <v>A46200</v>
          </cell>
          <cell r="B139" t="str">
            <v>Créances sur cessions d'immo. incorp.</v>
          </cell>
          <cell r="C139" t="str">
            <v>OK</v>
          </cell>
          <cell r="D139" t="str">
            <v>OK</v>
          </cell>
        </row>
        <row r="140">
          <cell r="A140" t="str">
            <v>A46210</v>
          </cell>
          <cell r="B140" t="str">
            <v>Créances sur cessions d'immo. corp.</v>
          </cell>
          <cell r="C140" t="str">
            <v>OK</v>
          </cell>
          <cell r="D140" t="str">
            <v>OK</v>
          </cell>
        </row>
        <row r="141">
          <cell r="A141" t="str">
            <v>A46260</v>
          </cell>
          <cell r="B141" t="str">
            <v>Créances sur cessions de titres</v>
          </cell>
          <cell r="C141" t="str">
            <v>OK</v>
          </cell>
          <cell r="D141" t="str">
            <v>OK</v>
          </cell>
        </row>
        <row r="142">
          <cell r="A142" t="str">
            <v>A46300</v>
          </cell>
          <cell r="B142" t="str">
            <v>Dérivés actifs</v>
          </cell>
          <cell r="C142" t="str">
            <v>PB</v>
          </cell>
          <cell r="D142" t="str">
            <v>OK</v>
          </cell>
        </row>
        <row r="143">
          <cell r="A143" t="str">
            <v>A46400</v>
          </cell>
          <cell r="B143" t="str">
            <v>Subventions d'investissement à recevoir</v>
          </cell>
          <cell r="C143" t="str">
            <v>PB</v>
          </cell>
          <cell r="D143" t="str">
            <v>PB</v>
          </cell>
        </row>
        <row r="144">
          <cell r="A144" t="str">
            <v>A46820</v>
          </cell>
          <cell r="B144" t="str">
            <v>Services Annexes à vocation sociale</v>
          </cell>
          <cell r="C144" t="str">
            <v>PB</v>
          </cell>
          <cell r="D144" t="str">
            <v>OK</v>
          </cell>
        </row>
        <row r="145">
          <cell r="A145" t="str">
            <v>A46870</v>
          </cell>
          <cell r="B145" t="str">
            <v>Quote part résultat SNC,SCI,GIE (produits)</v>
          </cell>
          <cell r="C145" t="str">
            <v>OK</v>
          </cell>
          <cell r="D145" t="str">
            <v>OK</v>
          </cell>
        </row>
        <row r="146">
          <cell r="A146" t="str">
            <v>A46875</v>
          </cell>
          <cell r="B146" t="str">
            <v>Dividendes à recevoir</v>
          </cell>
          <cell r="C146" t="str">
            <v>OK</v>
          </cell>
          <cell r="D146" t="str">
            <v>OK</v>
          </cell>
        </row>
        <row r="147">
          <cell r="A147" t="str">
            <v>A47600</v>
          </cell>
          <cell r="B147" t="str">
            <v>Ecart de conversion - actif</v>
          </cell>
          <cell r="C147" t="str">
            <v>OK</v>
          </cell>
          <cell r="D147" t="str">
            <v>OK</v>
          </cell>
        </row>
        <row r="148">
          <cell r="A148" t="str">
            <v>A47610</v>
          </cell>
          <cell r="B148" t="str">
            <v>Ecart de conversion - actif couvert</v>
          </cell>
          <cell r="C148" t="str">
            <v>PB</v>
          </cell>
          <cell r="D148" t="str">
            <v>PB</v>
          </cell>
        </row>
        <row r="149">
          <cell r="A149" t="str">
            <v>A48100</v>
          </cell>
          <cell r="B149" t="str">
            <v>Charges à répartir</v>
          </cell>
          <cell r="C149" t="str">
            <v>OK</v>
          </cell>
          <cell r="D149" t="str">
            <v>OK</v>
          </cell>
        </row>
        <row r="150">
          <cell r="A150" t="str">
            <v>A48300</v>
          </cell>
          <cell r="B150" t="str">
            <v>Service Annexe d'amortissement de la dette</v>
          </cell>
          <cell r="C150" t="str">
            <v>PB</v>
          </cell>
          <cell r="D150" t="str">
            <v>OK</v>
          </cell>
        </row>
        <row r="151">
          <cell r="A151" t="str">
            <v>A48600</v>
          </cell>
          <cell r="B151" t="str">
            <v>Charges constatées d'avance</v>
          </cell>
          <cell r="C151" t="str">
            <v>OK</v>
          </cell>
          <cell r="D151" t="str">
            <v>OK</v>
          </cell>
        </row>
        <row r="152">
          <cell r="A152" t="str">
            <v>A49090</v>
          </cell>
          <cell r="B152" t="str">
            <v>Prov. avances et acomptes versés</v>
          </cell>
          <cell r="C152" t="str">
            <v>OK</v>
          </cell>
          <cell r="D152" t="str">
            <v>OK</v>
          </cell>
        </row>
        <row r="153">
          <cell r="A153" t="str">
            <v>A49100</v>
          </cell>
          <cell r="B153" t="str">
            <v>Prov. clients et comptes rattachés</v>
          </cell>
          <cell r="C153" t="str">
            <v>OK</v>
          </cell>
          <cell r="D153" t="str">
            <v>OK</v>
          </cell>
        </row>
        <row r="154">
          <cell r="A154" t="str">
            <v>A49200</v>
          </cell>
          <cell r="B154" t="str">
            <v>Prov / créances sur le personnel</v>
          </cell>
          <cell r="C154" t="str">
            <v>OK</v>
          </cell>
          <cell r="D154" t="str">
            <v>OK</v>
          </cell>
        </row>
        <row r="155">
          <cell r="A155" t="str">
            <v>A49503</v>
          </cell>
          <cell r="B155" t="str">
            <v>Prov/ comptes courants financiers</v>
          </cell>
          <cell r="C155" t="str">
            <v>OK</v>
          </cell>
          <cell r="D155" t="str">
            <v>OK</v>
          </cell>
        </row>
        <row r="156">
          <cell r="A156" t="str">
            <v>A49510</v>
          </cell>
          <cell r="B156" t="str">
            <v>Provisions - Comptes courants non financiers</v>
          </cell>
          <cell r="C156" t="str">
            <v>PB</v>
          </cell>
          <cell r="D156" t="str">
            <v>OK</v>
          </cell>
        </row>
        <row r="157">
          <cell r="A157" t="str">
            <v>A49600</v>
          </cell>
          <cell r="B157" t="str">
            <v>Prov. autres débiteurs</v>
          </cell>
          <cell r="C157" t="str">
            <v>OK</v>
          </cell>
          <cell r="D157" t="str">
            <v>OK</v>
          </cell>
        </row>
        <row r="158">
          <cell r="A158" t="str">
            <v>A49602</v>
          </cell>
          <cell r="B158" t="str">
            <v>Prov sur créances correspondants</v>
          </cell>
          <cell r="C158" t="str">
            <v>OK</v>
          </cell>
          <cell r="D158" t="str">
            <v>OK</v>
          </cell>
        </row>
        <row r="159">
          <cell r="A159" t="str">
            <v>A49610</v>
          </cell>
          <cell r="B159" t="str">
            <v>Provision s/ créance RFF</v>
          </cell>
          <cell r="C159" t="str">
            <v>PB</v>
          </cell>
          <cell r="D159" t="str">
            <v>OK</v>
          </cell>
        </row>
        <row r="160">
          <cell r="A160" t="str">
            <v>A49620</v>
          </cell>
          <cell r="B160" t="str">
            <v>Prov. créances sur cessions immo.</v>
          </cell>
          <cell r="C160" t="str">
            <v>OK</v>
          </cell>
          <cell r="D160" t="str">
            <v>OK</v>
          </cell>
        </row>
        <row r="161">
          <cell r="A161" t="str">
            <v>A50000</v>
          </cell>
          <cell r="B161" t="str">
            <v>Valeurs mob. de placement - brut *</v>
          </cell>
          <cell r="C161" t="str">
            <v>OK</v>
          </cell>
          <cell r="D161" t="str">
            <v>OK</v>
          </cell>
        </row>
        <row r="162">
          <cell r="A162" t="str">
            <v>A50100</v>
          </cell>
          <cell r="B162" t="str">
            <v>SICAV Monétaires assimilées à de la trésorerie</v>
          </cell>
          <cell r="C162" t="str">
            <v>OK</v>
          </cell>
          <cell r="D162" t="str">
            <v>OK</v>
          </cell>
        </row>
        <row r="163">
          <cell r="A163" t="str">
            <v>A50200</v>
          </cell>
          <cell r="B163" t="str">
            <v>Actions propres</v>
          </cell>
          <cell r="C163" t="str">
            <v>OK</v>
          </cell>
          <cell r="D163" t="str">
            <v>OK</v>
          </cell>
        </row>
        <row r="164">
          <cell r="A164" t="str">
            <v>A51000</v>
          </cell>
          <cell r="B164" t="str">
            <v>Disponibilités</v>
          </cell>
          <cell r="C164" t="str">
            <v>OK</v>
          </cell>
          <cell r="D164" t="str">
            <v>OK</v>
          </cell>
        </row>
        <row r="165">
          <cell r="A165" t="str">
            <v>A51800</v>
          </cell>
          <cell r="B165" t="str">
            <v>Intérêts courus à recevoir</v>
          </cell>
          <cell r="C165" t="str">
            <v>OK</v>
          </cell>
          <cell r="D165" t="str">
            <v>OK</v>
          </cell>
        </row>
        <row r="166">
          <cell r="A166" t="str">
            <v>A59000</v>
          </cell>
          <cell r="B166" t="str">
            <v>Prov. valeurs mobilières de placement *</v>
          </cell>
          <cell r="C166" t="str">
            <v>OK</v>
          </cell>
          <cell r="D166" t="str">
            <v>OK</v>
          </cell>
        </row>
        <row r="167">
          <cell r="A167" t="str">
            <v>A59200</v>
          </cell>
          <cell r="B167" t="str">
            <v>Prov. actions propres</v>
          </cell>
          <cell r="C167" t="str">
            <v>OK</v>
          </cell>
          <cell r="D167" t="str">
            <v>OK</v>
          </cell>
        </row>
        <row r="168">
          <cell r="A168" t="str">
            <v>P10100</v>
          </cell>
          <cell r="B168" t="str">
            <v>Capital</v>
          </cell>
          <cell r="C168" t="str">
            <v>OK</v>
          </cell>
          <cell r="D168" t="str">
            <v>OK</v>
          </cell>
        </row>
        <row r="169">
          <cell r="A169" t="str">
            <v>P10400</v>
          </cell>
          <cell r="B169" t="str">
            <v>Prime d'émission</v>
          </cell>
          <cell r="C169" t="str">
            <v>OK</v>
          </cell>
          <cell r="D169" t="str">
            <v>OK</v>
          </cell>
        </row>
        <row r="170">
          <cell r="A170" t="str">
            <v>P10600</v>
          </cell>
          <cell r="B170" t="str">
            <v>Autres réserves et report à nouveau</v>
          </cell>
          <cell r="C170" t="str">
            <v>OK</v>
          </cell>
          <cell r="D170" t="str">
            <v>OK</v>
          </cell>
        </row>
        <row r="171">
          <cell r="A171" t="str">
            <v>P10601</v>
          </cell>
          <cell r="B171" t="str">
            <v>Gains et pertes latents sur dérivés</v>
          </cell>
          <cell r="C171" t="str">
            <v>PB</v>
          </cell>
          <cell r="D171" t="str">
            <v>OK</v>
          </cell>
        </row>
        <row r="172">
          <cell r="A172" t="str">
            <v>P10602</v>
          </cell>
          <cell r="B172" t="str">
            <v>Réserves sur opérations sur variations de juste valeur sur dérivés de couverture</v>
          </cell>
          <cell r="C172" t="str">
            <v>PB</v>
          </cell>
          <cell r="D172" t="str">
            <v>OK</v>
          </cell>
        </row>
        <row r="173">
          <cell r="A173" t="str">
            <v>P10604</v>
          </cell>
          <cell r="B173" t="str">
            <v>Réserves sur dérivés (hors opérations de couverture)</v>
          </cell>
          <cell r="C173" t="str">
            <v>PB</v>
          </cell>
          <cell r="D173" t="str">
            <v>OK</v>
          </cell>
        </row>
        <row r="174">
          <cell r="A174" t="str">
            <v>P10605</v>
          </cell>
          <cell r="B174" t="str">
            <v>Réserves recyclables</v>
          </cell>
          <cell r="C174" t="str">
            <v>PB</v>
          </cell>
          <cell r="D174" t="str">
            <v>OK</v>
          </cell>
        </row>
        <row r="175">
          <cell r="A175" t="str">
            <v>P10610</v>
          </cell>
          <cell r="B175" t="str">
            <v>Réserves de consolidation groupe</v>
          </cell>
          <cell r="C175" t="str">
            <v>OK</v>
          </cell>
          <cell r="D175" t="str">
            <v>OK</v>
          </cell>
        </row>
        <row r="176">
          <cell r="A176" t="str">
            <v>P10620</v>
          </cell>
          <cell r="B176" t="str">
            <v>Réserves de conversion groupe</v>
          </cell>
          <cell r="C176" t="str">
            <v>OK</v>
          </cell>
          <cell r="D176" t="str">
            <v>OK</v>
          </cell>
        </row>
        <row r="177">
          <cell r="A177" t="str">
            <v>P10630</v>
          </cell>
          <cell r="B177" t="str">
            <v>Elim. auto contrôle, part groupe</v>
          </cell>
          <cell r="C177" t="str">
            <v>OK</v>
          </cell>
          <cell r="D177" t="str">
            <v>OK</v>
          </cell>
        </row>
        <row r="178">
          <cell r="A178" t="str">
            <v>P106A</v>
          </cell>
          <cell r="B178" t="str">
            <v>Elimination autocontrôle</v>
          </cell>
          <cell r="C178" t="str">
            <v>PB</v>
          </cell>
          <cell r="D178" t="str">
            <v>OK</v>
          </cell>
        </row>
        <row r="179">
          <cell r="A179" t="str">
            <v>P106C</v>
          </cell>
          <cell r="B179" t="str">
            <v>Réserves de conversion à ventiler</v>
          </cell>
          <cell r="C179" t="str">
            <v>OK</v>
          </cell>
          <cell r="D179" t="str">
            <v>OK</v>
          </cell>
        </row>
        <row r="180">
          <cell r="A180" t="str">
            <v>P106E</v>
          </cell>
          <cell r="B180" t="str">
            <v>Réserves - écritures de consolidation</v>
          </cell>
          <cell r="C180" t="str">
            <v>OK</v>
          </cell>
          <cell r="D180" t="str">
            <v>OK</v>
          </cell>
        </row>
        <row r="181">
          <cell r="A181" t="str">
            <v>P106F</v>
          </cell>
          <cell r="B181" t="str">
            <v>Réserves variation de juste valeur d'instruments financiers hors dérivés</v>
          </cell>
          <cell r="C181" t="str">
            <v>PB</v>
          </cell>
          <cell r="D181" t="str">
            <v>OK</v>
          </cell>
        </row>
        <row r="182">
          <cell r="A182" t="str">
            <v>P106G</v>
          </cell>
          <cell r="B182" t="str">
            <v>Réserves sur composant révision</v>
          </cell>
          <cell r="C182" t="str">
            <v>OK</v>
          </cell>
          <cell r="D182" t="str">
            <v>OK</v>
          </cell>
        </row>
        <row r="183">
          <cell r="A183" t="str">
            <v>P106L</v>
          </cell>
          <cell r="B183" t="str">
            <v>Réserves - écritures de consolidation IFRS</v>
          </cell>
          <cell r="C183" t="str">
            <v>OK</v>
          </cell>
          <cell r="D183" t="str">
            <v>OK</v>
          </cell>
        </row>
        <row r="184">
          <cell r="A184" t="str">
            <v>P106P</v>
          </cell>
          <cell r="B184" t="str">
            <v>Réserves - impact reclassement provisions IFRS</v>
          </cell>
          <cell r="C184" t="str">
            <v>OK</v>
          </cell>
          <cell r="D184" t="str">
            <v>OK</v>
          </cell>
        </row>
        <row r="185">
          <cell r="A185" t="str">
            <v>P106R</v>
          </cell>
          <cell r="B185" t="str">
            <v>Transfert Capital souscrit non appelé</v>
          </cell>
          <cell r="C185" t="str">
            <v>PB</v>
          </cell>
          <cell r="D185" t="str">
            <v>OK</v>
          </cell>
        </row>
        <row r="186">
          <cell r="A186" t="str">
            <v>P106S</v>
          </cell>
          <cell r="B186" t="str">
            <v>Transfert Actions propres</v>
          </cell>
          <cell r="C186" t="str">
            <v>PB</v>
          </cell>
          <cell r="D186" t="str">
            <v>OK</v>
          </cell>
        </row>
        <row r="187">
          <cell r="A187" t="str">
            <v>P106T</v>
          </cell>
          <cell r="B187" t="str">
            <v>Transfert Provisions sur actions propres</v>
          </cell>
          <cell r="C187" t="str">
            <v>PB</v>
          </cell>
          <cell r="D187" t="str">
            <v>OK</v>
          </cell>
        </row>
        <row r="188">
          <cell r="A188" t="str">
            <v>P10700</v>
          </cell>
          <cell r="B188" t="str">
            <v>Réserves hors groupe</v>
          </cell>
          <cell r="C188" t="str">
            <v>OK</v>
          </cell>
          <cell r="D188" t="str">
            <v>OK</v>
          </cell>
        </row>
        <row r="189">
          <cell r="A189" t="str">
            <v>P10710</v>
          </cell>
          <cell r="B189" t="str">
            <v>Réserves de conversion hors groupe</v>
          </cell>
          <cell r="C189" t="str">
            <v>OK</v>
          </cell>
          <cell r="D189" t="str">
            <v>OK</v>
          </cell>
        </row>
        <row r="190">
          <cell r="A190" t="str">
            <v>P10720</v>
          </cell>
          <cell r="B190" t="str">
            <v>Résultat hors groupe</v>
          </cell>
          <cell r="C190" t="str">
            <v>OK</v>
          </cell>
          <cell r="D190" t="str">
            <v>OK</v>
          </cell>
        </row>
        <row r="191">
          <cell r="A191" t="str">
            <v>P10730</v>
          </cell>
          <cell r="B191" t="str">
            <v>Elim. auto contrôle, part minos</v>
          </cell>
          <cell r="C191" t="str">
            <v>PB</v>
          </cell>
          <cell r="D191" t="str">
            <v>OK</v>
          </cell>
        </row>
        <row r="192">
          <cell r="A192" t="str">
            <v>P12000</v>
          </cell>
          <cell r="B192" t="str">
            <v>Résultat de l'exercice</v>
          </cell>
          <cell r="C192" t="str">
            <v>OK</v>
          </cell>
          <cell r="D192" t="str">
            <v>OK</v>
          </cell>
        </row>
        <row r="193">
          <cell r="A193" t="str">
            <v>P120L</v>
          </cell>
          <cell r="B193" t="str">
            <v>Résultat - écritures de consolidation</v>
          </cell>
          <cell r="C193" t="str">
            <v>PB</v>
          </cell>
          <cell r="D193" t="str">
            <v>OK</v>
          </cell>
        </row>
        <row r="194">
          <cell r="A194" t="str">
            <v>P13000</v>
          </cell>
          <cell r="B194" t="str">
            <v>Subventions d'investissement - brut</v>
          </cell>
          <cell r="C194" t="str">
            <v>OK</v>
          </cell>
          <cell r="D194" t="str">
            <v>OK</v>
          </cell>
        </row>
        <row r="195">
          <cell r="A195" t="str">
            <v>P13900</v>
          </cell>
          <cell r="B195" t="str">
            <v>Subv. invest. inscrites au cpte résultat</v>
          </cell>
          <cell r="C195" t="str">
            <v>OK</v>
          </cell>
          <cell r="D195" t="str">
            <v>OK</v>
          </cell>
        </row>
        <row r="196">
          <cell r="A196" t="str">
            <v>P14800</v>
          </cell>
          <cell r="B196" t="str">
            <v>Autres provisions réglementées</v>
          </cell>
          <cell r="C196" t="str">
            <v>OK</v>
          </cell>
          <cell r="D196" t="str">
            <v>OK</v>
          </cell>
        </row>
        <row r="197">
          <cell r="A197" t="str">
            <v>P15110</v>
          </cell>
          <cell r="B197" t="str">
            <v>Provisions pour litiges</v>
          </cell>
          <cell r="C197" t="str">
            <v>OK</v>
          </cell>
          <cell r="D197" t="str">
            <v>OK</v>
          </cell>
        </row>
        <row r="198">
          <cell r="A198" t="str">
            <v>P15111</v>
          </cell>
          <cell r="B198" t="str">
            <v>Provisions pour litiges - Courant</v>
          </cell>
          <cell r="C198" t="str">
            <v>OK</v>
          </cell>
          <cell r="D198" t="str">
            <v>OK</v>
          </cell>
        </row>
        <row r="199">
          <cell r="A199" t="str">
            <v>P15112</v>
          </cell>
          <cell r="B199" t="str">
            <v>Provisions pour litiges - Non courant</v>
          </cell>
          <cell r="C199" t="str">
            <v>OK</v>
          </cell>
          <cell r="D199" t="str">
            <v>OK</v>
          </cell>
        </row>
        <row r="200">
          <cell r="A200" t="str">
            <v>P15120</v>
          </cell>
          <cell r="B200" t="str">
            <v>Provisions pour coût terminaison contrats</v>
          </cell>
          <cell r="C200" t="str">
            <v>OK</v>
          </cell>
          <cell r="D200" t="str">
            <v>OK</v>
          </cell>
        </row>
        <row r="201">
          <cell r="A201" t="str">
            <v>P15121</v>
          </cell>
          <cell r="B201" t="str">
            <v>Provisions pour coût terminaison contrats - Courant</v>
          </cell>
          <cell r="C201" t="str">
            <v>OK</v>
          </cell>
          <cell r="D201" t="str">
            <v>OK</v>
          </cell>
        </row>
        <row r="202">
          <cell r="A202" t="str">
            <v>P15122</v>
          </cell>
          <cell r="B202" t="str">
            <v>Provisions pour coût terminaison contrats - Non courant</v>
          </cell>
          <cell r="C202" t="str">
            <v>OK</v>
          </cell>
          <cell r="D202" t="str">
            <v>OK</v>
          </cell>
        </row>
        <row r="203">
          <cell r="A203" t="str">
            <v>P15130</v>
          </cell>
          <cell r="B203" t="str">
            <v>Provisions pour avaries et manquants</v>
          </cell>
          <cell r="C203" t="str">
            <v>OK</v>
          </cell>
          <cell r="D203" t="str">
            <v>OK</v>
          </cell>
        </row>
        <row r="204">
          <cell r="A204" t="str">
            <v>P15131</v>
          </cell>
          <cell r="B204" t="str">
            <v>Provisions pour avaries et manquants - Courant</v>
          </cell>
          <cell r="C204" t="str">
            <v>OK</v>
          </cell>
          <cell r="D204" t="str">
            <v>OK</v>
          </cell>
        </row>
        <row r="205">
          <cell r="A205" t="str">
            <v>P15132</v>
          </cell>
          <cell r="B205" t="str">
            <v>Provisions pour avaries et manquants - Non courant</v>
          </cell>
          <cell r="C205" t="str">
            <v>OK</v>
          </cell>
          <cell r="D205" t="str">
            <v>OK</v>
          </cell>
        </row>
        <row r="206">
          <cell r="A206" t="str">
            <v>P15140</v>
          </cell>
          <cell r="B206" t="str">
            <v>Provision pour risques fiscaux et douaniers</v>
          </cell>
          <cell r="C206" t="str">
            <v>OK</v>
          </cell>
          <cell r="D206" t="str">
            <v>OK</v>
          </cell>
        </row>
        <row r="207">
          <cell r="A207" t="str">
            <v>P15141</v>
          </cell>
          <cell r="B207" t="str">
            <v>Provision pour risques fiscaux et douaniers - Courant</v>
          </cell>
          <cell r="C207" t="str">
            <v>OK</v>
          </cell>
          <cell r="D207" t="str">
            <v>OK</v>
          </cell>
        </row>
        <row r="208">
          <cell r="A208" t="str">
            <v>P15142</v>
          </cell>
          <cell r="B208" t="str">
            <v>Provision pour risques fiscaux et douaniers - Non courant</v>
          </cell>
          <cell r="C208" t="str">
            <v>OK</v>
          </cell>
          <cell r="D208" t="str">
            <v>OK</v>
          </cell>
        </row>
        <row r="209">
          <cell r="A209" t="str">
            <v>P15145</v>
          </cell>
          <cell r="B209" t="str">
            <v>Provision pour amiante</v>
          </cell>
          <cell r="C209" t="str">
            <v>PB</v>
          </cell>
          <cell r="D209" t="str">
            <v>OK</v>
          </cell>
        </row>
        <row r="210">
          <cell r="A210" t="str">
            <v>P15146</v>
          </cell>
          <cell r="B210" t="str">
            <v>Provision pour amiante - Courant</v>
          </cell>
          <cell r="C210" t="str">
            <v>PB</v>
          </cell>
          <cell r="D210" t="str">
            <v>OK</v>
          </cell>
        </row>
        <row r="211">
          <cell r="A211" t="str">
            <v>P15147</v>
          </cell>
          <cell r="B211" t="str">
            <v>Provision pour amiante - Non courant</v>
          </cell>
          <cell r="C211" t="str">
            <v>PB</v>
          </cell>
          <cell r="D211" t="str">
            <v>OK</v>
          </cell>
        </row>
        <row r="212">
          <cell r="A212" t="str">
            <v>P15150</v>
          </cell>
          <cell r="B212" t="str">
            <v>Provisions pour pertes de change</v>
          </cell>
          <cell r="C212" t="str">
            <v>OK</v>
          </cell>
          <cell r="D212" t="str">
            <v>OK</v>
          </cell>
        </row>
        <row r="213">
          <cell r="A213" t="str">
            <v>P15155</v>
          </cell>
          <cell r="B213" t="str">
            <v>Prov pour instrument financier</v>
          </cell>
          <cell r="C213" t="str">
            <v>PB</v>
          </cell>
          <cell r="D213" t="str">
            <v>OK</v>
          </cell>
        </row>
        <row r="214">
          <cell r="A214" t="str">
            <v>P15156</v>
          </cell>
          <cell r="B214" t="str">
            <v>Prov pour instrument financier - Courant</v>
          </cell>
          <cell r="C214" t="str">
            <v>PB</v>
          </cell>
          <cell r="D214" t="str">
            <v>OK</v>
          </cell>
        </row>
        <row r="215">
          <cell r="A215" t="str">
            <v>P15157</v>
          </cell>
          <cell r="B215" t="str">
            <v>Prov pour instrument financier - Non courant</v>
          </cell>
          <cell r="C215" t="str">
            <v>PB</v>
          </cell>
          <cell r="D215" t="str">
            <v>OK</v>
          </cell>
        </row>
        <row r="216">
          <cell r="A216" t="str">
            <v>P15160</v>
          </cell>
          <cell r="B216" t="str">
            <v>Provisions pour restructurations, plan social</v>
          </cell>
          <cell r="C216" t="str">
            <v>OK</v>
          </cell>
          <cell r="D216" t="str">
            <v>OK</v>
          </cell>
        </row>
        <row r="217">
          <cell r="A217" t="str">
            <v>P15161</v>
          </cell>
          <cell r="B217" t="str">
            <v>Provisions pour restructurations, plan social - Courant</v>
          </cell>
          <cell r="C217" t="str">
            <v>OK</v>
          </cell>
          <cell r="D217" t="str">
            <v>OK</v>
          </cell>
        </row>
        <row r="218">
          <cell r="A218" t="str">
            <v>P15162</v>
          </cell>
          <cell r="B218" t="str">
            <v>Provisions pour restructurations, plan social - Non courant</v>
          </cell>
          <cell r="C218" t="str">
            <v>OK</v>
          </cell>
          <cell r="D218" t="str">
            <v>OK</v>
          </cell>
        </row>
        <row r="219">
          <cell r="A219" t="str">
            <v>P15165</v>
          </cell>
          <cell r="B219" t="str">
            <v>Prov pour risque et charges du secteur financier</v>
          </cell>
          <cell r="C219" t="str">
            <v>PB</v>
          </cell>
          <cell r="D219" t="str">
            <v>OK</v>
          </cell>
        </row>
        <row r="220">
          <cell r="A220" t="str">
            <v>P15166</v>
          </cell>
          <cell r="B220" t="str">
            <v>Prov pour risque et charges du secteur financier - Courant</v>
          </cell>
          <cell r="C220" t="str">
            <v>PB</v>
          </cell>
          <cell r="D220" t="str">
            <v>OK</v>
          </cell>
        </row>
        <row r="221">
          <cell r="A221" t="str">
            <v>P15167</v>
          </cell>
          <cell r="B221" t="str">
            <v>Prov pour risque et charges du secteur financier - Non courant</v>
          </cell>
          <cell r="C221" t="str">
            <v>PB</v>
          </cell>
          <cell r="D221" t="str">
            <v>OK</v>
          </cell>
        </row>
        <row r="222">
          <cell r="A222" t="str">
            <v>P15170</v>
          </cell>
          <cell r="B222" t="str">
            <v>Provision pour risque sur filiale</v>
          </cell>
          <cell r="C222" t="str">
            <v>OK</v>
          </cell>
          <cell r="D222" t="str">
            <v>OK</v>
          </cell>
        </row>
        <row r="223">
          <cell r="A223" t="str">
            <v>P15171</v>
          </cell>
          <cell r="B223" t="str">
            <v>Provision pour risque sur filiale - Courant</v>
          </cell>
          <cell r="C223" t="str">
            <v>OK</v>
          </cell>
          <cell r="D223" t="str">
            <v>OK</v>
          </cell>
        </row>
        <row r="224">
          <cell r="A224" t="str">
            <v>P15172</v>
          </cell>
          <cell r="B224" t="str">
            <v>Provision pour risque sur filiale - Non courant</v>
          </cell>
          <cell r="C224" t="str">
            <v>OK</v>
          </cell>
          <cell r="D224" t="str">
            <v>OK</v>
          </cell>
        </row>
        <row r="225">
          <cell r="A225" t="str">
            <v>P15175</v>
          </cell>
          <cell r="B225" t="str">
            <v>Provision pour risques clients</v>
          </cell>
          <cell r="C225" t="str">
            <v>PB</v>
          </cell>
          <cell r="D225" t="str">
            <v>OK</v>
          </cell>
        </row>
        <row r="226">
          <cell r="A226" t="str">
            <v>P15176</v>
          </cell>
          <cell r="B226" t="str">
            <v>Provision pour risques clients - Courant</v>
          </cell>
          <cell r="C226" t="str">
            <v>PB</v>
          </cell>
          <cell r="D226" t="str">
            <v>OK</v>
          </cell>
        </row>
        <row r="227">
          <cell r="A227" t="str">
            <v>P15177</v>
          </cell>
          <cell r="B227" t="str">
            <v>Provision pour risques clients - Non courant</v>
          </cell>
          <cell r="C227" t="str">
            <v>PB</v>
          </cell>
          <cell r="D227" t="str">
            <v>OK</v>
          </cell>
        </row>
        <row r="228">
          <cell r="A228" t="str">
            <v>P15180</v>
          </cell>
          <cell r="B228" t="str">
            <v>Provisions pour  propre assureur</v>
          </cell>
          <cell r="C228" t="str">
            <v>OK</v>
          </cell>
          <cell r="D228" t="str">
            <v>OK</v>
          </cell>
        </row>
        <row r="229">
          <cell r="A229" t="str">
            <v>P15181</v>
          </cell>
          <cell r="B229" t="str">
            <v>Provisions pour propre assureur - Courant</v>
          </cell>
          <cell r="C229" t="str">
            <v>OK</v>
          </cell>
          <cell r="D229" t="str">
            <v>OK</v>
          </cell>
        </row>
        <row r="230">
          <cell r="A230" t="str">
            <v>P15182</v>
          </cell>
          <cell r="B230" t="str">
            <v>Provisions pour propre assureur - Non courant</v>
          </cell>
          <cell r="C230" t="str">
            <v>PB</v>
          </cell>
          <cell r="D230" t="str">
            <v>OK</v>
          </cell>
        </row>
        <row r="231">
          <cell r="A231" t="str">
            <v>P15190</v>
          </cell>
          <cell r="B231" t="str">
            <v>Provisions pour surfaces vides</v>
          </cell>
          <cell r="C231" t="str">
            <v>OK</v>
          </cell>
          <cell r="D231" t="str">
            <v>OK</v>
          </cell>
        </row>
        <row r="232">
          <cell r="A232" t="str">
            <v>P15191</v>
          </cell>
          <cell r="B232" t="str">
            <v>Provisions pour surfaces vides - Courant</v>
          </cell>
          <cell r="C232" t="str">
            <v>OK</v>
          </cell>
          <cell r="D232" t="str">
            <v>OK</v>
          </cell>
        </row>
        <row r="233">
          <cell r="A233" t="str">
            <v>P15192</v>
          </cell>
          <cell r="B233" t="str">
            <v>Provisions pour surfaces vides - Non courant</v>
          </cell>
          <cell r="C233" t="str">
            <v>OK</v>
          </cell>
          <cell r="D233" t="str">
            <v>OK</v>
          </cell>
        </row>
        <row r="234">
          <cell r="A234" t="str">
            <v>P15200</v>
          </cell>
          <cell r="B234" t="str">
            <v>Ecarts d'acquisition - passif</v>
          </cell>
          <cell r="C234" t="str">
            <v>OK</v>
          </cell>
          <cell r="D234" t="str">
            <v>OK</v>
          </cell>
        </row>
        <row r="235">
          <cell r="A235" t="str">
            <v>P15210</v>
          </cell>
          <cell r="B235" t="str">
            <v>Provision pour risques environnementaux</v>
          </cell>
          <cell r="C235" t="str">
            <v>PB</v>
          </cell>
          <cell r="D235" t="str">
            <v>OK</v>
          </cell>
        </row>
        <row r="236">
          <cell r="A236" t="str">
            <v>P15211</v>
          </cell>
          <cell r="B236" t="str">
            <v>Provision pour risques environnementaux - Courant</v>
          </cell>
          <cell r="C236" t="str">
            <v>PB</v>
          </cell>
          <cell r="D236" t="str">
            <v>OK</v>
          </cell>
        </row>
        <row r="237">
          <cell r="A237" t="str">
            <v>P15212</v>
          </cell>
          <cell r="B237" t="str">
            <v>Provision pour risques environnementaux - Non courant</v>
          </cell>
          <cell r="C237" t="str">
            <v>PB</v>
          </cell>
          <cell r="D237" t="str">
            <v>OK</v>
          </cell>
        </row>
        <row r="238">
          <cell r="A238" t="str">
            <v>P15251</v>
          </cell>
          <cell r="B238" t="str">
            <v>Provision pour grosses réparations biens de catégories 1</v>
          </cell>
          <cell r="C238" t="str">
            <v>PB</v>
          </cell>
          <cell r="D238" t="str">
            <v>OK</v>
          </cell>
        </row>
        <row r="239">
          <cell r="A239" t="str">
            <v>P15255</v>
          </cell>
          <cell r="B239" t="str">
            <v>Provision pour grosses réparations biens de catégories 2</v>
          </cell>
          <cell r="C239" t="str">
            <v>PB</v>
          </cell>
          <cell r="D239" t="str">
            <v>OK</v>
          </cell>
        </row>
        <row r="240">
          <cell r="A240" t="str">
            <v>P15300</v>
          </cell>
          <cell r="B240" t="str">
            <v>Provisions pour pensions et retraites</v>
          </cell>
          <cell r="C240" t="str">
            <v>OK</v>
          </cell>
          <cell r="D240" t="str">
            <v>OK</v>
          </cell>
        </row>
        <row r="241">
          <cell r="A241" t="str">
            <v>P15301</v>
          </cell>
          <cell r="B241" t="str">
            <v>Provisions pour pensions et retraites - Courant</v>
          </cell>
          <cell r="C241" t="str">
            <v>OK</v>
          </cell>
          <cell r="D241" t="str">
            <v>OK</v>
          </cell>
        </row>
        <row r="242">
          <cell r="A242" t="str">
            <v>P15302</v>
          </cell>
          <cell r="B242" t="str">
            <v>Provisions pour pensions et retraites - Non courant</v>
          </cell>
          <cell r="C242" t="str">
            <v>OK</v>
          </cell>
          <cell r="D242" t="str">
            <v>OK</v>
          </cell>
        </row>
        <row r="243">
          <cell r="A243" t="str">
            <v>P15400</v>
          </cell>
          <cell r="B243" t="str">
            <v>Provision TFR Italie</v>
          </cell>
          <cell r="C243" t="str">
            <v>OK</v>
          </cell>
          <cell r="D243" t="str">
            <v>OK</v>
          </cell>
        </row>
        <row r="244">
          <cell r="A244" t="str">
            <v>P15401</v>
          </cell>
          <cell r="B244" t="str">
            <v>Provision TFR Italie - Courant</v>
          </cell>
          <cell r="C244" t="str">
            <v>OK</v>
          </cell>
          <cell r="D244" t="str">
            <v>OK</v>
          </cell>
        </row>
        <row r="245">
          <cell r="A245" t="str">
            <v>P15402</v>
          </cell>
          <cell r="B245" t="str">
            <v>Provision TFR Italie - Non courant</v>
          </cell>
          <cell r="C245" t="str">
            <v>OK</v>
          </cell>
          <cell r="D245" t="str">
            <v>OK</v>
          </cell>
        </row>
        <row r="246">
          <cell r="A246" t="str">
            <v>P15500</v>
          </cell>
          <cell r="B246" t="str">
            <v>Provisions pour impôts</v>
          </cell>
          <cell r="C246" t="str">
            <v>OK</v>
          </cell>
          <cell r="D246" t="str">
            <v>OK</v>
          </cell>
        </row>
        <row r="247">
          <cell r="A247" t="str">
            <v>P15501</v>
          </cell>
          <cell r="B247" t="str">
            <v>Provisions pour impôts - Courant</v>
          </cell>
          <cell r="C247" t="str">
            <v>OK</v>
          </cell>
          <cell r="D247" t="str">
            <v>OK</v>
          </cell>
        </row>
        <row r="248">
          <cell r="A248" t="str">
            <v>P15502</v>
          </cell>
          <cell r="B248" t="str">
            <v>Provisions pour impôts - Non courant</v>
          </cell>
          <cell r="C248" t="str">
            <v>OK</v>
          </cell>
          <cell r="D248" t="str">
            <v>OK</v>
          </cell>
        </row>
        <row r="249">
          <cell r="A249" t="str">
            <v>P15510</v>
          </cell>
          <cell r="B249" t="str">
            <v>Provisions pour IFA</v>
          </cell>
          <cell r="C249" t="str">
            <v>OK</v>
          </cell>
          <cell r="D249" t="str">
            <v>OK</v>
          </cell>
        </row>
        <row r="250">
          <cell r="A250" t="str">
            <v>P15511</v>
          </cell>
          <cell r="B250" t="str">
            <v>Provisions pour IFA - Courant</v>
          </cell>
          <cell r="C250" t="str">
            <v>OK</v>
          </cell>
          <cell r="D250" t="str">
            <v>OK</v>
          </cell>
        </row>
        <row r="251">
          <cell r="A251" t="str">
            <v>P15512</v>
          </cell>
          <cell r="B251" t="str">
            <v>Provisions pour IFA - Non courant</v>
          </cell>
          <cell r="C251" t="str">
            <v>OK</v>
          </cell>
          <cell r="D251" t="str">
            <v>OK</v>
          </cell>
        </row>
        <row r="252">
          <cell r="A252" t="str">
            <v>P15550</v>
          </cell>
          <cell r="B252" t="str">
            <v>Provision pour médaille du travail</v>
          </cell>
          <cell r="C252" t="str">
            <v>OK</v>
          </cell>
          <cell r="D252" t="str">
            <v>OK</v>
          </cell>
        </row>
        <row r="253">
          <cell r="A253" t="str">
            <v>P15551</v>
          </cell>
          <cell r="B253" t="str">
            <v>Provision pour médaille du travail - Courant</v>
          </cell>
          <cell r="C253" t="str">
            <v>PB</v>
          </cell>
          <cell r="D253" t="str">
            <v>OK</v>
          </cell>
        </row>
        <row r="254">
          <cell r="A254" t="str">
            <v>P15552</v>
          </cell>
          <cell r="B254" t="str">
            <v>Provision pour médaille du travail - Non courant</v>
          </cell>
          <cell r="C254" t="str">
            <v>OK</v>
          </cell>
          <cell r="D254" t="str">
            <v>OK</v>
          </cell>
        </row>
        <row r="255">
          <cell r="A255" t="str">
            <v>P15600</v>
          </cell>
          <cell r="B255" t="str">
            <v>Provision pour garantie de Passif</v>
          </cell>
          <cell r="C255" t="str">
            <v>PB</v>
          </cell>
          <cell r="D255" t="str">
            <v>OK</v>
          </cell>
        </row>
        <row r="256">
          <cell r="A256" t="str">
            <v>P15601</v>
          </cell>
          <cell r="B256" t="str">
            <v>Provision pour garantie de Passif - Courant</v>
          </cell>
          <cell r="C256" t="str">
            <v>PB</v>
          </cell>
          <cell r="D256" t="str">
            <v>OK</v>
          </cell>
        </row>
        <row r="257">
          <cell r="A257" t="str">
            <v>P15602</v>
          </cell>
          <cell r="B257" t="str">
            <v>Provision pour garantie de Passif - Non courant</v>
          </cell>
          <cell r="C257" t="str">
            <v>PB</v>
          </cell>
          <cell r="D257" t="str">
            <v>OK</v>
          </cell>
        </row>
        <row r="258">
          <cell r="A258" t="str">
            <v>P15700</v>
          </cell>
          <cell r="B258" t="str">
            <v>Provisions pour grosses réparations</v>
          </cell>
          <cell r="C258" t="str">
            <v>OK</v>
          </cell>
          <cell r="D258" t="str">
            <v>OK</v>
          </cell>
        </row>
        <row r="259">
          <cell r="A259" t="str">
            <v>P15710</v>
          </cell>
          <cell r="B259" t="str">
            <v>Provision pour renouvellement des immobilisations en concession</v>
          </cell>
          <cell r="C259" t="str">
            <v>PB</v>
          </cell>
          <cell r="D259" t="str">
            <v>OK</v>
          </cell>
        </row>
        <row r="260">
          <cell r="A260" t="str">
            <v>P15750</v>
          </cell>
          <cell r="B260" t="str">
            <v>Provisions pour remise en état</v>
          </cell>
          <cell r="C260" t="str">
            <v>OK</v>
          </cell>
          <cell r="D260" t="str">
            <v>OK</v>
          </cell>
        </row>
        <row r="261">
          <cell r="A261" t="str">
            <v>P15751</v>
          </cell>
          <cell r="B261" t="str">
            <v>Provisions pour remise en état - Courant</v>
          </cell>
          <cell r="C261" t="str">
            <v>PB</v>
          </cell>
          <cell r="D261" t="str">
            <v>OK</v>
          </cell>
        </row>
        <row r="262">
          <cell r="A262" t="str">
            <v>P15752</v>
          </cell>
          <cell r="B262" t="str">
            <v>Provisions pour remise en état - Non courant</v>
          </cell>
          <cell r="C262" t="str">
            <v>OK</v>
          </cell>
          <cell r="D262" t="str">
            <v>OK</v>
          </cell>
        </row>
        <row r="263">
          <cell r="A263" t="str">
            <v>P15800</v>
          </cell>
          <cell r="B263" t="str">
            <v>Autres provisions pour risques et charges</v>
          </cell>
          <cell r="C263" t="str">
            <v>OK</v>
          </cell>
          <cell r="D263" t="str">
            <v>OK</v>
          </cell>
        </row>
        <row r="264">
          <cell r="A264" t="str">
            <v>P15801</v>
          </cell>
          <cell r="B264" t="str">
            <v>Autres provisions pour risques et charges - Courant</v>
          </cell>
          <cell r="C264" t="str">
            <v>OK</v>
          </cell>
          <cell r="D264" t="str">
            <v>OK</v>
          </cell>
        </row>
        <row r="265">
          <cell r="A265" t="str">
            <v>P15802</v>
          </cell>
          <cell r="B265" t="str">
            <v>Autres provisions pour risques et charges - Non courant</v>
          </cell>
          <cell r="C265" t="str">
            <v>OK</v>
          </cell>
          <cell r="D265" t="str">
            <v>OK</v>
          </cell>
        </row>
        <row r="266">
          <cell r="A266" t="str">
            <v>P15805</v>
          </cell>
          <cell r="B266" t="str">
            <v>Provisions pour location-financement (pickle lease)</v>
          </cell>
          <cell r="C266" t="str">
            <v>PB</v>
          </cell>
          <cell r="D266" t="str">
            <v>OK</v>
          </cell>
        </row>
        <row r="267">
          <cell r="A267" t="str">
            <v>P15806</v>
          </cell>
          <cell r="B267" t="str">
            <v>Provisions pour location-financement (pickle lease) - Courant</v>
          </cell>
          <cell r="C267" t="str">
            <v>PB</v>
          </cell>
          <cell r="D267" t="str">
            <v>OK</v>
          </cell>
        </row>
        <row r="268">
          <cell r="A268" t="str">
            <v>P15807</v>
          </cell>
          <cell r="B268" t="str">
            <v>Provisions pour location-financement (pickle lease) - Non courant</v>
          </cell>
          <cell r="C268" t="str">
            <v>PB</v>
          </cell>
          <cell r="D268" t="str">
            <v>OK</v>
          </cell>
        </row>
        <row r="269">
          <cell r="A269" t="str">
            <v>P15810</v>
          </cell>
          <cell r="B269" t="str">
            <v>Provisions pour location-financement (service contract)</v>
          </cell>
          <cell r="C269" t="str">
            <v>PB</v>
          </cell>
          <cell r="D269" t="str">
            <v>OK</v>
          </cell>
        </row>
        <row r="270">
          <cell r="A270" t="str">
            <v>P15811</v>
          </cell>
          <cell r="B270" t="str">
            <v>Provisions pour location-financement (service contract) - Courant</v>
          </cell>
          <cell r="C270" t="str">
            <v>PB</v>
          </cell>
          <cell r="D270" t="str">
            <v>OK</v>
          </cell>
        </row>
        <row r="271">
          <cell r="A271" t="str">
            <v>P15812</v>
          </cell>
          <cell r="B271" t="str">
            <v>Provisions pour location-financement (service contract) - Non courant</v>
          </cell>
          <cell r="C271" t="str">
            <v>PB</v>
          </cell>
          <cell r="D271" t="str">
            <v>OK</v>
          </cell>
        </row>
        <row r="272">
          <cell r="A272" t="str">
            <v>P15900</v>
          </cell>
          <cell r="B272" t="str">
            <v>Reprise - écarts d'acquisition - passif</v>
          </cell>
          <cell r="C272" t="str">
            <v>OK</v>
          </cell>
          <cell r="D272" t="str">
            <v>OK</v>
          </cell>
        </row>
        <row r="273">
          <cell r="A273" t="str">
            <v>P160A</v>
          </cell>
          <cell r="B273" t="str">
            <v>Ajustement sur dettes financières LMT</v>
          </cell>
          <cell r="C273" t="str">
            <v>OK</v>
          </cell>
          <cell r="D273" t="str">
            <v>OK</v>
          </cell>
        </row>
        <row r="274">
          <cell r="A274" t="str">
            <v>P16100</v>
          </cell>
          <cell r="B274" t="str">
            <v>Emprunts Obligataires</v>
          </cell>
          <cell r="C274" t="str">
            <v>PB</v>
          </cell>
          <cell r="D274" t="str">
            <v>OK</v>
          </cell>
        </row>
        <row r="275">
          <cell r="A275" t="str">
            <v>P16110</v>
          </cell>
          <cell r="B275" t="str">
            <v>Intérêts courus non échus sur emprunts obligataires</v>
          </cell>
          <cell r="C275" t="str">
            <v>PB</v>
          </cell>
          <cell r="D275" t="str">
            <v>OK</v>
          </cell>
        </row>
        <row r="276">
          <cell r="A276" t="str">
            <v>P16400</v>
          </cell>
          <cell r="B276" t="str">
            <v>Emprunts échéances &gt; 1 an</v>
          </cell>
          <cell r="C276" t="str">
            <v>OK</v>
          </cell>
          <cell r="D276" t="str">
            <v>OK</v>
          </cell>
        </row>
        <row r="277">
          <cell r="A277" t="str">
            <v>P16480</v>
          </cell>
          <cell r="B277" t="str">
            <v>Intérêts courus échéance &gt;1 an sur emprunts</v>
          </cell>
          <cell r="C277" t="str">
            <v>OK</v>
          </cell>
          <cell r="D277" t="str">
            <v>OK</v>
          </cell>
        </row>
        <row r="278">
          <cell r="A278" t="str">
            <v>P16500</v>
          </cell>
          <cell r="B278" t="str">
            <v>Emprunts échéances &lt; 1 an</v>
          </cell>
          <cell r="C278" t="str">
            <v>OK</v>
          </cell>
          <cell r="D278" t="str">
            <v>OK</v>
          </cell>
        </row>
        <row r="279">
          <cell r="A279" t="str">
            <v>P16510</v>
          </cell>
          <cell r="B279" t="str">
            <v>Billets de trésorerie émis</v>
          </cell>
          <cell r="C279" t="str">
            <v>PB</v>
          </cell>
          <cell r="D279" t="str">
            <v>OK</v>
          </cell>
        </row>
        <row r="280">
          <cell r="A280" t="str">
            <v>P16515</v>
          </cell>
          <cell r="B280" t="str">
            <v>Billets de trésorerie &lt; 3 mois</v>
          </cell>
          <cell r="C280" t="str">
            <v>PB</v>
          </cell>
          <cell r="D280" t="str">
            <v>PB</v>
          </cell>
        </row>
        <row r="281">
          <cell r="A281" t="str">
            <v>P16520</v>
          </cell>
          <cell r="B281" t="str">
            <v>Emprunts moyen terme négociables (EMTN) émis</v>
          </cell>
          <cell r="C281" t="str">
            <v>PB</v>
          </cell>
          <cell r="D281" t="str">
            <v>OK</v>
          </cell>
        </row>
        <row r="282">
          <cell r="A282" t="str">
            <v>P16530</v>
          </cell>
          <cell r="B282" t="str">
            <v>Gages espèces</v>
          </cell>
          <cell r="C282" t="str">
            <v>PB</v>
          </cell>
          <cell r="D282" t="str">
            <v>OK</v>
          </cell>
        </row>
        <row r="283">
          <cell r="A283" t="str">
            <v>P16535</v>
          </cell>
          <cell r="B283" t="str">
            <v>Gages d'espèces &lt; 3 mois</v>
          </cell>
          <cell r="C283" t="str">
            <v>PB</v>
          </cell>
          <cell r="D283" t="str">
            <v>PB</v>
          </cell>
        </row>
        <row r="284">
          <cell r="A284" t="str">
            <v>P16540</v>
          </cell>
          <cell r="B284" t="str">
            <v>Autres dettes de trésorerie</v>
          </cell>
          <cell r="C284" t="str">
            <v>PB</v>
          </cell>
          <cell r="D284" t="str">
            <v>OK</v>
          </cell>
        </row>
        <row r="285">
          <cell r="A285" t="str">
            <v>P16545</v>
          </cell>
          <cell r="B285" t="str">
            <v xml:space="preserve">Autres dettes de trésorerie (&lt; 3 mois à l'origine) </v>
          </cell>
          <cell r="C285" t="str">
            <v>PB</v>
          </cell>
          <cell r="D285" t="str">
            <v>PB</v>
          </cell>
        </row>
        <row r="286">
          <cell r="A286" t="str">
            <v>P16580</v>
          </cell>
          <cell r="B286" t="str">
            <v>Intérêts courus échéance &lt; 1 an sur emprunts</v>
          </cell>
          <cell r="C286" t="str">
            <v>OK</v>
          </cell>
          <cell r="D286" t="str">
            <v>OK</v>
          </cell>
        </row>
        <row r="287">
          <cell r="A287" t="str">
            <v>P16590</v>
          </cell>
          <cell r="B287" t="str">
            <v>Intérêts courus non échus sur dettes de trésorerie</v>
          </cell>
          <cell r="C287" t="str">
            <v>PB</v>
          </cell>
          <cell r="D287" t="str">
            <v>OK</v>
          </cell>
        </row>
        <row r="288">
          <cell r="A288" t="str">
            <v>P16600</v>
          </cell>
          <cell r="B288" t="str">
            <v>Participation des salariés</v>
          </cell>
          <cell r="C288" t="str">
            <v>OK</v>
          </cell>
          <cell r="D288" t="str">
            <v>OK</v>
          </cell>
        </row>
        <row r="289">
          <cell r="A289" t="str">
            <v>P40100</v>
          </cell>
          <cell r="B289" t="str">
            <v>Dettes fournisseurs</v>
          </cell>
          <cell r="C289" t="str">
            <v>OK</v>
          </cell>
          <cell r="D289" t="str">
            <v>OK</v>
          </cell>
        </row>
        <row r="290">
          <cell r="A290" t="str">
            <v>P40500</v>
          </cell>
          <cell r="B290" t="str">
            <v>Dettes s/ acquis. d'immo. incorp.</v>
          </cell>
          <cell r="C290" t="str">
            <v>OK</v>
          </cell>
          <cell r="D290" t="str">
            <v>OK</v>
          </cell>
        </row>
        <row r="291">
          <cell r="A291" t="str">
            <v>P40510</v>
          </cell>
          <cell r="B291" t="str">
            <v>Dettes s/ acquis. d'immo. corp.</v>
          </cell>
          <cell r="C291" t="str">
            <v>OK</v>
          </cell>
          <cell r="D291" t="str">
            <v>OK</v>
          </cell>
        </row>
        <row r="292">
          <cell r="A292" t="str">
            <v>P40560</v>
          </cell>
          <cell r="B292" t="str">
            <v>Dettes s/ acquis. de titres</v>
          </cell>
          <cell r="C292" t="str">
            <v>OK</v>
          </cell>
          <cell r="D292" t="str">
            <v>OK</v>
          </cell>
        </row>
        <row r="293">
          <cell r="A293" t="str">
            <v>P41910</v>
          </cell>
          <cell r="B293" t="str">
            <v>Clients - avances &amp; acomptes reçus</v>
          </cell>
          <cell r="C293" t="str">
            <v>OK</v>
          </cell>
          <cell r="D293" t="str">
            <v>OK</v>
          </cell>
        </row>
        <row r="294">
          <cell r="A294" t="str">
            <v>P42100</v>
          </cell>
          <cell r="B294" t="str">
            <v>Personnel et comptes rattachés</v>
          </cell>
          <cell r="C294" t="str">
            <v>OK</v>
          </cell>
          <cell r="D294" t="str">
            <v>OK</v>
          </cell>
        </row>
        <row r="295">
          <cell r="A295" t="str">
            <v>P43100</v>
          </cell>
          <cell r="B295" t="str">
            <v>Etat et collectivités publiques</v>
          </cell>
          <cell r="C295" t="str">
            <v>OK</v>
          </cell>
          <cell r="D295" t="str">
            <v>OK</v>
          </cell>
        </row>
        <row r="296">
          <cell r="A296" t="str">
            <v>P44000</v>
          </cell>
          <cell r="B296" t="str">
            <v>Etat - impôts sur les bénéfices</v>
          </cell>
          <cell r="C296" t="str">
            <v>OK</v>
          </cell>
          <cell r="D296" t="str">
            <v>OK</v>
          </cell>
        </row>
        <row r="297">
          <cell r="A297" t="str">
            <v>P44100</v>
          </cell>
          <cell r="B297" t="str">
            <v>Impôts différés - passif</v>
          </cell>
          <cell r="C297" t="str">
            <v>OK</v>
          </cell>
          <cell r="D297" t="str">
            <v>OK</v>
          </cell>
        </row>
        <row r="298">
          <cell r="A298" t="str">
            <v>P4410E</v>
          </cell>
          <cell r="B298" t="str">
            <v>Impôts différés à imputer</v>
          </cell>
          <cell r="C298" t="str">
            <v>PB</v>
          </cell>
          <cell r="D298" t="str">
            <v>OK</v>
          </cell>
        </row>
        <row r="299">
          <cell r="A299" t="str">
            <v>P45000</v>
          </cell>
          <cell r="B299" t="str">
            <v>Comptes courants financiers - passif</v>
          </cell>
          <cell r="C299" t="str">
            <v>OK</v>
          </cell>
          <cell r="D299" t="str">
            <v>OK</v>
          </cell>
        </row>
        <row r="300">
          <cell r="A300" t="str">
            <v>P45700</v>
          </cell>
          <cell r="B300" t="str">
            <v>Dividendes à payer</v>
          </cell>
          <cell r="C300" t="str">
            <v>OK</v>
          </cell>
          <cell r="D300" t="str">
            <v>OK</v>
          </cell>
        </row>
        <row r="301">
          <cell r="A301" t="str">
            <v>P45810</v>
          </cell>
          <cell r="B301" t="str">
            <v>Compte courant / IS intégration fiscale</v>
          </cell>
          <cell r="C301" t="str">
            <v>OK</v>
          </cell>
          <cell r="D301" t="str">
            <v>OK</v>
          </cell>
        </row>
        <row r="302">
          <cell r="A302" t="str">
            <v>P460A</v>
          </cell>
          <cell r="B302" t="str">
            <v>Ajustement sur comptes de BFR</v>
          </cell>
          <cell r="C302" t="str">
            <v>OK</v>
          </cell>
          <cell r="D302" t="str">
            <v>OK</v>
          </cell>
        </row>
        <row r="303">
          <cell r="A303" t="str">
            <v>P460L</v>
          </cell>
          <cell r="B303" t="str">
            <v>Liaison élim. intercos bilan exploitation</v>
          </cell>
          <cell r="C303" t="str">
            <v>OK</v>
          </cell>
          <cell r="D303" t="str">
            <v>OK</v>
          </cell>
        </row>
        <row r="304">
          <cell r="A304" t="str">
            <v>P46100</v>
          </cell>
          <cell r="B304" t="str">
            <v>Autres créditeurs</v>
          </cell>
          <cell r="C304" t="str">
            <v>OK</v>
          </cell>
          <cell r="D304" t="str">
            <v>OK</v>
          </cell>
        </row>
        <row r="305">
          <cell r="A305" t="str">
            <v>P46120</v>
          </cell>
          <cell r="B305" t="str">
            <v>Dettes correspondants</v>
          </cell>
          <cell r="C305" t="str">
            <v>OK</v>
          </cell>
          <cell r="D305" t="str">
            <v>OK</v>
          </cell>
        </row>
        <row r="306">
          <cell r="A306" t="str">
            <v>P46125</v>
          </cell>
          <cell r="B306" t="str">
            <v>Comptes courants non financiers</v>
          </cell>
          <cell r="C306" t="str">
            <v>PB</v>
          </cell>
          <cell r="D306" t="str">
            <v>OK</v>
          </cell>
        </row>
        <row r="307">
          <cell r="A307" t="str">
            <v>P46200</v>
          </cell>
          <cell r="B307" t="str">
            <v>Autres dettes d'exploitation</v>
          </cell>
          <cell r="C307" t="str">
            <v>OK</v>
          </cell>
          <cell r="D307" t="str">
            <v>OK</v>
          </cell>
        </row>
        <row r="308">
          <cell r="A308" t="str">
            <v>P462L</v>
          </cell>
          <cell r="B308" t="str">
            <v>Liaison élim. intercos bilan - financier LT</v>
          </cell>
          <cell r="C308" t="str">
            <v>OK</v>
          </cell>
          <cell r="D308" t="str">
            <v>OK</v>
          </cell>
        </row>
        <row r="309">
          <cell r="A309" t="str">
            <v>P46300</v>
          </cell>
          <cell r="B309" t="str">
            <v>Dérivés passifs</v>
          </cell>
          <cell r="C309" t="str">
            <v>PB</v>
          </cell>
          <cell r="D309" t="str">
            <v>OK</v>
          </cell>
        </row>
        <row r="310">
          <cell r="A310" t="str">
            <v>P464L</v>
          </cell>
          <cell r="B310" t="str">
            <v>Liaison élim. intercos bilan clients fournisseurs</v>
          </cell>
          <cell r="C310" t="str">
            <v>OK</v>
          </cell>
          <cell r="D310" t="str">
            <v>OK</v>
          </cell>
        </row>
        <row r="311">
          <cell r="A311" t="str">
            <v>P466A</v>
          </cell>
          <cell r="B311" t="str">
            <v>Ajustement sur comptes de trésorerie</v>
          </cell>
          <cell r="C311" t="str">
            <v>OK</v>
          </cell>
          <cell r="D311" t="str">
            <v>OK</v>
          </cell>
        </row>
        <row r="312">
          <cell r="A312" t="str">
            <v>P466L</v>
          </cell>
          <cell r="B312" t="str">
            <v>Liaison élim. intercos trésorerie</v>
          </cell>
          <cell r="C312" t="str">
            <v>OK</v>
          </cell>
          <cell r="D312" t="str">
            <v>OK</v>
          </cell>
        </row>
        <row r="313">
          <cell r="A313" t="str">
            <v>P46820</v>
          </cell>
          <cell r="B313" t="str">
            <v>Services Annexes à vocation sociale</v>
          </cell>
          <cell r="C313" t="str">
            <v>PB</v>
          </cell>
          <cell r="D313" t="str">
            <v>OK</v>
          </cell>
        </row>
        <row r="314">
          <cell r="A314" t="str">
            <v>P46860</v>
          </cell>
          <cell r="B314" t="str">
            <v>Quote part résultat SNC, SCI, GIE (charges)</v>
          </cell>
          <cell r="C314" t="str">
            <v>OK</v>
          </cell>
          <cell r="D314" t="str">
            <v>OK</v>
          </cell>
        </row>
        <row r="315">
          <cell r="A315" t="str">
            <v>P468A</v>
          </cell>
          <cell r="B315" t="str">
            <v>Ajustement sur dettes financières CT</v>
          </cell>
          <cell r="C315" t="str">
            <v>OK</v>
          </cell>
          <cell r="D315" t="str">
            <v>OK</v>
          </cell>
        </row>
        <row r="316">
          <cell r="A316" t="str">
            <v>P468L</v>
          </cell>
          <cell r="B316" t="str">
            <v>Liaison élim. intercos dettes fin. CT</v>
          </cell>
          <cell r="C316" t="str">
            <v>OK</v>
          </cell>
          <cell r="D316" t="str">
            <v>OK</v>
          </cell>
        </row>
        <row r="317">
          <cell r="A317" t="str">
            <v>P470A</v>
          </cell>
          <cell r="B317" t="str">
            <v>Ajustement sur autres dettes diverses</v>
          </cell>
          <cell r="C317" t="str">
            <v>OK</v>
          </cell>
          <cell r="D317" t="str">
            <v>OK</v>
          </cell>
        </row>
        <row r="318">
          <cell r="A318" t="str">
            <v>P47700</v>
          </cell>
          <cell r="B318" t="str">
            <v>Ecart de conversion - passif</v>
          </cell>
          <cell r="C318" t="str">
            <v>OK</v>
          </cell>
          <cell r="D318" t="str">
            <v>OK</v>
          </cell>
        </row>
        <row r="319">
          <cell r="A319" t="str">
            <v>P47710</v>
          </cell>
          <cell r="B319" t="str">
            <v>Ecart de conversion - passif couvert</v>
          </cell>
          <cell r="C319" t="str">
            <v>PB</v>
          </cell>
          <cell r="D319" t="str">
            <v>PB</v>
          </cell>
        </row>
        <row r="320">
          <cell r="A320" t="str">
            <v>P48000</v>
          </cell>
          <cell r="B320" t="str">
            <v>Service annexe de la dette</v>
          </cell>
          <cell r="C320" t="str">
            <v>PB</v>
          </cell>
          <cell r="D320" t="str">
            <v>OK</v>
          </cell>
        </row>
        <row r="321">
          <cell r="A321" t="str">
            <v>P48700</v>
          </cell>
          <cell r="B321" t="str">
            <v>Produits constatés d'avance</v>
          </cell>
          <cell r="C321" t="str">
            <v>OK</v>
          </cell>
          <cell r="D321" t="str">
            <v>OK</v>
          </cell>
        </row>
        <row r="322">
          <cell r="A322" t="str">
            <v>P487A</v>
          </cell>
          <cell r="B322" t="str">
            <v>Ajustement sur les comptes de régul</v>
          </cell>
          <cell r="C322" t="str">
            <v>OK</v>
          </cell>
          <cell r="D322" t="str">
            <v>OK</v>
          </cell>
        </row>
        <row r="323">
          <cell r="A323" t="str">
            <v>P51000</v>
          </cell>
          <cell r="B323" t="str">
            <v>Concours bancaires courants</v>
          </cell>
          <cell r="C323" t="str">
            <v>OK</v>
          </cell>
          <cell r="D323" t="str">
            <v>OK</v>
          </cell>
        </row>
        <row r="324">
          <cell r="A324" t="str">
            <v>P51800</v>
          </cell>
          <cell r="B324" t="str">
            <v>Intérêts courus à payer</v>
          </cell>
          <cell r="C324" t="str">
            <v>OK</v>
          </cell>
          <cell r="D324" t="str">
            <v>OK</v>
          </cell>
        </row>
        <row r="325">
          <cell r="A325" t="str">
            <v>R60101</v>
          </cell>
          <cell r="B325" t="str">
            <v>Pièces et consommables</v>
          </cell>
          <cell r="C325" t="str">
            <v>OK</v>
          </cell>
          <cell r="D325" t="str">
            <v>OK</v>
          </cell>
        </row>
        <row r="326">
          <cell r="A326" t="str">
            <v>R60201</v>
          </cell>
          <cell r="B326" t="str">
            <v>Carburant</v>
          </cell>
          <cell r="C326" t="str">
            <v>OK</v>
          </cell>
          <cell r="D326" t="str">
            <v>OK</v>
          </cell>
        </row>
        <row r="327">
          <cell r="A327" t="str">
            <v>R60300</v>
          </cell>
          <cell r="B327" t="str">
            <v>Variation de Stocks</v>
          </cell>
          <cell r="C327" t="str">
            <v>OK</v>
          </cell>
          <cell r="D327" t="str">
            <v>OK</v>
          </cell>
        </row>
        <row r="328">
          <cell r="A328" t="str">
            <v>R61000</v>
          </cell>
          <cell r="B328" t="str">
            <v>Sous-traitance</v>
          </cell>
          <cell r="C328" t="str">
            <v>OK</v>
          </cell>
          <cell r="D328" t="str">
            <v>OK</v>
          </cell>
        </row>
        <row r="329">
          <cell r="A329" t="str">
            <v>R610L</v>
          </cell>
          <cell r="B329" t="str">
            <v>Liaison élim intercos résultat -Marge brute</v>
          </cell>
          <cell r="C329" t="str">
            <v>OK</v>
          </cell>
          <cell r="D329" t="str">
            <v>OK</v>
          </cell>
        </row>
        <row r="330">
          <cell r="A330" t="str">
            <v>R61190</v>
          </cell>
          <cell r="B330" t="str">
            <v>Traction ferroviaire</v>
          </cell>
          <cell r="C330" t="str">
            <v>PB</v>
          </cell>
          <cell r="D330" t="str">
            <v>OK</v>
          </cell>
        </row>
        <row r="331">
          <cell r="A331" t="str">
            <v>R61221</v>
          </cell>
          <cell r="B331" t="str">
            <v>Redevances crédit-bail autres matériels</v>
          </cell>
          <cell r="C331" t="str">
            <v>OK</v>
          </cell>
          <cell r="D331" t="str">
            <v>OK</v>
          </cell>
        </row>
        <row r="332">
          <cell r="A332" t="str">
            <v>R61222</v>
          </cell>
          <cell r="B332" t="str">
            <v>Redevances crédit-bail autres matériels Structure</v>
          </cell>
          <cell r="C332" t="str">
            <v>OK</v>
          </cell>
          <cell r="D332" t="str">
            <v>OK</v>
          </cell>
        </row>
        <row r="333">
          <cell r="A333" t="str">
            <v>R61231</v>
          </cell>
          <cell r="B333" t="str">
            <v>Redevances crédit-bail Mat transport</v>
          </cell>
          <cell r="C333" t="str">
            <v>OK</v>
          </cell>
          <cell r="D333" t="str">
            <v>OK</v>
          </cell>
        </row>
        <row r="334">
          <cell r="A334" t="str">
            <v>R61251</v>
          </cell>
          <cell r="B334" t="str">
            <v>Redevances de crédit bail immobilier</v>
          </cell>
          <cell r="C334" t="str">
            <v>OK</v>
          </cell>
          <cell r="D334" t="str">
            <v>OK</v>
          </cell>
        </row>
        <row r="335">
          <cell r="A335" t="str">
            <v>R61252</v>
          </cell>
          <cell r="B335" t="str">
            <v>Redevances de crédit bail immobilier Structure</v>
          </cell>
          <cell r="C335" t="str">
            <v>OK</v>
          </cell>
          <cell r="D335" t="str">
            <v>OK</v>
          </cell>
        </row>
        <row r="336">
          <cell r="A336" t="str">
            <v>R61321</v>
          </cell>
          <cell r="B336" t="str">
            <v>Locations immobilières, exploitation</v>
          </cell>
          <cell r="C336" t="str">
            <v>OK</v>
          </cell>
          <cell r="D336" t="str">
            <v>OK</v>
          </cell>
        </row>
        <row r="337">
          <cell r="A337" t="str">
            <v>R61322</v>
          </cell>
          <cell r="B337" t="str">
            <v>Locations immobilières Structure</v>
          </cell>
          <cell r="C337" t="str">
            <v>OK</v>
          </cell>
          <cell r="D337" t="str">
            <v>OK</v>
          </cell>
        </row>
        <row r="338">
          <cell r="A338" t="str">
            <v>R61351</v>
          </cell>
          <cell r="B338" t="str">
            <v>Location matériel de transport</v>
          </cell>
          <cell r="C338" t="str">
            <v>OK</v>
          </cell>
          <cell r="D338" t="str">
            <v>OK</v>
          </cell>
        </row>
        <row r="339">
          <cell r="A339" t="str">
            <v>R61352</v>
          </cell>
          <cell r="B339" t="str">
            <v>Location mobilières Structure</v>
          </cell>
          <cell r="C339" t="str">
            <v>OK</v>
          </cell>
          <cell r="D339" t="str">
            <v>OK</v>
          </cell>
        </row>
        <row r="340">
          <cell r="A340" t="str">
            <v>R61361</v>
          </cell>
          <cell r="B340" t="str">
            <v>Location autres matériels</v>
          </cell>
          <cell r="C340" t="str">
            <v>OK</v>
          </cell>
          <cell r="D340" t="str">
            <v>OK</v>
          </cell>
        </row>
        <row r="341">
          <cell r="A341" t="str">
            <v>R61400</v>
          </cell>
          <cell r="B341" t="str">
            <v>Charges locatives et de copropriété</v>
          </cell>
          <cell r="C341" t="str">
            <v>PB</v>
          </cell>
          <cell r="D341" t="str">
            <v>OK</v>
          </cell>
        </row>
        <row r="342">
          <cell r="A342" t="str">
            <v>R61501</v>
          </cell>
          <cell r="B342" t="str">
            <v>Entretien Matériel transport</v>
          </cell>
          <cell r="C342" t="str">
            <v>OK</v>
          </cell>
          <cell r="D342" t="str">
            <v>OK</v>
          </cell>
        </row>
        <row r="343">
          <cell r="A343" t="str">
            <v>R61502</v>
          </cell>
          <cell r="B343" t="str">
            <v>Entretien - Composant Révision</v>
          </cell>
          <cell r="C343" t="str">
            <v>OK</v>
          </cell>
          <cell r="D343" t="str">
            <v>PB</v>
          </cell>
        </row>
        <row r="344">
          <cell r="A344" t="str">
            <v>R61551</v>
          </cell>
          <cell r="B344" t="str">
            <v>Entretien Autres biens</v>
          </cell>
          <cell r="C344" t="str">
            <v>OK</v>
          </cell>
          <cell r="D344" t="str">
            <v>OK</v>
          </cell>
        </row>
        <row r="345">
          <cell r="A345" t="str">
            <v>R61552</v>
          </cell>
          <cell r="B345" t="str">
            <v>Entretien Autres biens Structure</v>
          </cell>
          <cell r="C345" t="str">
            <v>OK</v>
          </cell>
          <cell r="D345" t="str">
            <v>OK</v>
          </cell>
        </row>
        <row r="346">
          <cell r="A346" t="str">
            <v>R61601</v>
          </cell>
          <cell r="B346" t="str">
            <v>Primes d'assurance</v>
          </cell>
          <cell r="C346" t="str">
            <v>OK</v>
          </cell>
          <cell r="D346" t="str">
            <v>OK</v>
          </cell>
        </row>
        <row r="347">
          <cell r="A347" t="str">
            <v>R61602</v>
          </cell>
          <cell r="B347" t="str">
            <v>Primes d'assurance Structure</v>
          </cell>
          <cell r="C347" t="str">
            <v>OK</v>
          </cell>
          <cell r="D347" t="str">
            <v>OK</v>
          </cell>
        </row>
        <row r="348">
          <cell r="A348" t="str">
            <v>R618A</v>
          </cell>
          <cell r="B348" t="str">
            <v>Ajust Marge brute intra-gpe</v>
          </cell>
          <cell r="C348" t="str">
            <v>OK</v>
          </cell>
          <cell r="D348" t="str">
            <v>OK</v>
          </cell>
        </row>
        <row r="349">
          <cell r="A349" t="str">
            <v>R62101</v>
          </cell>
          <cell r="B349" t="str">
            <v>Personnel détaché</v>
          </cell>
          <cell r="C349" t="str">
            <v>OK</v>
          </cell>
          <cell r="D349" t="str">
            <v>OK</v>
          </cell>
        </row>
        <row r="350">
          <cell r="A350" t="str">
            <v>R62102</v>
          </cell>
          <cell r="B350" t="str">
            <v>Personnel détaché Structure</v>
          </cell>
          <cell r="C350" t="str">
            <v>OK</v>
          </cell>
          <cell r="D350" t="str">
            <v>OK</v>
          </cell>
        </row>
        <row r="351">
          <cell r="A351" t="str">
            <v>R62151</v>
          </cell>
          <cell r="B351" t="str">
            <v>Personnel intérimaire</v>
          </cell>
          <cell r="C351" t="str">
            <v>OK</v>
          </cell>
          <cell r="D351" t="str">
            <v>OK</v>
          </cell>
        </row>
        <row r="352">
          <cell r="A352" t="str">
            <v>R62152</v>
          </cell>
          <cell r="B352" t="str">
            <v>Personnel intérimaire Structure</v>
          </cell>
          <cell r="C352" t="str">
            <v>OK</v>
          </cell>
          <cell r="D352" t="str">
            <v>OK</v>
          </cell>
        </row>
        <row r="353">
          <cell r="A353" t="str">
            <v>R62202</v>
          </cell>
          <cell r="B353" t="str">
            <v>Etudes et honoraires</v>
          </cell>
          <cell r="C353" t="str">
            <v>OK</v>
          </cell>
          <cell r="D353" t="str">
            <v>OK</v>
          </cell>
        </row>
        <row r="354">
          <cell r="A354" t="str">
            <v>R62302</v>
          </cell>
          <cell r="B354" t="str">
            <v>Publicité, communication</v>
          </cell>
          <cell r="C354" t="str">
            <v>OK</v>
          </cell>
          <cell r="D354" t="str">
            <v>OK</v>
          </cell>
        </row>
        <row r="355">
          <cell r="A355" t="str">
            <v>R62400</v>
          </cell>
          <cell r="B355" t="str">
            <v>Transports de biens et transports collectif du personnel</v>
          </cell>
          <cell r="C355" t="str">
            <v>PB</v>
          </cell>
          <cell r="D355" t="str">
            <v>OK</v>
          </cell>
        </row>
        <row r="356">
          <cell r="A356" t="str">
            <v>R62501</v>
          </cell>
          <cell r="B356" t="str">
            <v>Déplacements, missions et réceptions</v>
          </cell>
          <cell r="C356" t="str">
            <v>OK</v>
          </cell>
          <cell r="D356" t="str">
            <v>OK</v>
          </cell>
        </row>
        <row r="357">
          <cell r="A357" t="str">
            <v>R62502</v>
          </cell>
          <cell r="B357" t="str">
            <v>Déplacements, missions et réceptions Structure</v>
          </cell>
          <cell r="C357" t="str">
            <v>OK</v>
          </cell>
          <cell r="D357" t="str">
            <v>OK</v>
          </cell>
        </row>
        <row r="358">
          <cell r="A358" t="str">
            <v>R62611</v>
          </cell>
          <cell r="B358" t="str">
            <v>Frais postaux et de télécom.</v>
          </cell>
          <cell r="C358" t="str">
            <v>OK</v>
          </cell>
          <cell r="D358" t="str">
            <v>OK</v>
          </cell>
        </row>
        <row r="359">
          <cell r="A359" t="str">
            <v>R62612</v>
          </cell>
          <cell r="B359" t="str">
            <v>Frais postaux et de télécom. Structure</v>
          </cell>
          <cell r="C359" t="str">
            <v>OK</v>
          </cell>
          <cell r="D359" t="str">
            <v>OK</v>
          </cell>
        </row>
        <row r="360">
          <cell r="A360" t="str">
            <v>R62702</v>
          </cell>
          <cell r="B360" t="str">
            <v>Services bancaires et assimilés</v>
          </cell>
          <cell r="C360" t="str">
            <v>OK</v>
          </cell>
          <cell r="D360" t="str">
            <v>OK</v>
          </cell>
        </row>
        <row r="361">
          <cell r="A361" t="str">
            <v>R62801</v>
          </cell>
          <cell r="B361" t="str">
            <v>Autres charges</v>
          </cell>
          <cell r="C361" t="str">
            <v>OK</v>
          </cell>
          <cell r="D361" t="str">
            <v>OK</v>
          </cell>
        </row>
        <row r="362">
          <cell r="A362" t="str">
            <v>R62802</v>
          </cell>
          <cell r="B362" t="str">
            <v>Autres charges Structure</v>
          </cell>
          <cell r="C362" t="str">
            <v>OK</v>
          </cell>
          <cell r="D362" t="str">
            <v>OK</v>
          </cell>
        </row>
        <row r="363">
          <cell r="A363" t="str">
            <v>R62811</v>
          </cell>
          <cell r="B363" t="str">
            <v>Péage</v>
          </cell>
          <cell r="C363" t="str">
            <v>OK</v>
          </cell>
          <cell r="D363" t="str">
            <v>OK</v>
          </cell>
        </row>
        <row r="364">
          <cell r="A364" t="str">
            <v>R62821</v>
          </cell>
          <cell r="B364" t="str">
            <v>Prestations informatiques</v>
          </cell>
          <cell r="C364" t="str">
            <v>OK</v>
          </cell>
          <cell r="D364" t="str">
            <v>OK</v>
          </cell>
        </row>
        <row r="365">
          <cell r="A365" t="str">
            <v>R62822</v>
          </cell>
          <cell r="B365" t="str">
            <v>Prestations informatiques Structure</v>
          </cell>
          <cell r="C365" t="str">
            <v>OK</v>
          </cell>
          <cell r="D365" t="str">
            <v>OK</v>
          </cell>
        </row>
        <row r="366">
          <cell r="A366" t="str">
            <v>R62850</v>
          </cell>
          <cell r="B366" t="str">
            <v>Autres charges d'exploitation</v>
          </cell>
          <cell r="C366" t="str">
            <v>OK</v>
          </cell>
          <cell r="D366" t="str">
            <v>OK</v>
          </cell>
        </row>
        <row r="367">
          <cell r="A367" t="str">
            <v>R62851</v>
          </cell>
          <cell r="B367" t="str">
            <v>Reprises prov risques d'exploitation utilisées (IAS37)</v>
          </cell>
          <cell r="C367" t="str">
            <v>OK</v>
          </cell>
          <cell r="D367" t="str">
            <v>OK</v>
          </cell>
        </row>
        <row r="368">
          <cell r="A368" t="str">
            <v>R62852</v>
          </cell>
          <cell r="B368" t="str">
            <v>Reprises prov risques d'exploitation utilisées (IAS37) - Structure</v>
          </cell>
          <cell r="C368" t="str">
            <v>PB</v>
          </cell>
          <cell r="D368" t="str">
            <v>OK</v>
          </cell>
        </row>
        <row r="369">
          <cell r="A369" t="str">
            <v>R63001</v>
          </cell>
          <cell r="B369" t="str">
            <v>Impôts et taxes</v>
          </cell>
          <cell r="C369" t="str">
            <v>OK</v>
          </cell>
          <cell r="D369" t="str">
            <v>OK</v>
          </cell>
        </row>
        <row r="370">
          <cell r="A370" t="str">
            <v>R63002</v>
          </cell>
          <cell r="B370" t="str">
            <v>Impôts et taxes Structure</v>
          </cell>
          <cell r="C370" t="str">
            <v>OK</v>
          </cell>
          <cell r="D370" t="str">
            <v>OK</v>
          </cell>
        </row>
        <row r="371">
          <cell r="A371" t="str">
            <v>R63003</v>
          </cell>
          <cell r="B371" t="str">
            <v>Impôts et taxes assis sur des rémunérations</v>
          </cell>
          <cell r="C371" t="str">
            <v>OK</v>
          </cell>
          <cell r="D371" t="str">
            <v>OK</v>
          </cell>
        </row>
        <row r="372">
          <cell r="A372" t="str">
            <v>R63004</v>
          </cell>
          <cell r="B372" t="str">
            <v>Impôts et taxes assis sur des rémunérations Structure</v>
          </cell>
          <cell r="C372" t="str">
            <v>OK</v>
          </cell>
          <cell r="D372" t="str">
            <v>OK</v>
          </cell>
        </row>
        <row r="373">
          <cell r="A373" t="str">
            <v>R64001</v>
          </cell>
          <cell r="B373" t="str">
            <v>Charges de personnel</v>
          </cell>
          <cell r="C373" t="str">
            <v>OK</v>
          </cell>
          <cell r="D373" t="str">
            <v>OK</v>
          </cell>
        </row>
        <row r="374">
          <cell r="A374" t="str">
            <v>R64002</v>
          </cell>
          <cell r="B374" t="str">
            <v>Charges de personnel Structure</v>
          </cell>
          <cell r="C374" t="str">
            <v>OK</v>
          </cell>
          <cell r="D374" t="str">
            <v>OK</v>
          </cell>
        </row>
        <row r="375">
          <cell r="A375" t="str">
            <v>R64011</v>
          </cell>
          <cell r="B375" t="str">
            <v>Dotations et reprises PIDR d'exploitation</v>
          </cell>
          <cell r="C375" t="str">
            <v>OK</v>
          </cell>
          <cell r="D375" t="str">
            <v>OK</v>
          </cell>
        </row>
        <row r="376">
          <cell r="A376" t="str">
            <v>R64012</v>
          </cell>
          <cell r="B376" t="str">
            <v>Dotations et reprises PIDR de structure</v>
          </cell>
          <cell r="C376" t="str">
            <v>PB</v>
          </cell>
          <cell r="D376" t="str">
            <v>OK</v>
          </cell>
        </row>
        <row r="377">
          <cell r="A377" t="str">
            <v>R64100</v>
          </cell>
          <cell r="B377" t="str">
            <v>Charge relative aux stock-options</v>
          </cell>
          <cell r="C377" t="str">
            <v>PB</v>
          </cell>
          <cell r="D377" t="str">
            <v>OK</v>
          </cell>
        </row>
        <row r="378">
          <cell r="A378" t="str">
            <v>R64101</v>
          </cell>
          <cell r="B378" t="str">
            <v>Charge relative aux stock-options Structure</v>
          </cell>
          <cell r="C378" t="str">
            <v>OK</v>
          </cell>
          <cell r="D378" t="str">
            <v>OK</v>
          </cell>
        </row>
        <row r="379">
          <cell r="A379" t="str">
            <v>R650L</v>
          </cell>
          <cell r="B379" t="str">
            <v>Liaison élim intercos résultat -exploit.</v>
          </cell>
          <cell r="C379" t="str">
            <v>OK</v>
          </cell>
          <cell r="D379" t="str">
            <v>OK</v>
          </cell>
        </row>
        <row r="380">
          <cell r="A380" t="str">
            <v>R65101</v>
          </cell>
          <cell r="B380" t="str">
            <v>Management fees</v>
          </cell>
          <cell r="C380" t="str">
            <v>OK</v>
          </cell>
          <cell r="D380" t="str">
            <v>OK</v>
          </cell>
        </row>
        <row r="381">
          <cell r="A381" t="str">
            <v>R65200</v>
          </cell>
          <cell r="B381" t="str">
            <v>Pertes sur créances irrécouvrables</v>
          </cell>
          <cell r="C381" t="str">
            <v>OK</v>
          </cell>
          <cell r="D381" t="str">
            <v>OK</v>
          </cell>
        </row>
        <row r="382">
          <cell r="A382" t="str">
            <v>R65500</v>
          </cell>
          <cell r="B382" t="str">
            <v>Part. résultat /opérat. commun perte</v>
          </cell>
          <cell r="C382" t="str">
            <v>OK</v>
          </cell>
          <cell r="D382" t="str">
            <v>OK</v>
          </cell>
        </row>
        <row r="383">
          <cell r="A383" t="str">
            <v>R65511</v>
          </cell>
          <cell r="B383" t="str">
            <v>VNC des cessions à caractère récurrent</v>
          </cell>
          <cell r="C383" t="str">
            <v>OK</v>
          </cell>
          <cell r="D383" t="str">
            <v>OK</v>
          </cell>
        </row>
        <row r="384">
          <cell r="A384" t="str">
            <v>R65520</v>
          </cell>
          <cell r="B384" t="str">
            <v>QP résultat SP Via GTI : Profit versé</v>
          </cell>
          <cell r="C384" t="str">
            <v>OK</v>
          </cell>
          <cell r="D384" t="str">
            <v>OK</v>
          </cell>
        </row>
        <row r="385">
          <cell r="A385" t="str">
            <v>R65521</v>
          </cell>
          <cell r="B385" t="str">
            <v>QP résultat SP Via GTI : Perte reçue</v>
          </cell>
          <cell r="C385" t="str">
            <v>OK</v>
          </cell>
          <cell r="D385" t="str">
            <v>OK</v>
          </cell>
        </row>
        <row r="386">
          <cell r="A386" t="str">
            <v>R658A</v>
          </cell>
          <cell r="B386" t="str">
            <v>Ajust Prod. et charges intra-gpe exploit</v>
          </cell>
          <cell r="C386" t="str">
            <v>OK</v>
          </cell>
          <cell r="D386" t="str">
            <v>OK</v>
          </cell>
        </row>
        <row r="387">
          <cell r="A387" t="str">
            <v>R660L</v>
          </cell>
          <cell r="B387" t="str">
            <v>Liaison élim. intercos résultat - fin.</v>
          </cell>
          <cell r="C387" t="str">
            <v>OK</v>
          </cell>
          <cell r="D387" t="str">
            <v>OK</v>
          </cell>
        </row>
        <row r="388">
          <cell r="A388" t="str">
            <v>R66100</v>
          </cell>
          <cell r="B388" t="str">
            <v>Intérêts et charges assimilées</v>
          </cell>
          <cell r="C388" t="str">
            <v>OK</v>
          </cell>
          <cell r="D388" t="str">
            <v>OK</v>
          </cell>
        </row>
        <row r="389">
          <cell r="A389" t="str">
            <v>R66200</v>
          </cell>
          <cell r="B389" t="str">
            <v>Charges financières nettes</v>
          </cell>
          <cell r="C389" t="str">
            <v>OK</v>
          </cell>
          <cell r="D389" t="str">
            <v>OK</v>
          </cell>
        </row>
        <row r="390">
          <cell r="A390" t="str">
            <v>R66201</v>
          </cell>
          <cell r="B390" t="str">
            <v>Frais financiers sur PIDR</v>
          </cell>
          <cell r="C390" t="str">
            <v>OK</v>
          </cell>
          <cell r="D390" t="str">
            <v>OK</v>
          </cell>
        </row>
        <row r="391">
          <cell r="A391" t="str">
            <v>R66300</v>
          </cell>
          <cell r="B391" t="str">
            <v>Abandons de créances financiers - Charges</v>
          </cell>
          <cell r="C391" t="str">
            <v>OK</v>
          </cell>
          <cell r="D391" t="str">
            <v>OK</v>
          </cell>
        </row>
        <row r="392">
          <cell r="A392" t="str">
            <v>R66511</v>
          </cell>
          <cell r="B392" t="str">
            <v>VNC des cessions financières</v>
          </cell>
          <cell r="C392" t="str">
            <v>OK</v>
          </cell>
          <cell r="D392" t="str">
            <v>PB</v>
          </cell>
        </row>
        <row r="393">
          <cell r="A393" t="str">
            <v>R66550</v>
          </cell>
          <cell r="B393" t="str">
            <v>VNC des cessions des immos financières</v>
          </cell>
          <cell r="C393" t="str">
            <v>OK</v>
          </cell>
          <cell r="D393" t="str">
            <v>OK</v>
          </cell>
        </row>
        <row r="394">
          <cell r="A394" t="str">
            <v>R66600</v>
          </cell>
          <cell r="B394" t="str">
            <v>Pertes de change</v>
          </cell>
          <cell r="C394" t="str">
            <v>OK</v>
          </cell>
          <cell r="D394" t="str">
            <v>OK</v>
          </cell>
        </row>
        <row r="395">
          <cell r="A395" t="str">
            <v>R66610</v>
          </cell>
          <cell r="B395" t="str">
            <v xml:space="preserve">Pertes de change sur remboursement d'emprunts </v>
          </cell>
          <cell r="C395" t="str">
            <v>PB</v>
          </cell>
          <cell r="D395" t="str">
            <v>PB</v>
          </cell>
        </row>
        <row r="396">
          <cell r="A396" t="str">
            <v>R66700</v>
          </cell>
          <cell r="B396" t="str">
            <v>Pertes s/ cession de VMP</v>
          </cell>
          <cell r="C396" t="str">
            <v>OK</v>
          </cell>
          <cell r="D396" t="str">
            <v>OK</v>
          </cell>
        </row>
        <row r="397">
          <cell r="A397" t="str">
            <v>R668A</v>
          </cell>
          <cell r="B397" t="str">
            <v>Ajust Prod et charges intra-gpe financ.</v>
          </cell>
          <cell r="C397" t="str">
            <v>OK</v>
          </cell>
          <cell r="D397" t="str">
            <v>OK</v>
          </cell>
        </row>
        <row r="398">
          <cell r="A398" t="str">
            <v>R670L</v>
          </cell>
          <cell r="B398" t="str">
            <v>Liaison élim. intercos résultat - excep.</v>
          </cell>
          <cell r="C398" t="str">
            <v>OK</v>
          </cell>
          <cell r="D398" t="str">
            <v>OK</v>
          </cell>
        </row>
        <row r="399">
          <cell r="A399" t="str">
            <v>R67510</v>
          </cell>
          <cell r="B399" t="str">
            <v>VNC des immo. incorp. cédées</v>
          </cell>
          <cell r="C399" t="str">
            <v>OK</v>
          </cell>
          <cell r="D399" t="str">
            <v>OK</v>
          </cell>
        </row>
        <row r="400">
          <cell r="A400" t="str">
            <v>R67530</v>
          </cell>
          <cell r="B400" t="str">
            <v>VNC des immo. corp. cédées</v>
          </cell>
          <cell r="C400" t="str">
            <v>OK</v>
          </cell>
          <cell r="D400" t="str">
            <v>OK</v>
          </cell>
        </row>
        <row r="401">
          <cell r="A401" t="str">
            <v>R67565</v>
          </cell>
          <cell r="B401" t="str">
            <v>+/- value de consolidation</v>
          </cell>
          <cell r="C401" t="str">
            <v>OK</v>
          </cell>
          <cell r="D401" t="str">
            <v>OK</v>
          </cell>
        </row>
        <row r="402">
          <cell r="A402" t="str">
            <v>R67610</v>
          </cell>
          <cell r="B402" t="str">
            <v>Charges excep. Restructuration plan sociaux</v>
          </cell>
          <cell r="C402" t="str">
            <v>PB</v>
          </cell>
          <cell r="D402" t="str">
            <v>OK</v>
          </cell>
        </row>
        <row r="403">
          <cell r="A403" t="str">
            <v>R67620</v>
          </cell>
          <cell r="B403" t="str">
            <v>Charges excep. Risques fiscaux</v>
          </cell>
          <cell r="C403" t="str">
            <v>PB</v>
          </cell>
          <cell r="D403" t="str">
            <v>OK</v>
          </cell>
        </row>
        <row r="404">
          <cell r="A404" t="str">
            <v>R67800</v>
          </cell>
          <cell r="B404" t="str">
            <v>Autres charges exceptionnelles</v>
          </cell>
          <cell r="C404" t="str">
            <v>OK</v>
          </cell>
          <cell r="D404" t="str">
            <v>OK</v>
          </cell>
        </row>
        <row r="405">
          <cell r="A405" t="str">
            <v>R67810</v>
          </cell>
          <cell r="B405" t="str">
            <v>Abandons de créances accordés (excep.)</v>
          </cell>
          <cell r="C405" t="str">
            <v>OK</v>
          </cell>
          <cell r="D405" t="str">
            <v>OK</v>
          </cell>
        </row>
        <row r="406">
          <cell r="A406" t="str">
            <v>R67815</v>
          </cell>
          <cell r="B406" t="str">
            <v>Correction du résultat d'ouverture ( charge)</v>
          </cell>
          <cell r="C406" t="str">
            <v>OK</v>
          </cell>
          <cell r="D406" t="str">
            <v>OK</v>
          </cell>
        </row>
        <row r="407">
          <cell r="A407" t="str">
            <v>R67820</v>
          </cell>
          <cell r="B407" t="str">
            <v>Charges de fusion</v>
          </cell>
          <cell r="C407" t="str">
            <v>OK</v>
          </cell>
          <cell r="D407" t="str">
            <v>OK</v>
          </cell>
        </row>
        <row r="408">
          <cell r="A408" t="str">
            <v>R67825</v>
          </cell>
          <cell r="B408" t="str">
            <v>Incidence des changements de méth.</v>
          </cell>
          <cell r="C408" t="str">
            <v>PB</v>
          </cell>
          <cell r="D408" t="str">
            <v>OK</v>
          </cell>
        </row>
        <row r="409">
          <cell r="A409" t="str">
            <v>R678A</v>
          </cell>
          <cell r="B409" t="str">
            <v>Ajust Prod et charges intra-gpe exceptio</v>
          </cell>
          <cell r="C409" t="str">
            <v>OK</v>
          </cell>
          <cell r="D409" t="str">
            <v>OK</v>
          </cell>
        </row>
        <row r="410">
          <cell r="A410" t="str">
            <v>R68110</v>
          </cell>
          <cell r="B410" t="str">
            <v>Dot./Amt. immo. incorporelles</v>
          </cell>
          <cell r="C410" t="str">
            <v>OK</v>
          </cell>
          <cell r="D410" t="str">
            <v>OK</v>
          </cell>
        </row>
        <row r="411">
          <cell r="A411" t="str">
            <v>R68121</v>
          </cell>
          <cell r="B411" t="str">
            <v>Dot./Amt. charges d'exploit. à répartir</v>
          </cell>
          <cell r="C411" t="str">
            <v>OK</v>
          </cell>
          <cell r="D411" t="str">
            <v>OK</v>
          </cell>
        </row>
        <row r="412">
          <cell r="A412" t="str">
            <v>R68130</v>
          </cell>
          <cell r="B412" t="str">
            <v>Dot./Amt. immo. corporelles</v>
          </cell>
          <cell r="C412" t="str">
            <v>OK</v>
          </cell>
          <cell r="D412" t="str">
            <v>OK</v>
          </cell>
        </row>
        <row r="413">
          <cell r="A413" t="str">
            <v>R68152</v>
          </cell>
          <cell r="B413" t="str">
            <v>Dot./Prov. risques &amp; charges d'exploit.</v>
          </cell>
          <cell r="C413" t="str">
            <v>OK</v>
          </cell>
          <cell r="D413" t="str">
            <v>OK</v>
          </cell>
        </row>
        <row r="414">
          <cell r="A414" t="str">
            <v>R68154</v>
          </cell>
          <cell r="B414" t="str">
            <v>Dot./Prov. Pour pensions et retraites</v>
          </cell>
          <cell r="C414" t="str">
            <v>OK</v>
          </cell>
          <cell r="D414" t="str">
            <v>OK</v>
          </cell>
        </row>
        <row r="415">
          <cell r="A415" t="str">
            <v>R68155</v>
          </cell>
          <cell r="B415" t="str">
            <v>Dot./Prov. Pour médaille du travail</v>
          </cell>
          <cell r="C415" t="str">
            <v>OK</v>
          </cell>
          <cell r="D415" t="str">
            <v>OK</v>
          </cell>
        </row>
        <row r="416">
          <cell r="A416" t="str">
            <v>R68156</v>
          </cell>
          <cell r="B416" t="str">
            <v>Dot./Prov. TFR Italie</v>
          </cell>
          <cell r="C416" t="str">
            <v>OK</v>
          </cell>
          <cell r="D416" t="str">
            <v>OK</v>
          </cell>
        </row>
        <row r="417">
          <cell r="A417" t="str">
            <v>R68160</v>
          </cell>
          <cell r="B417" t="str">
            <v>Dot./ Prov. exploit dép. immo. incorporelles</v>
          </cell>
          <cell r="C417" t="str">
            <v>OK</v>
          </cell>
          <cell r="D417" t="str">
            <v>OK</v>
          </cell>
        </row>
        <row r="418">
          <cell r="A418" t="str">
            <v>R68162</v>
          </cell>
          <cell r="B418" t="str">
            <v>Dot./ Prov. exploit dép. immo. corporelles</v>
          </cell>
          <cell r="C418" t="str">
            <v>OK</v>
          </cell>
          <cell r="D418" t="str">
            <v>OK</v>
          </cell>
        </row>
        <row r="419">
          <cell r="A419" t="str">
            <v>R68173</v>
          </cell>
          <cell r="B419" t="str">
            <v>Dot./ Prov. exploit dép. stocks</v>
          </cell>
          <cell r="C419" t="str">
            <v>OK</v>
          </cell>
          <cell r="D419" t="str">
            <v>OK</v>
          </cell>
        </row>
        <row r="420">
          <cell r="A420" t="str">
            <v>R68174</v>
          </cell>
          <cell r="B420" t="str">
            <v>Dot./ Prov. exploit dép. cptes débiteurs</v>
          </cell>
          <cell r="C420" t="str">
            <v>OK</v>
          </cell>
          <cell r="D420" t="str">
            <v>OK</v>
          </cell>
        </row>
        <row r="421">
          <cell r="A421" t="str">
            <v>R68610</v>
          </cell>
          <cell r="B421" t="str">
            <v>Dot. Fin. Aux amort. Des frais et primes d'émission d'emprunts</v>
          </cell>
          <cell r="C421" t="str">
            <v>PB</v>
          </cell>
          <cell r="D421" t="str">
            <v>OK</v>
          </cell>
        </row>
        <row r="422">
          <cell r="A422" t="str">
            <v>R68645</v>
          </cell>
          <cell r="B422" t="str">
            <v>Dotations aux provisions pour risques et charges financiers</v>
          </cell>
          <cell r="C422" t="str">
            <v>PB</v>
          </cell>
          <cell r="D422" t="str">
            <v>OK</v>
          </cell>
        </row>
        <row r="423">
          <cell r="A423" t="str">
            <v>R68650</v>
          </cell>
          <cell r="B423" t="str">
            <v>Dot./Prov. Pertes de change</v>
          </cell>
          <cell r="C423" t="str">
            <v>OK</v>
          </cell>
          <cell r="D423" t="str">
            <v>OK</v>
          </cell>
        </row>
        <row r="424">
          <cell r="A424" t="str">
            <v>R68655</v>
          </cell>
          <cell r="B424" t="str">
            <v>Dot./Prov. risques s/filiales</v>
          </cell>
          <cell r="C424" t="str">
            <v>OK</v>
          </cell>
          <cell r="D424" t="str">
            <v>OK</v>
          </cell>
        </row>
        <row r="425">
          <cell r="A425" t="str">
            <v>R68660</v>
          </cell>
          <cell r="B425" t="str">
            <v>Dot./Prov dépréciation immo financières + 1 an</v>
          </cell>
          <cell r="C425" t="str">
            <v>OK</v>
          </cell>
          <cell r="D425" t="str">
            <v>OK</v>
          </cell>
        </row>
        <row r="426">
          <cell r="A426" t="str">
            <v>R68662</v>
          </cell>
          <cell r="B426" t="str">
            <v>Dot./Prov dépréciation éléments financiers - 1  an</v>
          </cell>
          <cell r="C426" t="str">
            <v>OK</v>
          </cell>
          <cell r="D426" t="str">
            <v>OK</v>
          </cell>
        </row>
        <row r="427">
          <cell r="A427" t="str">
            <v>R68665</v>
          </cell>
          <cell r="B427" t="str">
            <v>Dot/Prov valeurs mobilières de placement</v>
          </cell>
          <cell r="C427" t="str">
            <v>OK</v>
          </cell>
          <cell r="D427" t="str">
            <v>OK</v>
          </cell>
        </row>
        <row r="428">
          <cell r="A428" t="str">
            <v>R68680</v>
          </cell>
          <cell r="B428" t="str">
            <v>Dot./Prov. financières autres</v>
          </cell>
          <cell r="C428" t="str">
            <v>OK</v>
          </cell>
          <cell r="D428" t="str">
            <v>OK</v>
          </cell>
        </row>
        <row r="429">
          <cell r="A429" t="str">
            <v>R68710</v>
          </cell>
          <cell r="B429" t="str">
            <v>Dot. excep./Amort. immo. incorp</v>
          </cell>
          <cell r="C429" t="str">
            <v>OK</v>
          </cell>
          <cell r="D429" t="str">
            <v>OK</v>
          </cell>
        </row>
        <row r="430">
          <cell r="A430" t="str">
            <v>R68730</v>
          </cell>
          <cell r="B430" t="str">
            <v>Dot. excep./Amort. immo. corp</v>
          </cell>
          <cell r="C430" t="str">
            <v>OK</v>
          </cell>
          <cell r="D430" t="str">
            <v>OK</v>
          </cell>
        </row>
        <row r="431">
          <cell r="A431" t="str">
            <v>R68754</v>
          </cell>
          <cell r="B431" t="str">
            <v>Dot./ Prov. except impôt</v>
          </cell>
          <cell r="C431" t="str">
            <v>OK</v>
          </cell>
          <cell r="D431" t="str">
            <v>OK</v>
          </cell>
        </row>
        <row r="432">
          <cell r="A432" t="str">
            <v>R68758</v>
          </cell>
          <cell r="B432" t="str">
            <v>Dot. aux prov. pour R&amp;C exceptionnels</v>
          </cell>
          <cell r="C432" t="str">
            <v>OK</v>
          </cell>
          <cell r="D432" t="str">
            <v>OK</v>
          </cell>
        </row>
        <row r="433">
          <cell r="A433" t="str">
            <v>R68759</v>
          </cell>
          <cell r="B433" t="str">
            <v>Dotations aux provisions réglementées</v>
          </cell>
          <cell r="C433" t="str">
            <v>OK</v>
          </cell>
          <cell r="D433" t="str">
            <v>OK</v>
          </cell>
        </row>
        <row r="434">
          <cell r="A434" t="str">
            <v>R68760</v>
          </cell>
          <cell r="B434" t="str">
            <v>Dot. excep./Prov. immo financières + 1 an</v>
          </cell>
          <cell r="C434" t="str">
            <v>OK</v>
          </cell>
          <cell r="D434" t="str">
            <v>OK</v>
          </cell>
        </row>
        <row r="435">
          <cell r="A435" t="str">
            <v>R68770</v>
          </cell>
          <cell r="B435" t="str">
            <v>Dot. excep./Amort. charges à répartir</v>
          </cell>
          <cell r="C435" t="str">
            <v>PB</v>
          </cell>
          <cell r="D435" t="str">
            <v>OK</v>
          </cell>
        </row>
        <row r="436">
          <cell r="A436" t="str">
            <v>R68771</v>
          </cell>
          <cell r="B436" t="str">
            <v>Dot. excep./Prov. immo. corp</v>
          </cell>
          <cell r="C436" t="str">
            <v>OK</v>
          </cell>
          <cell r="D436" t="str">
            <v>OK</v>
          </cell>
        </row>
        <row r="437">
          <cell r="A437" t="str">
            <v>R68772</v>
          </cell>
          <cell r="B437" t="str">
            <v>Dot. excep./Prov. immo. incorp</v>
          </cell>
          <cell r="C437" t="str">
            <v>OK</v>
          </cell>
          <cell r="D437" t="str">
            <v>OK</v>
          </cell>
        </row>
        <row r="438">
          <cell r="A438" t="str">
            <v>R68773</v>
          </cell>
          <cell r="B438" t="str">
            <v>Dot. excep./Prov. stocks</v>
          </cell>
          <cell r="C438" t="str">
            <v>OK</v>
          </cell>
          <cell r="D438" t="str">
            <v>OK</v>
          </cell>
        </row>
        <row r="439">
          <cell r="A439" t="str">
            <v>R68774</v>
          </cell>
          <cell r="B439" t="str">
            <v>Dot. excep./Prov. cptes débiteurs</v>
          </cell>
          <cell r="C439" t="str">
            <v>OK</v>
          </cell>
          <cell r="D439" t="str">
            <v>OK</v>
          </cell>
        </row>
        <row r="440">
          <cell r="A440" t="str">
            <v>R68790</v>
          </cell>
          <cell r="B440" t="str">
            <v>Dotation nette amort. Écarts acq.</v>
          </cell>
          <cell r="C440" t="str">
            <v>OK</v>
          </cell>
          <cell r="D440" t="str">
            <v>OK</v>
          </cell>
        </row>
        <row r="441">
          <cell r="A441" t="str">
            <v>R68795</v>
          </cell>
          <cell r="B441" t="str">
            <v>Dotation sur provisions écart d'acquisition</v>
          </cell>
          <cell r="C441" t="str">
            <v>OK</v>
          </cell>
          <cell r="D441" t="str">
            <v>OK</v>
          </cell>
        </row>
        <row r="442">
          <cell r="A442" t="str">
            <v>R69102</v>
          </cell>
          <cell r="B442" t="str">
            <v>Participation intéressement, PEE</v>
          </cell>
          <cell r="C442" t="str">
            <v>OK</v>
          </cell>
          <cell r="D442" t="str">
            <v>OK</v>
          </cell>
        </row>
        <row r="443">
          <cell r="A443" t="str">
            <v>R69300</v>
          </cell>
          <cell r="B443" t="str">
            <v>Provision pour IFA - Dotation</v>
          </cell>
          <cell r="C443" t="str">
            <v>OK</v>
          </cell>
          <cell r="D443" t="str">
            <v>OK</v>
          </cell>
        </row>
        <row r="444">
          <cell r="A444" t="str">
            <v>R69400</v>
          </cell>
          <cell r="B444" t="str">
            <v>Provision pour IFA - Reprise</v>
          </cell>
          <cell r="C444" t="str">
            <v>OK</v>
          </cell>
          <cell r="D444" t="str">
            <v>OK</v>
          </cell>
        </row>
        <row r="445">
          <cell r="A445" t="str">
            <v>R69500</v>
          </cell>
          <cell r="B445" t="str">
            <v>Impôt société</v>
          </cell>
          <cell r="C445" t="str">
            <v>OK</v>
          </cell>
          <cell r="D445" t="str">
            <v>OK</v>
          </cell>
        </row>
        <row r="446">
          <cell r="A446" t="str">
            <v>R69600</v>
          </cell>
          <cell r="B446" t="str">
            <v>Impôt sociétés différé</v>
          </cell>
          <cell r="C446" t="str">
            <v>OK</v>
          </cell>
          <cell r="D446" t="str">
            <v>OK</v>
          </cell>
        </row>
        <row r="447">
          <cell r="A447" t="str">
            <v>R69800</v>
          </cell>
          <cell r="B447" t="str">
            <v>Produit ou ch. d'impôt lié à l'intégration fiscale</v>
          </cell>
          <cell r="C447" t="str">
            <v>OK</v>
          </cell>
          <cell r="D447" t="str">
            <v>OK</v>
          </cell>
        </row>
        <row r="448">
          <cell r="A448" t="str">
            <v>R69900</v>
          </cell>
          <cell r="B448" t="str">
            <v>Carry-back</v>
          </cell>
          <cell r="C448" t="str">
            <v>OK</v>
          </cell>
          <cell r="D448" t="str">
            <v>OK</v>
          </cell>
        </row>
        <row r="449">
          <cell r="A449" t="str">
            <v>R69999</v>
          </cell>
          <cell r="B449" t="str">
            <v>Facturations internes (Charges)</v>
          </cell>
          <cell r="C449" t="str">
            <v>PB</v>
          </cell>
          <cell r="D449" t="str">
            <v>OK</v>
          </cell>
        </row>
        <row r="450">
          <cell r="A450" t="str">
            <v>R70000</v>
          </cell>
          <cell r="B450" t="str">
            <v>Chiffre d'affaires de l'activité</v>
          </cell>
          <cell r="C450" t="str">
            <v>PB</v>
          </cell>
          <cell r="D450" t="str">
            <v>OK</v>
          </cell>
        </row>
        <row r="451">
          <cell r="A451" t="str">
            <v>R70841</v>
          </cell>
          <cell r="B451" t="str">
            <v>Refacturation personnel</v>
          </cell>
          <cell r="C451" t="str">
            <v>OK</v>
          </cell>
          <cell r="D451" t="str">
            <v>OK</v>
          </cell>
        </row>
        <row r="452">
          <cell r="A452" t="str">
            <v>R70842</v>
          </cell>
          <cell r="B452" t="str">
            <v>Refacturation personnel Structure</v>
          </cell>
          <cell r="C452" t="str">
            <v>OK</v>
          </cell>
          <cell r="D452" t="str">
            <v>OK</v>
          </cell>
        </row>
        <row r="453">
          <cell r="A453" t="str">
            <v>R70851</v>
          </cell>
          <cell r="B453" t="str">
            <v>Refacturation charges</v>
          </cell>
          <cell r="C453" t="str">
            <v>OK</v>
          </cell>
          <cell r="D453" t="str">
            <v>OK</v>
          </cell>
        </row>
        <row r="454">
          <cell r="A454" t="str">
            <v>R70852</v>
          </cell>
          <cell r="B454" t="str">
            <v>Refacturation charges Structure</v>
          </cell>
          <cell r="C454" t="str">
            <v>OK</v>
          </cell>
          <cell r="D454" t="str">
            <v>OK</v>
          </cell>
        </row>
        <row r="455">
          <cell r="A455" t="str">
            <v>R70860</v>
          </cell>
          <cell r="B455" t="str">
            <v>Autres produits d'exploitation</v>
          </cell>
          <cell r="C455" t="str">
            <v>OK</v>
          </cell>
          <cell r="D455" t="str">
            <v>OK</v>
          </cell>
        </row>
        <row r="456">
          <cell r="A456" t="str">
            <v>R71300</v>
          </cell>
          <cell r="B456" t="str">
            <v>Variation de stock de prod. résid. et prest. Serv.</v>
          </cell>
          <cell r="C456" t="str">
            <v>OK</v>
          </cell>
          <cell r="D456" t="str">
            <v>OK</v>
          </cell>
        </row>
        <row r="457">
          <cell r="A457" t="str">
            <v>R72000</v>
          </cell>
          <cell r="B457" t="str">
            <v>Production immobilisée</v>
          </cell>
          <cell r="C457" t="str">
            <v>OK</v>
          </cell>
          <cell r="D457" t="str">
            <v>OK</v>
          </cell>
        </row>
        <row r="458">
          <cell r="A458" t="str">
            <v>R74000</v>
          </cell>
          <cell r="B458" t="str">
            <v>Subventions d'exploitation</v>
          </cell>
          <cell r="C458" t="str">
            <v>OK</v>
          </cell>
          <cell r="D458" t="str">
            <v>OK</v>
          </cell>
        </row>
        <row r="459">
          <cell r="A459" t="str">
            <v>R74100</v>
          </cell>
          <cell r="B459" t="str">
            <v>QP des subv d'invest virée au résultat de l'exercice - exploitation</v>
          </cell>
          <cell r="C459" t="str">
            <v>OK</v>
          </cell>
          <cell r="D459" t="str">
            <v>OK</v>
          </cell>
        </row>
        <row r="460">
          <cell r="A460" t="str">
            <v>R75101</v>
          </cell>
          <cell r="B460" t="str">
            <v>Management fees</v>
          </cell>
          <cell r="C460" t="str">
            <v>OK</v>
          </cell>
          <cell r="D460" t="str">
            <v>OK</v>
          </cell>
        </row>
        <row r="461">
          <cell r="A461" t="str">
            <v>R75500</v>
          </cell>
          <cell r="B461" t="str">
            <v>Part. résultat /opérat. commun bénéfice</v>
          </cell>
          <cell r="C461" t="str">
            <v>OK</v>
          </cell>
          <cell r="D461" t="str">
            <v>OK</v>
          </cell>
        </row>
        <row r="462">
          <cell r="A462" t="str">
            <v>R75511</v>
          </cell>
          <cell r="B462" t="str">
            <v>Produits de cession récurrents</v>
          </cell>
          <cell r="C462" t="str">
            <v>OK</v>
          </cell>
          <cell r="D462" t="str">
            <v>OK</v>
          </cell>
        </row>
        <row r="463">
          <cell r="A463" t="str">
            <v>R75520</v>
          </cell>
          <cell r="B463" t="str">
            <v>QP résultat SP Via GTI : Profit reçu</v>
          </cell>
          <cell r="C463" t="str">
            <v>OK</v>
          </cell>
          <cell r="D463" t="str">
            <v>OK</v>
          </cell>
        </row>
        <row r="464">
          <cell r="A464" t="str">
            <v>R75521</v>
          </cell>
          <cell r="B464" t="str">
            <v>QP résultat SP Via GTI : Perte reversée</v>
          </cell>
          <cell r="C464" t="str">
            <v>OK</v>
          </cell>
          <cell r="D464" t="str">
            <v>OK</v>
          </cell>
        </row>
        <row r="465">
          <cell r="A465" t="str">
            <v>R76100</v>
          </cell>
          <cell r="B465" t="str">
            <v>Dividendes reçus</v>
          </cell>
          <cell r="C465" t="str">
            <v>OK</v>
          </cell>
          <cell r="D465" t="str">
            <v>OK</v>
          </cell>
        </row>
        <row r="466">
          <cell r="A466" t="str">
            <v>R7611E</v>
          </cell>
          <cell r="B466" t="str">
            <v>Dividendes - Rubrique d'élimination</v>
          </cell>
          <cell r="C466" t="str">
            <v>OK</v>
          </cell>
          <cell r="D466" t="str">
            <v>OK</v>
          </cell>
        </row>
        <row r="467">
          <cell r="A467" t="str">
            <v>R76200</v>
          </cell>
          <cell r="B467" t="str">
            <v>Intérêts reçus</v>
          </cell>
          <cell r="C467" t="str">
            <v>OK</v>
          </cell>
          <cell r="D467" t="str">
            <v>OK</v>
          </cell>
        </row>
        <row r="468">
          <cell r="A468" t="str">
            <v>R76300</v>
          </cell>
          <cell r="B468" t="str">
            <v>Abandons de créances financiers - Produits</v>
          </cell>
          <cell r="C468" t="str">
            <v>OK</v>
          </cell>
          <cell r="D468" t="str">
            <v>OK</v>
          </cell>
        </row>
        <row r="469">
          <cell r="A469" t="str">
            <v>R76500</v>
          </cell>
          <cell r="B469" t="str">
            <v>Produits de cession de titres (conso.)</v>
          </cell>
          <cell r="C469" t="str">
            <v>OK</v>
          </cell>
          <cell r="D469" t="str">
            <v>OK</v>
          </cell>
        </row>
        <row r="470">
          <cell r="A470" t="str">
            <v>R76511</v>
          </cell>
          <cell r="B470" t="str">
            <v>Produits des cessions financières</v>
          </cell>
          <cell r="C470" t="str">
            <v>OK</v>
          </cell>
          <cell r="D470" t="str">
            <v>PB</v>
          </cell>
        </row>
        <row r="471">
          <cell r="A471" t="str">
            <v>R76550</v>
          </cell>
          <cell r="B471" t="str">
            <v>Prix de cession des immo financières</v>
          </cell>
          <cell r="C471" t="str">
            <v>OK</v>
          </cell>
          <cell r="D471" t="str">
            <v>OK</v>
          </cell>
        </row>
        <row r="472">
          <cell r="A472" t="str">
            <v>R76600</v>
          </cell>
          <cell r="B472" t="str">
            <v>Gains de change</v>
          </cell>
          <cell r="C472" t="str">
            <v>OK</v>
          </cell>
          <cell r="D472" t="str">
            <v>OK</v>
          </cell>
        </row>
        <row r="473">
          <cell r="A473" t="str">
            <v>R76700</v>
          </cell>
          <cell r="B473" t="str">
            <v>Produits nets s/ cession de VMP</v>
          </cell>
          <cell r="C473" t="str">
            <v>OK</v>
          </cell>
          <cell r="D473" t="str">
            <v>OK</v>
          </cell>
        </row>
        <row r="474">
          <cell r="A474" t="str">
            <v>R76800</v>
          </cell>
          <cell r="B474" t="str">
            <v>Autres produits financiers</v>
          </cell>
          <cell r="C474" t="str">
            <v>OK</v>
          </cell>
          <cell r="D474" t="str">
            <v>OK</v>
          </cell>
        </row>
        <row r="475">
          <cell r="A475" t="str">
            <v>R77510</v>
          </cell>
          <cell r="B475" t="str">
            <v>Prix de cession d'immo. incorp.</v>
          </cell>
          <cell r="C475" t="str">
            <v>OK</v>
          </cell>
          <cell r="D475" t="str">
            <v>OK</v>
          </cell>
        </row>
        <row r="476">
          <cell r="A476" t="str">
            <v>R77530</v>
          </cell>
          <cell r="B476" t="str">
            <v>Prix de cession d'immo. corp.</v>
          </cell>
          <cell r="C476" t="str">
            <v>OK</v>
          </cell>
          <cell r="D476" t="str">
            <v>OK</v>
          </cell>
        </row>
        <row r="477">
          <cell r="A477" t="str">
            <v>R77540</v>
          </cell>
          <cell r="B477" t="str">
            <v>Prix de cession des biens transférés en location financement</v>
          </cell>
          <cell r="C477" t="str">
            <v>PB</v>
          </cell>
          <cell r="D477" t="str">
            <v>PB</v>
          </cell>
        </row>
        <row r="478">
          <cell r="A478" t="str">
            <v>R77700</v>
          </cell>
          <cell r="B478" t="str">
            <v>QP Subv. Compte de résultat</v>
          </cell>
          <cell r="C478" t="str">
            <v>OK</v>
          </cell>
          <cell r="D478" t="str">
            <v>OK</v>
          </cell>
        </row>
        <row r="479">
          <cell r="A479" t="str">
            <v>R77800</v>
          </cell>
          <cell r="B479" t="str">
            <v>Autres produits exceptionnels</v>
          </cell>
          <cell r="C479" t="str">
            <v>OK</v>
          </cell>
          <cell r="D479" t="str">
            <v>OK</v>
          </cell>
        </row>
        <row r="480">
          <cell r="A480" t="str">
            <v>R77810</v>
          </cell>
          <cell r="B480" t="str">
            <v>Abandons de créances obtenus (excep.)</v>
          </cell>
          <cell r="C480" t="str">
            <v>OK</v>
          </cell>
          <cell r="D480" t="str">
            <v>OK</v>
          </cell>
        </row>
        <row r="481">
          <cell r="A481" t="str">
            <v>R77815</v>
          </cell>
          <cell r="B481" t="str">
            <v>Correction du résultat d'ouverture ( produit)</v>
          </cell>
          <cell r="C481" t="str">
            <v>OK</v>
          </cell>
          <cell r="D481" t="str">
            <v>OK</v>
          </cell>
        </row>
        <row r="482">
          <cell r="A482" t="str">
            <v>R77820</v>
          </cell>
          <cell r="B482" t="str">
            <v>Produits de fusion</v>
          </cell>
          <cell r="C482" t="str">
            <v>OK</v>
          </cell>
          <cell r="D482" t="str">
            <v>OK</v>
          </cell>
        </row>
        <row r="483">
          <cell r="A483" t="str">
            <v>R77825</v>
          </cell>
          <cell r="B483" t="str">
            <v>Incidence des changements de méthode</v>
          </cell>
          <cell r="C483" t="str">
            <v>PB</v>
          </cell>
          <cell r="D483" t="str">
            <v>OK</v>
          </cell>
        </row>
        <row r="484">
          <cell r="A484" t="str">
            <v>R78110</v>
          </cell>
          <cell r="B484" t="str">
            <v>Reprise sur amort des immo incorporelles</v>
          </cell>
          <cell r="C484" t="str">
            <v>PB</v>
          </cell>
          <cell r="D484" t="str">
            <v>OK</v>
          </cell>
        </row>
        <row r="485">
          <cell r="A485" t="str">
            <v>R78111</v>
          </cell>
          <cell r="B485" t="str">
            <v>Reprise sur amort des immo corporelles.</v>
          </cell>
          <cell r="C485" t="str">
            <v>PB</v>
          </cell>
          <cell r="D485" t="str">
            <v>OK</v>
          </cell>
        </row>
        <row r="486">
          <cell r="A486" t="str">
            <v>R78152</v>
          </cell>
          <cell r="B486" t="str">
            <v>Rep./Prov. risques &amp; charges d'exploit.</v>
          </cell>
          <cell r="C486" t="str">
            <v>OK</v>
          </cell>
          <cell r="D486" t="str">
            <v>OK</v>
          </cell>
        </row>
        <row r="487">
          <cell r="A487" t="str">
            <v>R78153</v>
          </cell>
          <cell r="B487" t="str">
            <v>Rep./Prov. risques &amp; charges d'exploit. non utilisées (IAS37)</v>
          </cell>
          <cell r="C487" t="str">
            <v>OK</v>
          </cell>
          <cell r="D487" t="str">
            <v>OK</v>
          </cell>
        </row>
        <row r="488">
          <cell r="A488" t="str">
            <v>R78154</v>
          </cell>
          <cell r="B488" t="str">
            <v>Rep./Prov. Pour pensions et retraites</v>
          </cell>
          <cell r="C488" t="str">
            <v>OK</v>
          </cell>
          <cell r="D488" t="str">
            <v>OK</v>
          </cell>
        </row>
        <row r="489">
          <cell r="A489" t="str">
            <v>R78155</v>
          </cell>
          <cell r="B489" t="str">
            <v>Rep./Prov. Pour médaille du travail</v>
          </cell>
          <cell r="C489" t="str">
            <v>OK</v>
          </cell>
          <cell r="D489" t="str">
            <v>OK</v>
          </cell>
        </row>
        <row r="490">
          <cell r="A490" t="str">
            <v>R78156</v>
          </cell>
          <cell r="B490" t="str">
            <v>Rep./Prov. TFR Italie</v>
          </cell>
          <cell r="C490" t="str">
            <v>PB</v>
          </cell>
          <cell r="D490" t="str">
            <v>OK</v>
          </cell>
        </row>
        <row r="491">
          <cell r="A491" t="str">
            <v>R78160</v>
          </cell>
          <cell r="B491" t="str">
            <v>Rep./Prov. exploit dép. immo. incorporelles</v>
          </cell>
          <cell r="C491" t="str">
            <v>OK</v>
          </cell>
          <cell r="D491" t="str">
            <v>OK</v>
          </cell>
        </row>
        <row r="492">
          <cell r="A492" t="str">
            <v>R78162</v>
          </cell>
          <cell r="B492" t="str">
            <v>Rep./Prov. exploit dép. immo.corporelles</v>
          </cell>
          <cell r="C492" t="str">
            <v>OK</v>
          </cell>
          <cell r="D492" t="str">
            <v>OK</v>
          </cell>
        </row>
        <row r="493">
          <cell r="A493" t="str">
            <v>R78173</v>
          </cell>
          <cell r="B493" t="str">
            <v>Rep./ Prov. exploit dép. stocks</v>
          </cell>
          <cell r="C493" t="str">
            <v>OK</v>
          </cell>
          <cell r="D493" t="str">
            <v>OK</v>
          </cell>
        </row>
        <row r="494">
          <cell r="A494" t="str">
            <v>R78174</v>
          </cell>
          <cell r="B494" t="str">
            <v>Rep./ Prov. exploit dép. cptes débiteurs</v>
          </cell>
          <cell r="C494" t="str">
            <v>OK</v>
          </cell>
          <cell r="D494" t="str">
            <v>OK</v>
          </cell>
        </row>
        <row r="495">
          <cell r="A495" t="str">
            <v>R78610</v>
          </cell>
          <cell r="B495" t="str">
            <v>Reprises fin. d'amort. sur immo. incorp.</v>
          </cell>
          <cell r="C495" t="str">
            <v>PB</v>
          </cell>
          <cell r="D495" t="str">
            <v>OK</v>
          </cell>
        </row>
        <row r="496">
          <cell r="A496" t="str">
            <v>R78645</v>
          </cell>
          <cell r="B496" t="str">
            <v>Reprises sur prov. pour risques et charges financiers</v>
          </cell>
          <cell r="C496" t="str">
            <v>PB</v>
          </cell>
          <cell r="D496" t="str">
            <v>OK</v>
          </cell>
        </row>
        <row r="497">
          <cell r="A497" t="str">
            <v>R78650</v>
          </cell>
          <cell r="B497" t="str">
            <v>Rep./Prov. pertes de change</v>
          </cell>
          <cell r="C497" t="str">
            <v>OK</v>
          </cell>
          <cell r="D497" t="str">
            <v>OK</v>
          </cell>
        </row>
        <row r="498">
          <cell r="A498" t="str">
            <v>R78655</v>
          </cell>
          <cell r="B498" t="str">
            <v>Rep./Prov. risques sur filiales</v>
          </cell>
          <cell r="C498" t="str">
            <v>OK</v>
          </cell>
          <cell r="D498" t="str">
            <v>OK</v>
          </cell>
        </row>
        <row r="499">
          <cell r="A499" t="str">
            <v>R78660</v>
          </cell>
          <cell r="B499" t="str">
            <v>Rep./Prov. dép. immo financières + 1an</v>
          </cell>
          <cell r="C499" t="str">
            <v>OK</v>
          </cell>
          <cell r="D499" t="str">
            <v>OK</v>
          </cell>
        </row>
        <row r="500">
          <cell r="A500" t="str">
            <v>R78662</v>
          </cell>
          <cell r="B500" t="str">
            <v>Rep./Prov. dép. éléments financiers - 1an</v>
          </cell>
          <cell r="C500" t="str">
            <v>OK</v>
          </cell>
          <cell r="D500" t="str">
            <v>OK</v>
          </cell>
        </row>
        <row r="501">
          <cell r="A501" t="str">
            <v>R78665</v>
          </cell>
          <cell r="B501" t="str">
            <v>Rep/Prov valeurs mobilières de placement</v>
          </cell>
          <cell r="C501" t="str">
            <v>OK</v>
          </cell>
          <cell r="D501" t="str">
            <v>OK</v>
          </cell>
        </row>
        <row r="502">
          <cell r="A502" t="str">
            <v>R78670</v>
          </cell>
          <cell r="B502" t="str">
            <v>Reprises de prov. fin. sur actif circulant</v>
          </cell>
          <cell r="C502" t="str">
            <v>PB</v>
          </cell>
          <cell r="D502" t="str">
            <v>OK</v>
          </cell>
        </row>
        <row r="503">
          <cell r="A503" t="str">
            <v>R78680</v>
          </cell>
          <cell r="B503" t="str">
            <v>Rep./Prov. financières autres</v>
          </cell>
          <cell r="C503" t="str">
            <v>OK</v>
          </cell>
          <cell r="D503" t="str">
            <v>OK</v>
          </cell>
        </row>
        <row r="504">
          <cell r="A504" t="str">
            <v>R78754</v>
          </cell>
          <cell r="B504" t="str">
            <v>Rep./ Prov. except impôt</v>
          </cell>
          <cell r="C504" t="str">
            <v>OK</v>
          </cell>
          <cell r="D504" t="str">
            <v>OK</v>
          </cell>
        </row>
        <row r="505">
          <cell r="A505" t="str">
            <v>R78758</v>
          </cell>
          <cell r="B505" t="str">
            <v>Rep. excep./ Prov. R&amp;C</v>
          </cell>
          <cell r="C505" t="str">
            <v>OK</v>
          </cell>
          <cell r="D505" t="str">
            <v>OK</v>
          </cell>
        </row>
        <row r="506">
          <cell r="A506" t="str">
            <v>R78759</v>
          </cell>
          <cell r="B506" t="str">
            <v>Rep. sur provisions réglementées</v>
          </cell>
          <cell r="C506" t="str">
            <v>OK</v>
          </cell>
          <cell r="D506" t="str">
            <v>OK</v>
          </cell>
        </row>
        <row r="507">
          <cell r="A507" t="str">
            <v>R78760</v>
          </cell>
          <cell r="B507" t="str">
            <v>Rep. excep./Prov.immobilisations financières + 1 an</v>
          </cell>
          <cell r="C507" t="str">
            <v>OK</v>
          </cell>
          <cell r="D507" t="str">
            <v>OK</v>
          </cell>
        </row>
        <row r="508">
          <cell r="A508" t="str">
            <v>R78761</v>
          </cell>
          <cell r="B508" t="str">
            <v>Reprises sur provisions pour dépréciation exceptionnelle</v>
          </cell>
          <cell r="C508" t="str">
            <v>OK</v>
          </cell>
          <cell r="D508" t="str">
            <v>OK</v>
          </cell>
        </row>
        <row r="509">
          <cell r="A509" t="str">
            <v>R78771</v>
          </cell>
          <cell r="B509" t="str">
            <v>Rep. excep./ Prov. immo corp</v>
          </cell>
          <cell r="C509" t="str">
            <v>OK</v>
          </cell>
          <cell r="D509" t="str">
            <v>OK</v>
          </cell>
        </row>
        <row r="510">
          <cell r="A510" t="str">
            <v>R78772</v>
          </cell>
          <cell r="B510" t="str">
            <v>Rep. excep./ Prov. immo incorp</v>
          </cell>
          <cell r="C510" t="str">
            <v>OK</v>
          </cell>
          <cell r="D510" t="str">
            <v>OK</v>
          </cell>
        </row>
        <row r="511">
          <cell r="A511" t="str">
            <v>R78773</v>
          </cell>
          <cell r="B511" t="str">
            <v>Rep. excep./ Prov. stocks</v>
          </cell>
          <cell r="C511" t="str">
            <v>PB</v>
          </cell>
          <cell r="D511" t="str">
            <v>OK</v>
          </cell>
        </row>
        <row r="512">
          <cell r="A512" t="str">
            <v>R78774</v>
          </cell>
          <cell r="B512" t="str">
            <v>Rep. excep./ Prov. cptes débiteurs</v>
          </cell>
          <cell r="C512" t="str">
            <v>OK</v>
          </cell>
          <cell r="D512" t="str">
            <v>OK</v>
          </cell>
        </row>
        <row r="513">
          <cell r="A513" t="str">
            <v>R79100</v>
          </cell>
          <cell r="B513" t="str">
            <v>Transferts de charges d'exploitation</v>
          </cell>
          <cell r="C513" t="str">
            <v>OK</v>
          </cell>
          <cell r="D513" t="str">
            <v>OK</v>
          </cell>
        </row>
        <row r="514">
          <cell r="A514" t="str">
            <v>R79600</v>
          </cell>
          <cell r="B514" t="str">
            <v>Transfert de charges financières</v>
          </cell>
          <cell r="C514" t="str">
            <v>OK</v>
          </cell>
          <cell r="D514" t="str">
            <v>OK</v>
          </cell>
        </row>
        <row r="515">
          <cell r="A515" t="str">
            <v>R79700</v>
          </cell>
          <cell r="B515" t="str">
            <v>Transfert de charges exceptionnelles</v>
          </cell>
          <cell r="C515" t="str">
            <v>OK</v>
          </cell>
          <cell r="D515" t="str">
            <v>OK</v>
          </cell>
        </row>
        <row r="516">
          <cell r="A516" t="str">
            <v>R79999</v>
          </cell>
          <cell r="B516" t="str">
            <v>Facturations internes (Produits)</v>
          </cell>
          <cell r="C516" t="str">
            <v>PB</v>
          </cell>
          <cell r="D516" t="str">
            <v>OK</v>
          </cell>
        </row>
        <row r="517">
          <cell r="A517" t="str">
            <v>R7999A</v>
          </cell>
          <cell r="B517" t="str">
            <v>Quote Part Fonctions transverses</v>
          </cell>
          <cell r="C517" t="str">
            <v>PB</v>
          </cell>
          <cell r="D517" t="str">
            <v>OK</v>
          </cell>
        </row>
        <row r="518">
          <cell r="A518" t="str">
            <v>R80100</v>
          </cell>
          <cell r="B518" t="str">
            <v>Quote-part de résultat des S.M.E.</v>
          </cell>
          <cell r="C518" t="str">
            <v>PB</v>
          </cell>
          <cell r="D518" t="str">
            <v>OK</v>
          </cell>
        </row>
        <row r="519">
          <cell r="A519" t="str">
            <v>R80300</v>
          </cell>
          <cell r="B519" t="str">
            <v>Résultat hors groupe</v>
          </cell>
          <cell r="C519" t="str">
            <v>PB</v>
          </cell>
          <cell r="D519" t="str">
            <v>OK</v>
          </cell>
        </row>
      </sheetData>
      <sheetData sheetId="4" refreshError="1"/>
      <sheetData sheetId="5" refreshError="1"/>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yp"/>
      <sheetName val="COMEX"/>
      <sheetName val="CA"/>
      <sheetName val="recap"/>
      <sheetName val="ParisBXL"/>
      <sheetName val="DorsaleFlam"/>
      <sheetName val="Zaventem"/>
      <sheetName val="BXLMLV"/>
      <sheetName val="ParisAnversC"/>
      <sheetName val="ParisPBas"/>
      <sheetName val="BelPBas"/>
      <sheetName val="ParisAll"/>
      <sheetName val="BelAll"/>
      <sheetName val="ParisLiège"/>
      <sheetName val="Ams MLV"/>
      <sheetName val="Soleil"/>
      <sheetName val="Bordx"/>
      <sheetName val="Grève"/>
      <sheetName val="Neige"/>
      <sheetName val="DorsaleWall"/>
      <sheetName val="TVA"/>
      <sheetName val="Rec&amp;Regul&amp;rembts"/>
      <sheetName val="Lys&amp;Tcp"/>
      <sheetName val="RepartCapital "/>
      <sheetName val="charters "/>
      <sheetName val="Kms"/>
      <sheetName val="circu"/>
      <sheetName val="FAC"/>
      <sheetName val="HLP"/>
      <sheetName val="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Route"/>
      <sheetName val="recapRes"/>
    </sheetNames>
    <sheetDataSet>
      <sheetData sheetId="0" refreshError="1"/>
      <sheetData sheetId="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ityBenchmarks"/>
      <sheetName val="Reports"/>
      <sheetName val="Inputs"/>
      <sheetName val="Reconciliation"/>
      <sheetName val="ReconRatios"/>
      <sheetName val="Lists"/>
      <sheetName val="Reports without pen adj"/>
      <sheetName val="Cover"/>
      <sheetName val="Checklist"/>
      <sheetName val="Summary output"/>
      <sheetName val="Adjusted financials"/>
      <sheetName val="S&amp;P"/>
      <sheetName val="Moody's"/>
      <sheetName val="Liste des organes"/>
      <sheetName val="Reports_without_pen_adj"/>
      <sheetName val="Summary_output"/>
      <sheetName val="Adjusted_financials"/>
      <sheetName val="Liste_des_organes"/>
      <sheetName val="Reports_without_pen_adj1"/>
      <sheetName val="Summary_output1"/>
      <sheetName val="Adjusted_financials1"/>
      <sheetName val="Liste_des_organ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sheetName val="Résultat"/>
      <sheetName val="Résultat détaillé"/>
      <sheetName val="charges perso"/>
      <sheetName val="rapport gestion"/>
      <sheetName val="C I"/>
      <sheetName val="Autres fact internes"/>
      <sheetName val="Contrôle"/>
      <sheetName val="Macro2"/>
      <sheetName val="Autres ch ext"/>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Journal"/>
      <sheetName val="NED"/>
      <sheetName val="Details"/>
      <sheetName val="Apr-15 EIL employee"/>
      <sheetName val="CoS contractors Apr-15"/>
      <sheetName val="Digital contractors Apr-15"/>
      <sheetName val="Consultants Hours spli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Journal"/>
      <sheetName val="NED"/>
      <sheetName val="Details"/>
      <sheetName val="Apr-15 EIL employee"/>
      <sheetName val="CoS contractors Apr-15"/>
      <sheetName val="Digital contractors Apr-15"/>
      <sheetName val="Consultants Hours spli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ancien"/>
      <sheetName val="P&amp;L Ebitda ancien"/>
      <sheetName val="Sommaire"/>
      <sheetName val="paramètres"/>
      <sheetName val="Lignes entités"/>
      <sheetName val="Macros"/>
      <sheetName val="déroulé CA"/>
      <sheetName val="déroulé MB"/>
      <sheetName val="déroulé EBITDA"/>
      <sheetName val="ROP ancien format"/>
      <sheetName val="déroulé ROP"/>
      <sheetName val="déroulé REX"/>
      <sheetName val="déroulé IFA"/>
      <sheetName val="déroulé Fees"/>
      <sheetName val="déroulé RN"/>
      <sheetName val="déroulé Exc."/>
      <sheetName val="déroulé Fin."/>
      <sheetName val="déroulé ssmétiers"/>
      <sheetName val="ss métiers"/>
      <sheetName val="CA juillet-août"/>
      <sheetName val="ROP juillet-août"/>
      <sheetName val="CA"/>
      <sheetName val="CA projection"/>
      <sheetName val="EBITDA"/>
      <sheetName val="ROP"/>
      <sheetName val="Chiffres clés mensuel"/>
      <sheetName val="Chiffres clés cumul"/>
      <sheetName val="CA detail"/>
      <sheetName val="EBITDA detail"/>
      <sheetName val="ROP detail"/>
      <sheetName val="ROP retraité"/>
      <sheetName val="Get Geodis détaillé"/>
      <sheetName val="Get TFM détaillé"/>
      <sheetName val="TFM"/>
      <sheetName val="P&amp;L Ebitda synt TFM"/>
      <sheetName val="P&amp;L Ebitda TFM détaillé"/>
      <sheetName val="Get Groupe détaillé"/>
      <sheetName val="P&amp;L Ebitda Geodis Wilson"/>
      <sheetName val="P&amp;L Groupe"/>
      <sheetName val="P&amp;L Groupe juillet-août"/>
      <sheetName val="P&amp;L Ebitda synt Groupe"/>
      <sheetName val="P&amp;L Ebitda Groupe juillet-août"/>
      <sheetName val="Geodis &amp; TFM conso"/>
      <sheetName val="Geodis &amp; TFM conso bimestre"/>
      <sheetName val="P&amp;L Groupe synthetique"/>
      <sheetName val="Groupe hors TFM get"/>
      <sheetName val="Groupe hors TFM synthetique"/>
      <sheetName val="Groupe hors TFM"/>
      <sheetName val="P&amp;L standalone"/>
      <sheetName val="Messagerie"/>
      <sheetName val="Mess France"/>
      <sheetName val="Mess Espagne"/>
      <sheetName val="Euromatic"/>
      <sheetName val="GIE France Express"/>
      <sheetName val="Logistique"/>
      <sheetName val="GL IdF"/>
      <sheetName val="Log Espagne"/>
      <sheetName val="Automotive"/>
      <sheetName val="Cal GE"/>
      <sheetName val="Magyar"/>
      <sheetName val="Valenda"/>
      <sheetName val="Lipetsk"/>
      <sheetName val="Freight Mgmt"/>
      <sheetName val="Asie du Nord"/>
      <sheetName val="Asie du Sud"/>
      <sheetName val="GOF"/>
      <sheetName val="FM Espagne"/>
      <sheetName val="Oil &amp; Gaz"/>
      <sheetName val="Projet"/>
      <sheetName val="Route"/>
      <sheetName val="BM"/>
      <sheetName val="Graph CA Mensuel standalone"/>
      <sheetName val="Graph CA Mensuel Groupe"/>
      <sheetName val="Taux  CA trim. corrigé"/>
      <sheetName val="graph REX%CA"/>
      <sheetName val="Graph ROP Mensuel Groupe"/>
      <sheetName val="Graph REX Mensuel Groupe"/>
      <sheetName val="Groupe Simpl"/>
      <sheetName val="Espagne"/>
      <sheetName val="mess simpl"/>
      <sheetName val="mess Fce simpl"/>
      <sheetName val="mess Ita simpl"/>
      <sheetName val="Log simpl"/>
      <sheetName val="Valenda simpl"/>
      <sheetName val="Cal GE simpl"/>
      <sheetName val="All simpl"/>
      <sheetName val="Irlande simpl"/>
      <sheetName val="TGFL"/>
      <sheetName val="Freight Mgt simpl"/>
      <sheetName val="GOF simpl"/>
      <sheetName val="Route simpl"/>
      <sheetName val="Autres simpl"/>
      <sheetName val="BD Mac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cp"/>
      <sheetName val="ecartacquis actif"/>
      <sheetName val="ecartacquis passif"/>
      <sheetName val="Participt non conso "/>
      <sheetName val="Part reev MEE"/>
      <sheetName val="VCP GROUPE"/>
      <sheetName val="VCP mino"/>
      <sheetName val="RESSOC AU CONSO"/>
      <sheetName val="CPSOC AU CONSO"/>
      <sheetName val="S rchg"/>
      <sheetName val="det prov rc"/>
      <sheetName val="detechéandettes"/>
      <sheetName val="CPTRES"/>
      <sheetName val="SIG"/>
      <sheetName val="VentSE"/>
      <sheetName val="Res fin"/>
      <sheetName val="Res excep rub"/>
      <sheetName val="S excep"/>
      <sheetName val="Detexcept"/>
      <sheetName val="ENGAGT HORS BILAN"/>
      <sheetName val="EFMES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 Budget Overview (EUR)"/>
      <sheetName val="2. Group Opex Detail (€ 2026)"/>
      <sheetName val="3. EIL Cost Centre 854 "/>
      <sheetName val="4. THIF (BDI 1200_1290)"/>
      <sheetName val="5. Simplify Savings"/>
      <sheetName val="6. Simplify Investments"/>
      <sheetName val="Reference &gt;&gt;"/>
      <sheetName val="7. FX Rates"/>
      <sheetName val="8. Group Opex Detail (€ 2025)"/>
    </sheetNames>
    <sheetDataSet>
      <sheetData sheetId="0"/>
      <sheetData sheetId="1"/>
      <sheetData sheetId="2"/>
      <sheetData sheetId="3"/>
      <sheetData sheetId="4"/>
      <sheetData sheetId="5"/>
      <sheetData sheetId="6"/>
      <sheetData sheetId="7"/>
      <sheetData sheetId="8"/>
      <sheetData sheetId="9">
        <row r="3">
          <cell r="S3">
            <v>300000</v>
          </cell>
        </row>
        <row r="4">
          <cell r="S4">
            <v>150000</v>
          </cell>
        </row>
        <row r="5">
          <cell r="S5">
            <v>39158.14880000001</v>
          </cell>
        </row>
        <row r="6">
          <cell r="S6">
            <v>16646.5488</v>
          </cell>
        </row>
        <row r="7">
          <cell r="S7">
            <v>25576.948800000009</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L Details"/>
      <sheetName val="Simplify Savings"/>
      <sheetName val="Simplify Investments"/>
      <sheetName val="Report &gt;&gt;&gt;"/>
      <sheetName val="FM PL - Other Revenue &amp; COS (2)"/>
      <sheetName val="Information about this Sheet"/>
      <sheetName val="Rate"/>
    </sheetNames>
    <sheetDataSet>
      <sheetData sheetId="0"/>
      <sheetData sheetId="1" refreshError="1"/>
      <sheetData sheetId="2" refreshError="1"/>
      <sheetData sheetId="3" refreshError="1"/>
      <sheetData sheetId="4" refreshError="1"/>
      <sheetData sheetId="5" refreshError="1"/>
      <sheetData sheetId="6">
        <row r="3">
          <cell r="C3">
            <v>0.87</v>
          </cell>
        </row>
        <row r="5">
          <cell r="C5">
            <v>1.17</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1"/>
      <sheetName val="Detail2"/>
      <sheetName val="Summary per function (2)"/>
    </sheetNames>
    <sheetDataSet>
      <sheetData sheetId="0"/>
      <sheetData sheetId="1"/>
      <sheetData sheetId="2">
        <row r="144">
          <cell r="N144">
            <v>30357.500189890314</v>
          </cell>
        </row>
      </sheetData>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https://eurostarinternational.sharepoint.com/sites/FPAandBusinessPartnering/Shared%20Documents/General/2026/2026%20Budget/Technology%20&amp;%20Process%20Optimisation/Budget%20Targets/Technology%20&amp;%20Process%20Optimisation%20-%20Budget%202026%20Target%20RR%20Edit%20.xlsx?D5437FEC" TargetMode="External"/><Relationship Id="rId2" Type="http://schemas.openxmlformats.org/officeDocument/2006/relationships/externalLinkPath" Target="file:///\\D5437FEC\Technology%20&amp;%20Process%20Optimisation%20-%20Budget%202026%20Target%20RR%20Edit%20.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ITHU Rinaz" refreshedDate="45880.761022453706" createdVersion="8" refreshedVersion="8" minRefreshableVersion="3" recordCount="104" xr:uid="{811150B2-1759-4883-A5C4-64106047AE40}">
  <cacheSource type="worksheet">
    <worksheetSource ref="C3:G107" sheet="Capex" r:id="rId2"/>
  </cacheSource>
  <cacheFields count="5">
    <cacheField name="Owner " numFmtId="0">
      <sharedItems containsBlank="1"/>
    </cacheField>
    <cacheField name="Entity " numFmtId="0">
      <sharedItems containsBlank="1"/>
    </cacheField>
    <cacheField name="Function " numFmtId="0">
      <sharedItems count="5">
        <s v="Data Middleware "/>
        <s v="IS Operations "/>
        <s v="IS Infrastructure "/>
        <s v="IS sales systems"/>
        <s v="IS customer systems"/>
      </sharedItems>
    </cacheField>
    <cacheField name="Description " numFmtId="0">
      <sharedItems/>
    </cacheField>
    <cacheField name="Amount " numFmtId="0">
      <sharedItems containsString="0" containsBlank="1" containsNumber="1" minValue="0" maxValue="11046694.999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a SINGLETON" refreshedDate="45983.620484722225" createdVersion="8" refreshedVersion="8" minRefreshableVersion="3" recordCount="180" xr:uid="{972787C2-7668-4A39-BD68-9FA72BC63155}">
  <cacheSource type="worksheet">
    <worksheetSource ref="F4:AD184" sheet="2.1 EIL Opex"/>
  </cacheSource>
  <cacheFields count="25">
    <cacheField name="Account Code Name" numFmtId="0">
      <sharedItems count="28">
        <s v="305001 - Agency staff &amp; contractors (STATIONS ONLY)"/>
        <s v="307001 - Staff entertainment"/>
        <s v="307200 - Training"/>
        <s v="340001 - Local Area Network (LAN)"/>
        <s v="340100 - Communication rooms"/>
        <s v="340200 - Computer / NIIT"/>
        <s v="340300 - IS consumables"/>
        <s v="340400 - IS Hardware maintenance &amp; support"/>
        <s v="341001 - Global Wide Area Network (GWAN)"/>
        <s v="341100 - Non Global Wide Area Network (GWAN)"/>
        <s v="341200 - Internet access"/>
        <s v="342001 - Systems support"/>
        <s v="342100 - Systems development"/>
        <s v="342200 - Hosting"/>
        <s v="342300 - Software Licences and support"/>
        <s v="356001 - Telecomms Maintenance &amp; Support"/>
        <s v="356101 - Fixed Line telephony"/>
        <s v="356300 - Mobile telephony"/>
        <s v="358300 - Equipment"/>
        <s v="361002 - Management consultancy"/>
        <s v="361003 - IS consultancy"/>
        <s v="362001 - Travel costs"/>
        <s v="362002 - Hotels"/>
        <s v="362100 - Duty travel control account"/>
        <s v="363001 - Printing and paper"/>
        <s v="363003 - Corporate memberships and subscriptions"/>
        <s v="363004 - Stationery"/>
        <s v="363007 - Freight and courier"/>
      </sharedItems>
    </cacheField>
    <cacheField name="Counterparty Code" numFmtId="0">
      <sharedItems containsBlank="1"/>
    </cacheField>
    <cacheField name="Counterparty Name" numFmtId="0">
      <sharedItems containsBlank="1"/>
    </cacheField>
    <cacheField name="Project Code" numFmtId="0">
      <sharedItems/>
    </cacheField>
    <cacheField name="Project Name" numFmtId="0">
      <sharedItems/>
    </cacheField>
    <cacheField name="Details (Free Text)" numFmtId="0">
      <sharedItems containsBlank="1"/>
    </cacheField>
    <cacheField name="Supplier (Free Text)" numFmtId="0">
      <sharedItems containsBlank="1"/>
    </cacheField>
    <cacheField name="Version (Free Text)" numFmtId="0">
      <sharedItems/>
    </cacheField>
    <cacheField name="Currency" numFmtId="0">
      <sharedItems/>
    </cacheField>
    <cacheField name="Jan-2026" numFmtId="3">
      <sharedItems containsString="0" containsBlank="1" containsNumber="1" minValue="-13975" maxValue="149382"/>
    </cacheField>
    <cacheField name="Feb-2026" numFmtId="3">
      <sharedItems containsString="0" containsBlank="1" containsNumber="1" minValue="-13975" maxValue="149382"/>
    </cacheField>
    <cacheField name="Mar-2026" numFmtId="3">
      <sharedItems containsString="0" containsBlank="1" containsNumber="1" minValue="-13975" maxValue="149382"/>
    </cacheField>
    <cacheField name="Apr-2026" numFmtId="3">
      <sharedItems containsString="0" containsBlank="1" containsNumber="1" minValue="-13975" maxValue="149382"/>
    </cacheField>
    <cacheField name="May-2026" numFmtId="3">
      <sharedItems containsString="0" containsBlank="1" containsNumber="1" minValue="-13975" maxValue="149382"/>
    </cacheField>
    <cacheField name="Jun-2026" numFmtId="3">
      <sharedItems containsString="0" containsBlank="1" containsNumber="1" minValue="-13975" maxValue="149382"/>
    </cacheField>
    <cacheField name="Jul-2026" numFmtId="3">
      <sharedItems containsString="0" containsBlank="1" containsNumber="1" minValue="-13975" maxValue="149382"/>
    </cacheField>
    <cacheField name="Aug-2026" numFmtId="3">
      <sharedItems containsString="0" containsBlank="1" containsNumber="1" minValue="-13975" maxValue="149382"/>
    </cacheField>
    <cacheField name="Sep-2026" numFmtId="3">
      <sharedItems containsString="0" containsBlank="1" containsNumber="1" minValue="-13975" maxValue="149382"/>
    </cacheField>
    <cacheField name="Oct-2026" numFmtId="3">
      <sharedItems containsString="0" containsBlank="1" containsNumber="1" minValue="-13975" maxValue="149382"/>
    </cacheField>
    <cacheField name="Nov-2026" numFmtId="3">
      <sharedItems containsString="0" containsBlank="1" containsNumber="1" minValue="-13975" maxValue="149382"/>
    </cacheField>
    <cacheField name="Dec-2026" numFmtId="3">
      <sharedItems containsString="0" containsBlank="1" containsNumber="1" minValue="-13975" maxValue="149382"/>
    </cacheField>
    <cacheField name="FY2026" numFmtId="3">
      <sharedItems containsSemiMixedTypes="0" containsString="0" containsNumber="1" minValue="-167700" maxValue="1792584"/>
    </cacheField>
    <cacheField name="cost in euros" numFmtId="38">
      <sharedItems containsSemiMixedTypes="0" containsString="0" containsNumber="1" minValue="-192758.62068965516" maxValue="2060441.3793103448"/>
    </cacheField>
    <cacheField name="Simplify savings " numFmtId="3">
      <sharedItems containsSemiMixedTypes="0" containsString="0" containsNumber="1" minValue="-350004" maxValue="0"/>
    </cacheField>
    <cacheField name="Total after Simplify" numFmtId="38">
      <sharedItems containsSemiMixedTypes="0" containsString="0" containsNumber="1" minValue="-192758.62068965516" maxValue="1924684.05931034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m/>
    <s v="EIL "/>
    <x v="0"/>
    <s v="Innovation Budget"/>
    <n v="225000"/>
  </r>
  <r>
    <m/>
    <s v="EIL "/>
    <x v="0"/>
    <s v="Thapaas Evolutions"/>
    <n v="320000"/>
  </r>
  <r>
    <m/>
    <s v="EIL "/>
    <x v="0"/>
    <s v="Enablers Evolutions"/>
    <n v="320000"/>
  </r>
  <r>
    <m/>
    <s v="EIL "/>
    <x v="0"/>
    <s v="DataHub Platform Roadmap"/>
    <n v="450000"/>
  </r>
  <r>
    <m/>
    <s v="EIL "/>
    <x v="0"/>
    <s v="Datalakehouse Platform Roadmap"/>
    <n v="195000"/>
  </r>
  <r>
    <m/>
    <s v="EIL"/>
    <x v="0"/>
    <s v="Rolling Stock - OpsAPI Refactoring &amp; DataHub Integration (Including NIS2 Activity)"/>
    <n v="240000"/>
  </r>
  <r>
    <m/>
    <s v="EIL"/>
    <x v="0"/>
    <s v="Rolling Stock - Analytics Projects"/>
    <n v="350000"/>
  </r>
  <r>
    <m/>
    <s v="EIL"/>
    <x v="0"/>
    <s v="Operations - Analytics Continous Improvement Projects   (non-OMP)"/>
    <n v="560000"/>
  </r>
  <r>
    <m/>
    <s v="EIL"/>
    <x v="0"/>
    <s v="Polaris Roadmap"/>
    <n v="135000"/>
  </r>
  <r>
    <m/>
    <s v="EIL"/>
    <x v="0"/>
    <s v="Polaris Middleware Decoupling"/>
    <n v="157500"/>
  </r>
  <r>
    <m/>
    <s v="EIL"/>
    <x v="0"/>
    <s v="Commercial - Joint Customer Database"/>
    <n v="180000"/>
  </r>
  <r>
    <m/>
    <s v="EIL"/>
    <x v="0"/>
    <s v="Stations - Analytics Projects"/>
    <n v="290000"/>
  </r>
  <r>
    <m/>
    <s v="EIL"/>
    <x v="0"/>
    <s v="Finance &amp; HR - ERP Compatibility Layer"/>
    <n v="190000"/>
  </r>
  <r>
    <m/>
    <s v="EIL"/>
    <x v="0"/>
    <s v="OASSIS PowerBI Reporting Layer"/>
    <n v="95000"/>
  </r>
  <r>
    <m/>
    <s v="THIF"/>
    <x v="0"/>
    <s v="2024 Leftover - Data Hub extensions for Stations &amp; OnBoard tools (multiple projects)"/>
    <n v="485000"/>
  </r>
  <r>
    <m/>
    <s v="THIF"/>
    <x v="0"/>
    <s v="2024 Leftover - Fraud Detection - AI Integration"/>
    <n v="97000"/>
  </r>
  <r>
    <m/>
    <s v="EIL"/>
    <x v="0"/>
    <s v="2024 Leftover - New Customer Segmentation / C360 Evolutions"/>
    <n v="208000"/>
  </r>
  <r>
    <m/>
    <s v="THIF"/>
    <x v="1"/>
    <s v="[ICOMERA] Router Upgrade x61 to 7"/>
    <n v="812000"/>
  </r>
  <r>
    <m/>
    <s v="THIF"/>
    <x v="1"/>
    <s v="[Gauthier De Lavenne] IS Supervision manager 2026"/>
    <n v="200000"/>
  </r>
  <r>
    <m/>
    <s v="THIF"/>
    <x v="1"/>
    <s v="[Samy Benhalla] BA/PM - Fiche Train 2026"/>
    <n v="180000"/>
  </r>
  <r>
    <m/>
    <s v="THIF"/>
    <x v="1"/>
    <s v="Enchainements"/>
    <n v="50000"/>
  </r>
  <r>
    <m/>
    <s v="THIF"/>
    <x v="1"/>
    <s v="RNE migration"/>
    <n v="50000"/>
  </r>
  <r>
    <m/>
    <s v="THIF"/>
    <x v="1"/>
    <s v="TOTEM+ Evolutions data quality"/>
    <n v="500000"/>
  </r>
  <r>
    <m/>
    <s v="THIF"/>
    <x v="1"/>
    <s v="INTEGRATION eROSTER/TAMTAM avec PRISM ET ANTILOPE"/>
    <n v="100000"/>
  </r>
  <r>
    <m/>
    <s v="THIF"/>
    <x v="1"/>
    <s v="START ON TIME Deployment to EUROBAHN TD"/>
    <n v="0"/>
  </r>
  <r>
    <m/>
    <m/>
    <x v="1"/>
    <s v="AVIS SECURITE Digitalisation autres réseaux"/>
    <n v="0"/>
  </r>
  <r>
    <m/>
    <s v="THIF"/>
    <x v="1"/>
    <s v="FICHE TRAIN Harmonisation (déploiement LoRo)"/>
    <n v="100000"/>
  </r>
  <r>
    <m/>
    <m/>
    <x v="1"/>
    <s v="RAC Digitalisation du process de mise à jour"/>
    <n v="100000"/>
  </r>
  <r>
    <m/>
    <s v="THIF"/>
    <x v="1"/>
    <s v="AVIS SECURITE Digitalisation INFRABEL - FICHE TRAIN?"/>
    <n v="100000"/>
  </r>
  <r>
    <m/>
    <m/>
    <x v="1"/>
    <s v="SOPRANO Deployment to TD"/>
    <n v="0"/>
  </r>
  <r>
    <m/>
    <s v="EIL"/>
    <x v="1"/>
    <s v="[RTSP] Developments/Enhancements"/>
    <n v="17000"/>
  </r>
  <r>
    <m/>
    <s v="THIF"/>
    <x v="1"/>
    <s v="COMET improvements (infra and data management)"/>
    <n v="300000"/>
  </r>
  <r>
    <m/>
    <s v="THIF"/>
    <x v="1"/>
    <s v="DocThalys/ValidMe replacement"/>
    <n v="120000"/>
  </r>
  <r>
    <m/>
    <s v="THIF"/>
    <x v="1"/>
    <s v="Euromap refactoring (delay management)"/>
    <n v="50000"/>
  </r>
  <r>
    <m/>
    <s v="THIF"/>
    <x v="1"/>
    <s v="[SIMPLIFY] [PROVIDERS] - Needed evolutions for decomissionning strat - 2026"/>
    <n v="150000"/>
  </r>
  <r>
    <m/>
    <s v="EIL"/>
    <x v="1"/>
    <s v="Demand mgt, reporting and roadmap tool for IS OPS"/>
    <n v="100000"/>
  </r>
  <r>
    <m/>
    <s v="EIL"/>
    <x v="1"/>
    <s v="Disaster recovery improvements"/>
    <n v="100000"/>
  </r>
  <r>
    <m/>
    <s v="THIF"/>
    <x v="1"/>
    <s v="Vending Machines Connectivity Continental Fleet"/>
    <n v="75000"/>
  </r>
  <r>
    <m/>
    <s v="EIL"/>
    <x v="1"/>
    <s v="RTSP Developments/Enhancements"/>
    <n v="60000"/>
  </r>
  <r>
    <m/>
    <s v="EIL"/>
    <x v="1"/>
    <s v="E320 Onboard 5G WIFI Deployment Project - Full Fleet"/>
    <n v="5800000"/>
  </r>
  <r>
    <m/>
    <s v="EIL"/>
    <x v="1"/>
    <s v="Continental Fleet PIS Enhancements"/>
    <n v="100000"/>
  </r>
  <r>
    <m/>
    <s v="EIL"/>
    <x v="1"/>
    <s v="[SIMPLIFY] Quintic Planning and maintenance version upgrade"/>
    <n v="100000"/>
  </r>
  <r>
    <m/>
    <s v="EIL"/>
    <x v="1"/>
    <s v="NEW TMI App  - Security &amp; move into Eil Enterprise "/>
    <n v="1450000"/>
  </r>
  <r>
    <m/>
    <s v="EIL"/>
    <x v="1"/>
    <s v="Migration of  Performance Applications from SalesForce"/>
    <n v="174000"/>
  </r>
  <r>
    <m/>
    <s v="EIL"/>
    <x v="1"/>
    <s v="API into MRI Evolution"/>
    <n v="50000"/>
  </r>
  <r>
    <m/>
    <s v="EIL"/>
    <x v="1"/>
    <s v="AssessTech - Onboarding Ops continental teams proj (Phase 2)"/>
    <n v="57999.999999999993"/>
  </r>
  <r>
    <m/>
    <s v="EIL"/>
    <x v="1"/>
    <s v="SMART Replatforming"/>
    <n v="50000"/>
  </r>
  <r>
    <m/>
    <s v="EIL"/>
    <x v="1"/>
    <s v="Contractor Wifi PoC Project TECH PM Vrushik Patel"/>
    <n v="200000"/>
  </r>
  <r>
    <m/>
    <s v="EIL"/>
    <x v="1"/>
    <s v="Contractor E2M Project -  BA / PM "/>
    <n v="200000"/>
  </r>
  <r>
    <m/>
    <s v="THIF"/>
    <x v="1"/>
    <s v="[SIMPLIFY] Itersys handover"/>
    <n v="250000"/>
  </r>
  <r>
    <s v="Ben Gbeve"/>
    <s v="THIF"/>
    <x v="2"/>
    <s v="Wi-Fi Enhancements  (Refresh old kit, secure guest &amp; Corp Wi-Fi)"/>
    <n v="60000"/>
  </r>
  <r>
    <s v="Ben Gbeve"/>
    <s v="THIF"/>
    <x v="2"/>
    <s v="Firewalls (Checkpoint tactical for VPN)"/>
    <n v="100000"/>
  </r>
  <r>
    <s v="Ben Gbeve"/>
    <s v="THIF"/>
    <x v="2"/>
    <s v="Continental LAN Upgrade"/>
    <n v="200000"/>
  </r>
  <r>
    <s v="Ben Gbeve"/>
    <s v="EIL"/>
    <x v="2"/>
    <s v="Station Wi-Fi (for mobility)"/>
    <n v="130000"/>
  </r>
  <r>
    <s v="Ben Gbeve"/>
    <m/>
    <x v="2"/>
    <s v="Lounge Enhancements/Customer Exerience (Wi-Fi / IPTV / Portal)"/>
    <n v="90000"/>
  </r>
  <r>
    <s v="Ben Gbeve"/>
    <s v="EIL"/>
    <x v="2"/>
    <s v="SPI Phase 2"/>
    <n v="175000"/>
  </r>
  <r>
    <s v="Ben Gbeve"/>
    <s v="EIL"/>
    <x v="2"/>
    <s v="UPS Upgrades + Power"/>
    <n v="100000"/>
  </r>
  <r>
    <s v="Ben Gbeve"/>
    <s v="Group"/>
    <x v="2"/>
    <s v="SD-WAN / SASE / Consolidate VPN"/>
    <n v="100000"/>
  </r>
  <r>
    <s v="Ben Gbeve"/>
    <s v="Group"/>
    <x v="2"/>
    <s v="OCC Disaster Recovery"/>
    <n v="60000"/>
  </r>
  <r>
    <s v="Ben Gbeve"/>
    <s v="EIL"/>
    <x v="2"/>
    <s v="Hardware BAU"/>
    <n v="220000"/>
  </r>
  <r>
    <s v="Ben Gbeve"/>
    <s v="THIF"/>
    <x v="2"/>
    <s v="Hardware BAU"/>
    <n v="120000"/>
  </r>
  <r>
    <s v="Ben Gbeve"/>
    <s v="Group"/>
    <x v="2"/>
    <s v="Software Licences - up to date"/>
    <m/>
  </r>
  <r>
    <s v="Ben Gbeve"/>
    <s v="Group"/>
    <x v="2"/>
    <s v="Proactive laptop refresh &amp; consolidation"/>
    <n v="200000"/>
  </r>
  <r>
    <s v="Ben Gbeve"/>
    <s v="EIL"/>
    <x v="2"/>
    <s v="Android / IOS Consolidation"/>
    <n v="125000"/>
  </r>
  <r>
    <s v="Ben Gbeve"/>
    <s v="EIL"/>
    <x v="2"/>
    <s v="Home drives (H) to OneDrive"/>
    <n v="60000"/>
  </r>
  <r>
    <s v="Ben Gbeve"/>
    <s v="EIL"/>
    <x v="2"/>
    <s v="Stations improvements"/>
    <n v="150000"/>
  </r>
  <r>
    <s v="Ben Gbeve"/>
    <s v="EIL"/>
    <x v="2"/>
    <s v="Customer Information System refresh"/>
    <n v="100000"/>
  </r>
  <r>
    <s v="Ben Gbeve"/>
    <s v="Group"/>
    <x v="2"/>
    <s v="Windows 11 roll out"/>
    <m/>
  </r>
  <r>
    <s v="Ben Gbeve"/>
    <m/>
    <x v="2"/>
    <s v="Teams Rooms Replacements"/>
    <n v="100000"/>
  </r>
  <r>
    <s v="Ben Gbeve"/>
    <m/>
    <x v="2"/>
    <s v="Cloud PKI"/>
    <n v="50000"/>
  </r>
  <r>
    <s v="Ben Gbeve"/>
    <m/>
    <x v="2"/>
    <s v="ISLOG Replacement"/>
    <n v="60000"/>
  </r>
  <r>
    <s v="Ben Gbeve"/>
    <m/>
    <x v="2"/>
    <s v="M365 Backup"/>
    <m/>
  </r>
  <r>
    <s v="Ben Gbeve"/>
    <m/>
    <x v="2"/>
    <s v="Passwordless "/>
    <n v="10000"/>
  </r>
  <r>
    <s v="Ben Gbeve"/>
    <s v="THIF"/>
    <x v="2"/>
    <s v="Hyper-V continue and ESX upgrade, move to cloud"/>
    <n v="70000"/>
  </r>
  <r>
    <s v="Ben Gbeve"/>
    <s v="THIF"/>
    <x v="2"/>
    <s v="Linux improvement, Patching &amp;  Identity (RADIUS)"/>
    <n v="50000"/>
  </r>
  <r>
    <s v="Ben Gbeve"/>
    <s v="THIF"/>
    <x v="2"/>
    <s v="Auromated patching (ARC)"/>
    <n v="50000"/>
  </r>
  <r>
    <s v="Ben Gbeve"/>
    <s v="Group"/>
    <x v="2"/>
    <s v="Windows 2016 Sever replacement"/>
    <n v="80000"/>
  </r>
  <r>
    <s v="Ben Gbeve"/>
    <s v="Group"/>
    <x v="2"/>
    <s v="DevOps pipeline and containers"/>
    <n v="10000"/>
  </r>
  <r>
    <s v="Ben Gbeve"/>
    <s v="Group"/>
    <x v="2"/>
    <s v="Consolidated solution for Cloud Back up &amp; DR"/>
    <n v="100000"/>
  </r>
  <r>
    <s v="Ben Gbeve"/>
    <m/>
    <x v="2"/>
    <s v="Paris"/>
    <n v="401267.15945089748"/>
  </r>
  <r>
    <s v="Ben Gbeve"/>
    <m/>
    <x v="2"/>
    <s v="Terminal Control Refurb"/>
    <n v="211193.24181626187"/>
  </r>
  <r>
    <s v="Xavier "/>
    <m/>
    <x v="3"/>
    <s v="Digital Road map"/>
    <n v="11046694.999999998"/>
  </r>
  <r>
    <s v="Mael"/>
    <m/>
    <x v="4"/>
    <s v="[Stations] - CAPACITY - Check-in position replaced by Mobile Check-in"/>
    <n v="140172"/>
  </r>
  <r>
    <s v="Mael"/>
    <m/>
    <x v="4"/>
    <s v="[Stations] - CAPACITY Voyager on Mobile (inc 20% of contingency for PM) - TBC with David"/>
    <n v="420515.99999999994"/>
  </r>
  <r>
    <s v="Mael"/>
    <m/>
    <x v="4"/>
    <s v="[Stations] - CAPACITY - SST refit POC"/>
    <n v="70086"/>
  </r>
  <r>
    <s v="Mael"/>
    <m/>
    <x v="4"/>
    <s v="[Stations] - CX - CIS - CIS refit for SPI (Start) - hardware + software"/>
    <n v="280344"/>
  </r>
  <r>
    <s v="Mael"/>
    <m/>
    <x v="4"/>
    <s v="[Stations] - CX - CIS - Mobile Screen refit"/>
    <n v="140172"/>
  </r>
  <r>
    <s v="Mael"/>
    <m/>
    <x v="4"/>
    <s v="[Stations] - CX - Display - queuing time display on mobile screen or Mobile app"/>
    <n v="70086"/>
  </r>
  <r>
    <s v="Mael"/>
    <m/>
    <x v="4"/>
    <s v="[Stations] - CAPACITY - SPARK - improvements"/>
    <n v="408834.99999999994"/>
  </r>
  <r>
    <s v="Mael"/>
    <m/>
    <x v="4"/>
    <s v="[Stations] - CX - COMMS - auto-communication to for customer Station journey preparations (pre-travel, auto-reaccommodations, smart queuing, ...)"/>
    <n v="280344"/>
  </r>
  <r>
    <s v="Mael"/>
    <m/>
    <x v="4"/>
    <s v="[Stations] - CIS - Integration with SNCF G&amp;C systems (connection to LIVE)"/>
    <n v="245300.99999999997"/>
  </r>
  <r>
    <s v="Mael"/>
    <m/>
    <x v="4"/>
    <s v="[Stations] - CX - BORDERS - station way finder for border control"/>
    <n v="151853"/>
  </r>
  <r>
    <s v="Mael"/>
    <m/>
    <x v="4"/>
    <s v="[Stations/Operations] - DATA - Station data in Data hub + ML based forecast reports for all stations"/>
    <n v="350430"/>
  </r>
  <r>
    <s v="Mael"/>
    <m/>
    <x v="4"/>
    <s v="[Stations/Operations] - New Start On Time (TBC) - replacement with further integration for stations for x-channel"/>
    <n v="233619.99999999997"/>
  </r>
  <r>
    <s v="Mael"/>
    <m/>
    <x v="4"/>
    <s v="[Operations/Stations] - unification of Self Service within DPAX"/>
    <n v="338749"/>
  </r>
  <r>
    <s v="Mael"/>
    <m/>
    <x v="4"/>
    <s v="[Operations/Stations] - Customer Information - CIS data consolidations (train, delay, queuing time...)"/>
    <n v="350430"/>
  </r>
  <r>
    <s v="Mael"/>
    <m/>
    <x v="4"/>
    <s v="[On-board] - Unification of TACT and iTM (hardware + software) TBC"/>
    <n v="992884.99999999988"/>
  </r>
  <r>
    <s v="Mael"/>
    <m/>
    <x v="4"/>
    <s v="[On-Board] - [iTM] - small maintenance projects"/>
    <n v="58404.999999999993"/>
  </r>
  <r>
    <s v="Mael"/>
    <m/>
    <x v="4"/>
    <s v="[Operations] - Equipment Change - automation of equipment changes (BA time + dev) - PRJ: 1853"/>
    <n v="572369"/>
  </r>
  <r>
    <s v="Mael"/>
    <m/>
    <x v="4"/>
    <s v="RM360 - general improvement to match new need followng migration to new RM tool"/>
    <n v="46724"/>
  </r>
  <r>
    <s v="Mael"/>
    <m/>
    <x v="4"/>
    <s v="Loyalty/Stations - lounge entry solution POC (based some recognition technical solution)"/>
    <n v="58404.999999999993"/>
  </r>
  <r>
    <s v="Mael"/>
    <m/>
    <x v="4"/>
    <s v="TOTAL"/>
    <n v="182223.59999999998"/>
  </r>
  <r>
    <s v="Mael"/>
    <m/>
    <x v="4"/>
    <s v="Operation Project Manager - Paul broomhead"/>
    <n v="168206.4"/>
  </r>
  <r>
    <s v="Mael"/>
    <m/>
    <x v="4"/>
    <s v="Business Analyst (Station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s v="000000_Default"/>
    <s v="000000_Default"/>
    <s v="0000_Default"/>
    <s v="0000_Default"/>
    <s v="BI Center of Excellence"/>
    <m/>
    <s v="Budget 2026"/>
    <s v="EUR"/>
    <n v="23333"/>
    <n v="23333"/>
    <n v="23333"/>
    <n v="23333"/>
    <n v="23333"/>
    <n v="23333"/>
    <n v="23333"/>
    <n v="23333"/>
    <n v="23333"/>
    <n v="23333"/>
    <n v="23333"/>
    <n v="23333"/>
    <n v="279996"/>
    <n v="279996"/>
    <n v="0"/>
    <n v="279996"/>
  </r>
  <r>
    <x v="1"/>
    <s v="000000_Default"/>
    <s v="000000_Default"/>
    <s v="0000_Default"/>
    <s v="0000_Default"/>
    <s v="Expenses"/>
    <s v="Various"/>
    <s v="Budget 2026"/>
    <s v="GBP"/>
    <n v="150"/>
    <n v="150"/>
    <n v="150"/>
    <n v="150"/>
    <n v="150"/>
    <n v="150"/>
    <n v="150"/>
    <n v="150"/>
    <n v="150"/>
    <n v="150"/>
    <n v="150"/>
    <n v="150"/>
    <n v="1800"/>
    <n v="2068.9655172413795"/>
    <n v="0"/>
    <n v="2068.9655172413795"/>
  </r>
  <r>
    <x v="2"/>
    <s v="000000_Default"/>
    <s v="000000_Default"/>
    <s v="0000_Default"/>
    <s v="0000_Default"/>
    <s v="Training"/>
    <m/>
    <s v="Budget 2026"/>
    <s v="EUR"/>
    <n v="8443.06"/>
    <n v="8443.06"/>
    <n v="8443.06"/>
    <n v="8443.06"/>
    <n v="8443.06"/>
    <n v="8443.06"/>
    <n v="8443.06"/>
    <n v="8443.06"/>
    <n v="8443.06"/>
    <n v="8443.06"/>
    <n v="8443.06"/>
    <n v="8443.06"/>
    <n v="101316.71999999999"/>
    <n v="101316.71999999999"/>
    <n v="0"/>
    <n v="101316.71999999999"/>
  </r>
  <r>
    <x v="2"/>
    <s v="000000_Default"/>
    <s v="000000_Default"/>
    <s v="0000_Default"/>
    <s v="0000_Default"/>
    <s v="Training"/>
    <s v="Various"/>
    <s v="Budget 2026"/>
    <s v="GBP"/>
    <n v="1000"/>
    <n v="1000"/>
    <n v="1000"/>
    <n v="1000"/>
    <n v="1000"/>
    <n v="1000"/>
    <n v="1000"/>
    <n v="1000"/>
    <n v="1000"/>
    <n v="1000"/>
    <n v="1000"/>
    <n v="1000"/>
    <n v="12000"/>
    <n v="13793.103448275862"/>
    <n v="0"/>
    <n v="13793.103448275862"/>
  </r>
  <r>
    <x v="2"/>
    <s v="000000_Default"/>
    <s v="000000_Default"/>
    <s v="0000_Default"/>
    <s v="0000_Default"/>
    <s v="Training budget for increased team-wide knowledge"/>
    <s v="Various"/>
    <s v="5+7 2024 &amp; Budget 25"/>
    <s v="GBP"/>
    <m/>
    <m/>
    <m/>
    <m/>
    <m/>
    <m/>
    <m/>
    <m/>
    <m/>
    <m/>
    <n v="833"/>
    <n v="833"/>
    <n v="1666"/>
    <n v="1914.9425287356321"/>
    <n v="0"/>
    <n v="1914.9425287356321"/>
  </r>
  <r>
    <x v="3"/>
    <s v="000000_Default"/>
    <s v="000000_Default"/>
    <s v="0000_Default"/>
    <s v="0000_Default"/>
    <s v="SPI Terminal Wi-Fi"/>
    <s v="WIFI METROPOLIS BV"/>
    <s v="Budget 2026"/>
    <s v="GBP"/>
    <n v="2175"/>
    <n v="2175"/>
    <n v="2175"/>
    <n v="2175"/>
    <n v="2175"/>
    <n v="2175"/>
    <n v="2175"/>
    <n v="2175"/>
    <n v="2175"/>
    <n v="2175"/>
    <n v="2175"/>
    <n v="2175"/>
    <n v="26100"/>
    <n v="30000"/>
    <n v="0"/>
    <n v="30000"/>
  </r>
  <r>
    <x v="3"/>
    <s v="000000_Default"/>
    <s v="000000_Default"/>
    <s v="0000_Default"/>
    <s v="0000_Default"/>
    <s v="New Amsterdam Terminal Wi-Fi "/>
    <s v="Natilik"/>
    <s v="Budget 2026"/>
    <s v="GBP"/>
    <n v="670"/>
    <n v="670"/>
    <n v="670"/>
    <n v="670"/>
    <n v="670"/>
    <n v="670"/>
    <n v="670"/>
    <n v="670"/>
    <n v="670"/>
    <n v="670"/>
    <n v="670"/>
    <n v="670"/>
    <n v="8040"/>
    <n v="9241.3793103448279"/>
    <n v="0"/>
    <n v="9241.3793103448279"/>
  </r>
  <r>
    <x v="3"/>
    <s v="000000_Default"/>
    <s v="000000_Default"/>
    <s v="0000_Default"/>
    <s v="0000_Default"/>
    <s v="Network swtiches at all locations"/>
    <s v="Meraki and Others"/>
    <s v="Budget 2026"/>
    <s v="GBP"/>
    <n v="6350"/>
    <n v="6350"/>
    <n v="6350"/>
    <n v="6350"/>
    <n v="6350"/>
    <n v="6350"/>
    <n v="6350"/>
    <n v="6350"/>
    <n v="6350"/>
    <n v="6350"/>
    <n v="6350"/>
    <n v="6350"/>
    <n v="76200"/>
    <n v="87586.206896551725"/>
    <n v="0"/>
    <n v="87586.206896551725"/>
  </r>
  <r>
    <x v="3"/>
    <s v="000000_Default"/>
    <s v="000000_Default"/>
    <s v="0000_Default"/>
    <s v="0000_Default"/>
    <s v="Firewall including Phsical/Cloud Palo Alto Support "/>
    <s v="BYTES"/>
    <s v="Budget 2026"/>
    <s v="GBP"/>
    <n v="6917"/>
    <n v="6917"/>
    <n v="6917"/>
    <n v="6917"/>
    <n v="6917"/>
    <n v="6917"/>
    <n v="6917"/>
    <n v="6917"/>
    <n v="6917"/>
    <n v="6917"/>
    <n v="6917"/>
    <n v="6917"/>
    <n v="83004"/>
    <n v="95406.896551724145"/>
    <n v="-40860"/>
    <n v="54546.896551724145"/>
  </r>
  <r>
    <x v="3"/>
    <s v="000000_Default"/>
    <s v="000000_Default"/>
    <s v="0000_Default"/>
    <s v="0000_Default"/>
    <s v="ClearPass Wi-Fi Controllers &amp; Aruba - Now replaced by licences for Cisco ISE "/>
    <s v="ASP"/>
    <s v="Budget 2026"/>
    <s v="GBP"/>
    <n v="4000"/>
    <n v="4000"/>
    <n v="4000"/>
    <n v="4000"/>
    <n v="4000"/>
    <n v="4000"/>
    <n v="4000"/>
    <n v="4000"/>
    <n v="4000"/>
    <n v="4000"/>
    <n v="4000"/>
    <n v="4000"/>
    <n v="48000"/>
    <n v="55172.413793103449"/>
    <n v="-27240"/>
    <n v="27932.413793103449"/>
  </r>
  <r>
    <x v="4"/>
    <s v="000000_Default"/>
    <s v="000000_Default"/>
    <s v="0000_Default"/>
    <s v="0000_Default"/>
    <s v="Provision to maitain comms rooms (UPS, disposals, etc)"/>
    <s v="SECURE POWER / Others"/>
    <s v="Budget 2026"/>
    <s v="GBP"/>
    <n v="2500"/>
    <n v="2500"/>
    <n v="2500"/>
    <n v="2500"/>
    <n v="2500"/>
    <n v="2500"/>
    <n v="2500"/>
    <n v="2500"/>
    <n v="2500"/>
    <n v="2500"/>
    <n v="2500"/>
    <n v="2500"/>
    <n v="30000"/>
    <n v="34482.758620689652"/>
    <n v="0"/>
    <n v="34482.758620689652"/>
  </r>
  <r>
    <x v="5"/>
    <s v="000000_Default"/>
    <s v="000000_Default"/>
    <s v="0000_Default"/>
    <s v="0000_Default"/>
    <s v="Managed Service Provider - Amsterdam Coverage"/>
    <s v="HEXAWARE"/>
    <s v="Budget 2026"/>
    <s v="GBP"/>
    <n v="5416.67"/>
    <n v="5416.67"/>
    <n v="5416.67"/>
    <n v="5416.67"/>
    <n v="5416.67"/>
    <n v="5416.67"/>
    <n v="5416.67"/>
    <n v="5416.67"/>
    <n v="5416.67"/>
    <n v="5416.67"/>
    <n v="5416.67"/>
    <n v="5416.67"/>
    <n v="65000.039999999986"/>
    <n v="74712.689655172391"/>
    <n v="0"/>
    <n v="74712.689655172391"/>
  </r>
  <r>
    <x v="5"/>
    <s v="000000_Default"/>
    <s v="000000_Default"/>
    <s v="0000_Default"/>
    <s v="0000_Default"/>
    <s v="Managed Service Provider - Arc/Rcs variations "/>
    <s v="HEXAWARE"/>
    <s v="Budget 2026"/>
    <s v="GBP"/>
    <n v="8333.33"/>
    <n v="8333.33"/>
    <n v="8333.33"/>
    <n v="8333.33"/>
    <n v="8333.33"/>
    <n v="8333.33"/>
    <n v="8333.33"/>
    <n v="8333.33"/>
    <n v="8333.33"/>
    <n v="8333.33"/>
    <n v="8333.33"/>
    <n v="8333.33"/>
    <n v="99999.96"/>
    <n v="114942.4827586207"/>
    <n v="0"/>
    <n v="114942.4827586207"/>
  </r>
  <r>
    <x v="5"/>
    <s v="000000_Default"/>
    <s v="000000_Default"/>
    <s v="0000_Default"/>
    <s v="0000_Default"/>
    <s v="Managed Service Provider - Core Service Charge (BAU &amp; Tx)"/>
    <s v="HEXAWARE"/>
    <s v="Budget 2026"/>
    <s v="GBP"/>
    <n v="149382"/>
    <n v="149382"/>
    <n v="149382"/>
    <n v="149382"/>
    <n v="149382"/>
    <n v="149382"/>
    <n v="149382"/>
    <n v="149382"/>
    <n v="149382"/>
    <n v="149382"/>
    <n v="149382"/>
    <n v="149382"/>
    <n v="1792584"/>
    <n v="2060441.3793103448"/>
    <n v="-135757.32"/>
    <n v="1924684.0593103447"/>
  </r>
  <r>
    <x v="5"/>
    <s v="000000_Default"/>
    <s v="000000_Default"/>
    <s v="0000_Default"/>
    <s v="0000_Default"/>
    <s v="Managed Service Provider - Non BAU"/>
    <s v="HEXAWARE"/>
    <s v="Budget 2026"/>
    <s v="GBP"/>
    <n v="11250"/>
    <n v="11250"/>
    <n v="11250"/>
    <n v="11250"/>
    <n v="11250"/>
    <n v="11250"/>
    <n v="11250"/>
    <n v="11250"/>
    <n v="11250"/>
    <n v="11250"/>
    <n v="11250"/>
    <n v="11250"/>
    <n v="135000"/>
    <n v="155172.41379310345"/>
    <n v="0"/>
    <n v="155172.41379310345"/>
  </r>
  <r>
    <x v="5"/>
    <s v="000000_Default"/>
    <s v="000000_Default"/>
    <s v="0000_Default"/>
    <s v="0000_Default"/>
    <s v="Managed Service Provider - TUPE Provision"/>
    <s v="HEXAWARE"/>
    <s v="Budget 2026"/>
    <s v="GBP"/>
    <n v="7900"/>
    <n v="7900"/>
    <n v="7900"/>
    <n v="7900"/>
    <n v="7900"/>
    <n v="7900"/>
    <n v="7900"/>
    <n v="7900"/>
    <n v="7900"/>
    <n v="7900"/>
    <n v="7900"/>
    <n v="7900"/>
    <n v="94800"/>
    <n v="108965.5172413793"/>
    <n v="0"/>
    <n v="108965.5172413793"/>
  </r>
  <r>
    <x v="5"/>
    <s v="000000_Default"/>
    <s v="000000_Default"/>
    <s v="0000_Default"/>
    <s v="0000_Default"/>
    <s v="Managed Service Provider - Application Support"/>
    <s v="COFORGE U.K. LIMITED-"/>
    <s v="Budget 2026"/>
    <s v="GBP"/>
    <n v="2900"/>
    <n v="2900"/>
    <n v="2900"/>
    <n v="2900"/>
    <n v="2900"/>
    <n v="2900"/>
    <n v="2900"/>
    <n v="2900"/>
    <n v="2900"/>
    <n v="2900"/>
    <n v="2900"/>
    <n v="2900"/>
    <n v="34800"/>
    <n v="40000"/>
    <n v="0"/>
    <n v="40000"/>
  </r>
  <r>
    <x v="6"/>
    <s v="000000_Default"/>
    <s v="000000_Default"/>
    <s v="0000_Default"/>
    <s v="0000_Default"/>
    <s v="Hardware and consumables"/>
    <s v="Various"/>
    <s v="Budget 2026"/>
    <s v="GBP"/>
    <n v="9000"/>
    <n v="9000"/>
    <n v="9000"/>
    <n v="9000"/>
    <n v="9000"/>
    <n v="9000"/>
    <n v="9000"/>
    <n v="9000"/>
    <n v="9000"/>
    <n v="9000"/>
    <n v="9000"/>
    <n v="9000"/>
    <n v="108000"/>
    <n v="124137.93103448275"/>
    <n v="0"/>
    <n v="124137.93103448275"/>
  </r>
  <r>
    <x v="7"/>
    <s v="000000_Default"/>
    <s v="000000_Default"/>
    <s v="0000_Default"/>
    <s v="0000_Default"/>
    <s v="Call out &amp; repair of display / meeting room systems"/>
    <s v="SOLUTIONS AUDIO VISUAL LIMITED"/>
    <s v="Budget 2026"/>
    <s v="GBP"/>
    <n v="3230"/>
    <n v="3230"/>
    <n v="3230"/>
    <n v="3230"/>
    <n v="3230"/>
    <n v="3230"/>
    <n v="3230"/>
    <n v="3230"/>
    <n v="3230"/>
    <n v="3230"/>
    <n v="3230"/>
    <n v="3230"/>
    <n v="38760"/>
    <n v="44551.724137931036"/>
    <n v="0"/>
    <n v="44551.724137931036"/>
  </r>
  <r>
    <x v="7"/>
    <s v="000000_Default"/>
    <s v="000000_Default"/>
    <s v="0000_Default"/>
    <s v="0000_Default"/>
    <s v="Stand alone printer"/>
    <s v="Printer Support"/>
    <s v="Budget 2026"/>
    <s v="GBP"/>
    <n v="495.42"/>
    <n v="495.42"/>
    <n v="495.42"/>
    <n v="495.42"/>
    <n v="495.42"/>
    <n v="495.42"/>
    <n v="495.42"/>
    <n v="495.42"/>
    <n v="495.42"/>
    <n v="495.42"/>
    <n v="495.42"/>
    <n v="495.42"/>
    <n v="5945.04"/>
    <n v="6833.3793103448279"/>
    <n v="0"/>
    <n v="6833.3793103448279"/>
  </r>
  <r>
    <x v="7"/>
    <s v="000000_Default"/>
    <s v="000000_Default"/>
    <s v="0000_Default"/>
    <s v="0000_Default"/>
    <s v="Teleohony at TMI (Siemens PBX)"/>
    <s v="ELITETELE.COM PLC T/A ELITE GROUP"/>
    <s v="Budget 2026"/>
    <s v="GBP"/>
    <n v="583.33000000000004"/>
    <n v="583.33000000000004"/>
    <n v="583.33000000000004"/>
    <n v="583.33000000000004"/>
    <n v="583.33000000000004"/>
    <n v="583.33000000000004"/>
    <n v="583.33000000000004"/>
    <n v="583.33000000000004"/>
    <n v="583.33000000000004"/>
    <n v="583.33000000000004"/>
    <n v="583.33000000000004"/>
    <n v="583.33000000000004"/>
    <n v="6999.96"/>
    <n v="8045.9310344827591"/>
    <n v="0"/>
    <n v="8045.9310344827591"/>
  </r>
  <r>
    <x v="7"/>
    <s v="000000_Default"/>
    <s v="000000_Default"/>
    <s v="0000_Default"/>
    <s v="0000_Default"/>
    <s v="SST Payement Devices at stations"/>
    <s v="ADYEN N.V "/>
    <s v="Budget 2026"/>
    <s v="GBP"/>
    <n v="436"/>
    <n v="436"/>
    <n v="436"/>
    <n v="436"/>
    <n v="436"/>
    <n v="436"/>
    <n v="436"/>
    <n v="436"/>
    <n v="436"/>
    <n v="436"/>
    <n v="436"/>
    <n v="436"/>
    <n v="5232"/>
    <n v="6013.7931034482763"/>
    <n v="0"/>
    <n v="6013.7931034482763"/>
  </r>
  <r>
    <x v="7"/>
    <s v="000000_Default"/>
    <s v="000000_Default"/>
    <s v="0000_Default"/>
    <s v="0000_Default"/>
    <s v="[Stations] - Borders - SAS Parafe - maintenance"/>
    <s v="Thales"/>
    <s v="Budget 2026"/>
    <s v="GBP"/>
    <n v="13000"/>
    <n v="13000"/>
    <n v="13000"/>
    <n v="13000"/>
    <n v="13000"/>
    <n v="13000"/>
    <n v="13000"/>
    <n v="13000"/>
    <n v="13000"/>
    <n v="13000"/>
    <n v="13000"/>
    <n v="13000"/>
    <n v="156000"/>
    <n v="179310.3448275862"/>
    <n v="0"/>
    <n v="179310.3448275862"/>
  </r>
  <r>
    <x v="7"/>
    <s v="000000_Default"/>
    <s v="000000_Default"/>
    <s v="0000_Default"/>
    <s v="0000_Default"/>
    <s v="[Stations] - Ticket Gates maintenance"/>
    <s v="IER/EASIER"/>
    <s v="Budget 2026"/>
    <s v="GBP"/>
    <n v="2600"/>
    <n v="2600"/>
    <n v="2600"/>
    <n v="2600"/>
    <n v="2600"/>
    <n v="2600"/>
    <n v="2600"/>
    <n v="2600"/>
    <n v="2600"/>
    <n v="2600"/>
    <n v="2600"/>
    <n v="2600"/>
    <n v="31200"/>
    <n v="35862.068965517239"/>
    <n v="0"/>
    <n v="35862.068965517239"/>
  </r>
  <r>
    <x v="8"/>
    <s v="000000_Default"/>
    <s v="000000_Default"/>
    <s v="0000_Default"/>
    <s v="0000_Default"/>
    <s v="Connection to Tigre for TMI dedicated PCs"/>
    <s v="HERMES INFORMATION TECHNOLOGY RAIL (HIT RAIL) BV"/>
    <s v="Budget 2026"/>
    <s v="EUR"/>
    <n v="4356.25"/>
    <n v="4356.25"/>
    <n v="4356.25"/>
    <n v="4356.25"/>
    <n v="4356.25"/>
    <n v="4356.25"/>
    <n v="4356.25"/>
    <n v="4356.25"/>
    <n v="4356.25"/>
    <n v="4356.25"/>
    <n v="4356.25"/>
    <n v="4356.25"/>
    <n v="52275"/>
    <n v="52275"/>
    <n v="0"/>
    <n v="52275"/>
  </r>
  <r>
    <x v="8"/>
    <s v="000000_Default"/>
    <s v="000000_Default"/>
    <s v="0000_Default"/>
    <s v="0000_Default"/>
    <s v="EIL MPLS WAN &amp; Internet Connections"/>
    <s v="MASERGY COMMUNICATIONS INC"/>
    <s v="Budget 2026"/>
    <s v="GBP"/>
    <n v="48085"/>
    <n v="48085"/>
    <n v="48085"/>
    <n v="48085"/>
    <n v="48085"/>
    <n v="48085"/>
    <n v="48085"/>
    <n v="48085"/>
    <n v="48085"/>
    <n v="48085"/>
    <n v="48085"/>
    <n v="48085"/>
    <n v="577020"/>
    <n v="663241.37931034481"/>
    <n v="-289425"/>
    <n v="373816.37931034481"/>
  </r>
  <r>
    <x v="8"/>
    <s v="000000_Default"/>
    <s v="000000_Default"/>
    <s v="0000_Default"/>
    <s v="0000_Default"/>
    <s v="SASE Replacement for Masergy MPLS and Security"/>
    <s v="CATO NETWORKS (Or A N OTHER)"/>
    <s v="Budget 2026"/>
    <s v="USD"/>
    <m/>
    <m/>
    <m/>
    <n v="35000"/>
    <n v="35000"/>
    <n v="35000"/>
    <n v="35000"/>
    <n v="35000"/>
    <n v="35000"/>
    <n v="35000"/>
    <n v="35000"/>
    <n v="35000"/>
    <n v="315000"/>
    <n v="269230.76923076925"/>
    <n v="0"/>
    <n v="269230.76923076925"/>
  </r>
  <r>
    <x v="9"/>
    <s v="000000_Default"/>
    <s v="000000_Default"/>
    <s v="0000_Default"/>
    <s v="0000_Default"/>
    <s v="Internet in BMI BL Lounge"/>
    <s v="EUROFIBER N.V."/>
    <s v="Budget 2026"/>
    <s v="EUR"/>
    <n v="385"/>
    <n v="385"/>
    <n v="385"/>
    <n v="385"/>
    <n v="385"/>
    <n v="385"/>
    <n v="385"/>
    <n v="385"/>
    <n v="385"/>
    <n v="385"/>
    <n v="385"/>
    <n v="385"/>
    <n v="4620"/>
    <n v="4620"/>
    <n v="-2310"/>
    <n v="2310"/>
  </r>
  <r>
    <x v="9"/>
    <s v="000000_Default"/>
    <s v="000000_Default"/>
    <s v="0000_Default"/>
    <s v="0000_Default"/>
    <s v="Amsterdam Station Internet Access (3yr contract from Dec 2023) "/>
    <s v="BT BUSINESS COMMUNICATIONS"/>
    <s v="Budget 2026"/>
    <s v="GBP"/>
    <n v="3470"/>
    <n v="3470"/>
    <n v="3470"/>
    <n v="3470"/>
    <n v="3470"/>
    <n v="3470"/>
    <n v="3470"/>
    <n v="3470"/>
    <n v="3470"/>
    <n v="3470"/>
    <n v="3470"/>
    <n v="3470"/>
    <n v="41640"/>
    <n v="47862.068965517239"/>
    <n v="0"/>
    <n v="47862.068965517239"/>
  </r>
  <r>
    <x v="9"/>
    <s v="000000_Default"/>
    <s v="000000_Default"/>
    <s v="0000_Default"/>
    <s v="0000_Default"/>
    <s v="Rotterdam Station Internat Access (3yr contract from Oct 2020)"/>
    <s v="BT BUSINESS COMMUNICATIONS"/>
    <s v="Budget 2026"/>
    <s v="GBP"/>
    <n v="930"/>
    <n v="930"/>
    <n v="930"/>
    <n v="930"/>
    <n v="930"/>
    <n v="930"/>
    <n v="930"/>
    <n v="930"/>
    <n v="930"/>
    <n v="930"/>
    <n v="930"/>
    <n v="930"/>
    <n v="11160"/>
    <n v="12827.586206896553"/>
    <n v="-9499.9499999999989"/>
    <n v="3327.6362068965536"/>
  </r>
  <r>
    <x v="10"/>
    <s v="000000_Default"/>
    <s v="000000_Default"/>
    <s v="1373_WiFi On Board"/>
    <s v="1373_WiFi On Board"/>
    <s v="M2M Energy Monitoring "/>
    <s v="ORANGE SA"/>
    <s v="Budget 2026"/>
    <s v="EUR"/>
    <n v="617"/>
    <n v="617"/>
    <n v="617"/>
    <n v="617"/>
    <n v="617"/>
    <n v="617"/>
    <n v="617"/>
    <n v="617"/>
    <n v="617"/>
    <n v="617"/>
    <n v="617"/>
    <n v="617"/>
    <n v="7404"/>
    <n v="7404"/>
    <n v="0"/>
    <n v="7404"/>
  </r>
  <r>
    <x v="10"/>
    <s v="000000_Default"/>
    <s v="000000_Default"/>
    <s v="1373_WiFi On Board"/>
    <s v="1373_WiFi On Board"/>
    <s v="Onboard passanger Wi-Fi (Channel EIL)"/>
    <s v="ORANGE "/>
    <s v="Budget 2026"/>
    <s v="EUR"/>
    <n v="145537"/>
    <n v="145537"/>
    <n v="145537"/>
    <n v="145537"/>
    <n v="145537"/>
    <n v="145537"/>
    <n v="145537"/>
    <n v="145537"/>
    <n v="145537"/>
    <n v="145537"/>
    <n v="145537"/>
    <n v="145537"/>
    <n v="1746444"/>
    <n v="1746444"/>
    <n v="-246444"/>
    <n v="1500000"/>
  </r>
  <r>
    <x v="10"/>
    <s v="000000_Default"/>
    <s v="000000_Default"/>
    <s v="0000_Default"/>
    <s v="0000_Default"/>
    <s v="Internet in PNO BL Lounge"/>
    <s v="TELSTRA EUROPE LTD"/>
    <s v="Budget 2026"/>
    <s v="GBP"/>
    <n v="2768"/>
    <n v="2768"/>
    <n v="2768"/>
    <n v="2768"/>
    <n v="2768"/>
    <n v="2768"/>
    <n v="2768"/>
    <n v="2768"/>
    <n v="2768"/>
    <n v="2768"/>
    <n v="2768"/>
    <n v="2768"/>
    <n v="33216"/>
    <n v="38179.310344827587"/>
    <n v="-28275.119999999999"/>
    <n v="9904.190344827588"/>
  </r>
  <r>
    <x v="10"/>
    <s v="000000_Default"/>
    <s v="000000_Default"/>
    <s v="1373_WiFi On Board"/>
    <s v="1373_WiFi On Board"/>
    <s v="M2M/CSD Jasper 2G train systems monitoring (No PIS contract)"/>
    <s v="TELEFONICA UK LIMITED"/>
    <s v="Budget 2026"/>
    <s v="GBP"/>
    <n v="5416.67"/>
    <n v="5416.67"/>
    <n v="5416.67"/>
    <n v="5416.67"/>
    <n v="5416.67"/>
    <n v="5416.67"/>
    <n v="5416.67"/>
    <n v="5416.67"/>
    <n v="5416.67"/>
    <n v="5416.67"/>
    <n v="5416.67"/>
    <n v="5416.67"/>
    <n v="65000.039999999986"/>
    <n v="74712.689655172391"/>
    <n v="0"/>
    <n v="74712.689655172391"/>
  </r>
  <r>
    <x v="11"/>
    <s v="000000_Default"/>
    <s v="000000_Default"/>
    <s v="0000_Default"/>
    <s v="0000_Default"/>
    <s v="WISI Mobile screens at stations"/>
    <s v="Met Systems Limited"/>
    <s v="Budget 2026"/>
    <s v="GBP"/>
    <n v="3750"/>
    <n v="3750"/>
    <n v="3750"/>
    <n v="3750"/>
    <n v="3750"/>
    <n v="3750"/>
    <n v="3750"/>
    <n v="3750"/>
    <n v="3750"/>
    <n v="3750"/>
    <n v="3750"/>
    <n v="3750"/>
    <n v="45000"/>
    <n v="51724.137931034486"/>
    <n v="0"/>
    <n v="51724.137931034486"/>
  </r>
  <r>
    <x v="11"/>
    <s v="000000_Default"/>
    <s v="000000_Default"/>
    <s v="0000_Default"/>
    <s v="0000_Default"/>
    <s v="Support for station display screens"/>
    <s v="MAINT-TEK ELECTRONICS SERVICES"/>
    <s v="Budget 2026"/>
    <s v="GBP"/>
    <n v="7708.33"/>
    <n v="7708.33"/>
    <n v="7708.33"/>
    <n v="7708.33"/>
    <n v="7708.33"/>
    <n v="7708.33"/>
    <n v="7708.33"/>
    <n v="7708.33"/>
    <n v="7708.33"/>
    <n v="7708.33"/>
    <n v="7708.33"/>
    <n v="7708.33"/>
    <n v="92499.96"/>
    <n v="106321.79310344829"/>
    <n v="0"/>
    <n v="106321.79310344829"/>
  </r>
  <r>
    <x v="11"/>
    <s v="000000_Default"/>
    <s v="000000_Default"/>
    <s v="0000_Default"/>
    <s v="0000_Default"/>
    <s v="Wifi Network Monitoring"/>
    <s v="Xentrans / Netforecast"/>
    <s v="Budget 2026"/>
    <s v="EUR"/>
    <n v="15000"/>
    <n v="15000"/>
    <n v="15000"/>
    <n v="15000"/>
    <n v="15000"/>
    <n v="15000"/>
    <n v="15000"/>
    <n v="15000"/>
    <n v="15000"/>
    <n v="15000"/>
    <n v="15000"/>
    <n v="15000"/>
    <n v="180000"/>
    <n v="180000"/>
    <n v="0"/>
    <n v="180000"/>
  </r>
  <r>
    <x v="11"/>
    <s v="000000_Default"/>
    <s v="000000_Default"/>
    <s v="0000_Default"/>
    <s v="0000_Default"/>
    <s v="eRoster and Quintiq Maintenance and Planning TBC"/>
    <s v="SOPRA STERIA BENELUX SA"/>
    <s v="Budget 2026"/>
    <s v="EUR"/>
    <n v="10000"/>
    <n v="10000"/>
    <n v="10000"/>
    <n v="10000"/>
    <n v="10000"/>
    <n v="10000"/>
    <n v="10000"/>
    <n v="10000"/>
    <n v="10000"/>
    <n v="10000"/>
    <n v="10000"/>
    <n v="10000"/>
    <n v="120000"/>
    <n v="120000"/>
    <n v="0"/>
    <n v="120000"/>
  </r>
  <r>
    <x v="11"/>
    <s v="000000_Default"/>
    <s v="000000_Default"/>
    <s v="0000_Default"/>
    <s v="0000_Default"/>
    <s v="e320 PIS App Support + PIS content update  PIS content management"/>
    <s v="WABTEC ANNAX"/>
    <s v="Budget 2026"/>
    <s v="GBP"/>
    <n v="17916.37"/>
    <n v="17916.37"/>
    <n v="17916.37"/>
    <n v="17916.37"/>
    <n v="17916.37"/>
    <n v="17916.37"/>
    <n v="17916.37"/>
    <n v="17916.37"/>
    <n v="17916.37"/>
    <n v="17916.37"/>
    <n v="17916.37"/>
    <n v="17916.37"/>
    <n v="214996.43999999997"/>
    <n v="247122.34482758617"/>
    <n v="0"/>
    <n v="247122.34482758617"/>
  </r>
  <r>
    <x v="11"/>
    <s v="000000_Default"/>
    <s v="000000_Default"/>
    <s v="1176_Equinox"/>
    <s v="1176_Equinox"/>
    <s v="Equinox Application Support"/>
    <s v="TRIMBLE TECHNOLOGIES IRELAND LIMITED"/>
    <s v="Budget 2026"/>
    <s v="GBP"/>
    <n v="23649.61"/>
    <n v="23649.61"/>
    <n v="23649.61"/>
    <n v="23649.61"/>
    <n v="23649.61"/>
    <n v="23649.61"/>
    <n v="23649.61"/>
    <n v="23649.61"/>
    <n v="23649.61"/>
    <n v="23649.61"/>
    <n v="23649.61"/>
    <n v="23649.61"/>
    <n v="283795.31999999995"/>
    <n v="326201.51724137925"/>
    <n v="0"/>
    <n v="326201.51724137925"/>
  </r>
  <r>
    <x v="11"/>
    <s v="000000_Default"/>
    <s v="000000_Default"/>
    <s v="0000_Default"/>
    <s v="0000_Default"/>
    <s v="e300 &amp; Ruby PIS App Support"/>
    <s v="TELEVIC"/>
    <s v="Budget 2026"/>
    <s v="GBP"/>
    <n v="4013.27"/>
    <n v="4013.27"/>
    <n v="4013.27"/>
    <n v="4013.27"/>
    <n v="4013.27"/>
    <n v="4013.27"/>
    <n v="4013.27"/>
    <n v="4013.27"/>
    <n v="4013.27"/>
    <n v="4013.27"/>
    <n v="4013.27"/>
    <n v="4013.27"/>
    <n v="48159.239999999991"/>
    <n v="55355.448275862058"/>
    <n v="0"/>
    <n v="55355.448275862058"/>
  </r>
  <r>
    <x v="11"/>
    <s v="000000_Default"/>
    <s v="000000_Default"/>
    <s v="0000_Default"/>
    <s v="0000_Default"/>
    <s v="Wifi Onboard Support"/>
    <s v="NOMAD DIGITAL LIMITED"/>
    <s v="Budget 2026"/>
    <s v="GBP"/>
    <n v="24366.26"/>
    <n v="24366.26"/>
    <n v="24366.26"/>
    <n v="24366.26"/>
    <n v="24366.26"/>
    <n v="24366.26"/>
    <n v="24366.26"/>
    <n v="24366.26"/>
    <n v="24366.26"/>
    <n v="24366.26"/>
    <n v="24366.26"/>
    <n v="24366.26"/>
    <n v="292395.12000000005"/>
    <n v="336086.34482758626"/>
    <n v="0"/>
    <n v="336086.34482758626"/>
  </r>
  <r>
    <x v="11"/>
    <s v="000000_Default"/>
    <s v="000000_Default"/>
    <s v="0000_Default"/>
    <s v="0000_Default"/>
    <s v="CCF support"/>
    <s v="NETWORK RAIL INFRASTRUCTURE LIMITED"/>
    <s v="Budget 2026"/>
    <s v="GBP"/>
    <n v="4299.93"/>
    <n v="4299.93"/>
    <n v="4299.93"/>
    <n v="4299.93"/>
    <n v="4299.93"/>
    <n v="4299.93"/>
    <n v="4299.93"/>
    <n v="4299.93"/>
    <n v="4299.93"/>
    <n v="4299.93"/>
    <n v="4299.93"/>
    <n v="4299.93"/>
    <n v="51599.16"/>
    <n v="59309.379310344833"/>
    <n v="0"/>
    <n v="59309.379310344833"/>
  </r>
  <r>
    <x v="11"/>
    <s v="000000_Default"/>
    <s v="000000_Default"/>
    <s v="0000_Default"/>
    <s v="0000_Default"/>
    <s v="Penetration test"/>
    <s v="NCC SERVICES LIMITED"/>
    <s v="Budget 2026"/>
    <s v="GBP"/>
    <n v="7166.55"/>
    <n v="7166.55"/>
    <n v="7166.55"/>
    <n v="7166.55"/>
    <n v="7166.55"/>
    <n v="7166.55"/>
    <n v="7166.55"/>
    <n v="7166.55"/>
    <n v="7166.55"/>
    <n v="7166.55"/>
    <n v="7166.55"/>
    <n v="7166.55"/>
    <n v="85998.60000000002"/>
    <n v="98848.965517241406"/>
    <n v="0"/>
    <n v="98848.965517241406"/>
  </r>
  <r>
    <x v="11"/>
    <s v="000000_Default"/>
    <s v="000000_Default"/>
    <s v="0000_Default"/>
    <s v="0000_Default"/>
    <s v="IBS Ops App Support"/>
    <s v="IBS SOFTWARE EUROPE LIMITED"/>
    <s v="Budget 2026"/>
    <s v="GBP"/>
    <n v="11036.48"/>
    <n v="11036.48"/>
    <n v="11036.48"/>
    <n v="11036.48"/>
    <n v="11036.48"/>
    <n v="11036.48"/>
    <n v="11036.48"/>
    <n v="11036.48"/>
    <n v="11036.48"/>
    <n v="11036.48"/>
    <n v="11036.48"/>
    <n v="11036.48"/>
    <n v="132437.75999999998"/>
    <n v="152227.31034482757"/>
    <n v="0"/>
    <n v="152227.31034482757"/>
  </r>
  <r>
    <x v="11"/>
    <s v="000000_Default"/>
    <s v="000000_Default"/>
    <s v="0000_Default"/>
    <s v="0000_Default"/>
    <s v="[Stations] - TACT (Mobile Check-in)"/>
    <s v="Worldline"/>
    <s v="Budget 2026"/>
    <s v="EUR"/>
    <n v="2316"/>
    <n v="2316"/>
    <n v="2316"/>
    <n v="2316"/>
    <n v="2316"/>
    <n v="2316"/>
    <n v="2316"/>
    <n v="2316"/>
    <n v="2316"/>
    <n v="2316"/>
    <n v="2316"/>
    <n v="2316"/>
    <n v="27792"/>
    <n v="27792"/>
    <n v="0"/>
    <n v="27792"/>
  </r>
  <r>
    <x v="11"/>
    <s v="000000_Default"/>
    <s v="000000_Default"/>
    <s v="0000_Default"/>
    <s v="0000_Default"/>
    <s v="[Stations] - Xovis maintenance - PNO"/>
    <s v="Xovis"/>
    <s v="Budget 2026"/>
    <s v="GBP"/>
    <n v="1820"/>
    <n v="1820"/>
    <n v="1820"/>
    <n v="1820"/>
    <n v="1820"/>
    <n v="1950"/>
    <n v="1950"/>
    <n v="1950"/>
    <n v="1950"/>
    <n v="1950"/>
    <n v="1950"/>
    <n v="1950"/>
    <n v="22750"/>
    <n v="26149.425287356324"/>
    <n v="0"/>
    <n v="26149.425287356324"/>
  </r>
  <r>
    <x v="11"/>
    <s v="000000_Default"/>
    <s v="000000_Default"/>
    <s v="1174_EDCS"/>
    <s v="1174_EDCS"/>
    <s v="[Stations] - EDCS Support"/>
    <s v="Worldline"/>
    <s v="Budget 2026"/>
    <s v="GBP"/>
    <n v="20500"/>
    <n v="20500"/>
    <n v="20500"/>
    <n v="20500"/>
    <n v="20500"/>
    <n v="20500"/>
    <n v="20500"/>
    <n v="20500"/>
    <n v="20500"/>
    <n v="20500"/>
    <n v="20500"/>
    <n v="20500"/>
    <n v="246000"/>
    <n v="282758.62068965519"/>
    <n v="-14302.560000000005"/>
    <n v="268456.06068965519"/>
  </r>
  <r>
    <x v="11"/>
    <s v="000000_Default"/>
    <s v="000000_Default"/>
    <s v="1179_Loyalty"/>
    <s v="1179_Loyalty"/>
    <s v="[Loyalty] - ICLP PLC/Collinsons: Application maintenance for Loyalty"/>
    <s v="Collinsons (ICLP)"/>
    <s v="Budget 2026"/>
    <s v="GBP"/>
    <n v="17262.099999999999"/>
    <n v="17262.099999999999"/>
    <n v="17262.099999999999"/>
    <n v="17262.099999999999"/>
    <n v="17262.099999999999"/>
    <n v="17262.099999999999"/>
    <n v="17262.099999999999"/>
    <n v="17262.099999999999"/>
    <n v="17262.63"/>
    <n v="17263.16"/>
    <n v="17263.689999999999"/>
    <n v="17264.22"/>
    <n v="207150.50000000003"/>
    <n v="238104.02298850578"/>
    <n v="-37884.35"/>
    <n v="200219.67298850577"/>
  </r>
  <r>
    <x v="11"/>
    <s v="000000_Default"/>
    <s v="000000_Default"/>
    <s v="1154_I-Pad Application for Train Managers"/>
    <s v="1154_I-Pad Application for Train Managers"/>
    <s v="[On-Board] - Ipad application for train managers (iTM + EMOS)"/>
    <s v="COFORGE U.K. LIMITED"/>
    <s v="Budget 2026"/>
    <s v="GBP"/>
    <n v="10500"/>
    <n v="10500"/>
    <n v="10500"/>
    <n v="10500"/>
    <n v="10500"/>
    <n v="10500"/>
    <n v="10500"/>
    <n v="10500"/>
    <n v="10500"/>
    <n v="10500"/>
    <n v="10500"/>
    <n v="10500"/>
    <n v="126000"/>
    <n v="144827.58620689655"/>
    <n v="-21977.16"/>
    <n v="122850.42620689655"/>
  </r>
  <r>
    <x v="11"/>
    <s v="000000_Default"/>
    <s v="000000_Default"/>
    <s v="0000_Default"/>
    <s v="0000_Default"/>
    <s v="[Operations] - Disrution Management front-end - application Masintenance"/>
    <s v="COFORGE U.K. LIMITED"/>
    <s v="Budget 2026"/>
    <s v="GBP"/>
    <n v="4000"/>
    <n v="4000"/>
    <n v="4000"/>
    <n v="4000"/>
    <n v="4000"/>
    <n v="4000"/>
    <n v="4000"/>
    <n v="4000"/>
    <n v="4000"/>
    <n v="4000"/>
    <n v="4000"/>
    <n v="4000"/>
    <n v="48000"/>
    <n v="55172.413793103449"/>
    <n v="-8372.2800000000025"/>
    <n v="46800.13379310345"/>
  </r>
  <r>
    <x v="11"/>
    <s v="000000_Default"/>
    <s v="000000_Default"/>
    <s v="0000_Default"/>
    <s v="0000_Default"/>
    <s v="[Stations] - New Station Data tool: application and maintenance - server, devOps, dev"/>
    <m/>
    <s v="Budget 2026"/>
    <s v="GBP"/>
    <n v="5000"/>
    <n v="5000"/>
    <n v="5000"/>
    <n v="5000"/>
    <n v="5000"/>
    <n v="5000"/>
    <n v="5000"/>
    <n v="5000"/>
    <n v="5000"/>
    <n v="5000"/>
    <n v="5000"/>
    <n v="5000"/>
    <n v="60000"/>
    <n v="68965.517241379304"/>
    <n v="-13953.719999999996"/>
    <n v="55011.79724137931"/>
  </r>
  <r>
    <x v="11"/>
    <s v="000000_Default"/>
    <s v="000000_Default"/>
    <s v="0000_Default"/>
    <s v="0000_Default"/>
    <s v="Continous Pentesting, Bug bounty"/>
    <s v="YesWeHack"/>
    <s v="Budget 2026"/>
    <s v="EUR"/>
    <n v="3833"/>
    <n v="3833"/>
    <n v="3833"/>
    <n v="3833"/>
    <n v="3833"/>
    <n v="3833"/>
    <n v="3833"/>
    <n v="3833"/>
    <n v="3833"/>
    <n v="3833"/>
    <n v="3833"/>
    <n v="3833"/>
    <n v="45996"/>
    <n v="45996"/>
    <n v="0"/>
    <n v="45996"/>
  </r>
  <r>
    <x v="11"/>
    <s v="000000_Default"/>
    <s v="000000_Default"/>
    <s v="0000_Default"/>
    <s v="0000_Default"/>
    <s v="AlertLogic - Security Operating Center + Vulnerability Scans (THI Assets)"/>
    <s v="Fortra"/>
    <s v="Budget 2026"/>
    <s v="EUR"/>
    <n v="11667"/>
    <n v="11667"/>
    <n v="11667"/>
    <n v="11667"/>
    <n v="11667"/>
    <n v="11667"/>
    <n v="11667"/>
    <n v="11667"/>
    <n v="11667"/>
    <n v="11667"/>
    <n v="11667"/>
    <n v="11667"/>
    <n v="140004"/>
    <n v="140004"/>
    <n v="0"/>
    <n v="140004"/>
  </r>
  <r>
    <x v="11"/>
    <s v="000000_Default"/>
    <s v="000000_Default"/>
    <s v="0000_Default"/>
    <s v="0000_Default"/>
    <s v="Small Software (AD audit+ …)"/>
    <m/>
    <s v="Budget 2026"/>
    <s v="EUR"/>
    <n v="425"/>
    <n v="425"/>
    <n v="425"/>
    <n v="425"/>
    <n v="425"/>
    <n v="425"/>
    <n v="425"/>
    <n v="425"/>
    <n v="425"/>
    <n v="425"/>
    <n v="425"/>
    <n v="425"/>
    <n v="5100"/>
    <n v="5100"/>
    <n v="0"/>
    <n v="5100"/>
  </r>
  <r>
    <x v="11"/>
    <s v="000000_Default"/>
    <s v="000000_Default"/>
    <s v="0000_Default"/>
    <s v="0000_Default"/>
    <s v="Oracle EBS support (call off units) - Version 1"/>
    <s v="Version 1"/>
    <s v="Budget 2026"/>
    <s v="GBP"/>
    <n v="3333"/>
    <n v="3333"/>
    <n v="3333"/>
    <n v="3333"/>
    <n v="3333"/>
    <n v="3333"/>
    <n v="3333"/>
    <n v="3333"/>
    <n v="3333"/>
    <n v="3333"/>
    <n v="3333"/>
    <n v="3333"/>
    <n v="39996"/>
    <n v="45972.413793103449"/>
    <n v="0"/>
    <n v="45972.413793103449"/>
  </r>
  <r>
    <x v="11"/>
    <s v="000000_Default"/>
    <s v="000000_Default"/>
    <s v="0000_Default"/>
    <s v="0000_Default"/>
    <s v="Oracle technical and functional support - Version 1"/>
    <s v="Version 1"/>
    <s v="Budget 2026"/>
    <s v="GBP"/>
    <n v="10000"/>
    <n v="10000"/>
    <n v="10000"/>
    <n v="10000"/>
    <n v="10000"/>
    <n v="10000"/>
    <n v="10000"/>
    <n v="10000"/>
    <n v="10000"/>
    <n v="10000"/>
    <n v="10000"/>
    <n v="10000"/>
    <n v="120000"/>
    <n v="137931.03448275861"/>
    <n v="-50004"/>
    <n v="87927.034482758609"/>
  </r>
  <r>
    <x v="11"/>
    <s v="000000_Default"/>
    <s v="000000_Default"/>
    <s v="0000_Default"/>
    <s v="0000_Default"/>
    <s v="Penetration Testing"/>
    <s v="n/a"/>
    <s v="Budget 2026"/>
    <s v="GBP"/>
    <n v="1750"/>
    <n v="1750"/>
    <n v="1750"/>
    <n v="1750"/>
    <n v="1750"/>
    <n v="1750"/>
    <n v="1750"/>
    <n v="1750"/>
    <n v="1750"/>
    <n v="1750"/>
    <n v="1750"/>
    <n v="1750"/>
    <n v="21000"/>
    <n v="24137.931034482757"/>
    <n v="0"/>
    <n v="24137.931034482757"/>
  </r>
  <r>
    <x v="11"/>
    <s v="000000_Default"/>
    <s v="000000_Default"/>
    <s v="0000_Default"/>
    <s v="0000_Default"/>
    <s v="Business Objects - Support"/>
    <s v="infosol"/>
    <s v="Budget 2026"/>
    <s v="GBP"/>
    <n v="1083"/>
    <n v="1083"/>
    <n v="1083"/>
    <n v="1083"/>
    <n v="1083"/>
    <n v="1083"/>
    <n v="1083"/>
    <n v="1083"/>
    <n v="1083"/>
    <n v="1083"/>
    <n v="1083"/>
    <n v="1083"/>
    <n v="12996"/>
    <n v="14937.931034482759"/>
    <n v="0"/>
    <n v="14937.931034482759"/>
  </r>
  <r>
    <x v="11"/>
    <s v="000000_Default"/>
    <s v="000000_Default"/>
    <s v="0000_Default"/>
    <s v="0000_Default"/>
    <s v="Access Control Solution Maintenance &amp; Support"/>
    <s v="Genetec"/>
    <s v="Budget 2026"/>
    <s v="GBP"/>
    <n v="3333"/>
    <n v="3333"/>
    <n v="3333"/>
    <n v="3333"/>
    <n v="3333"/>
    <n v="3333"/>
    <n v="3333"/>
    <n v="3333"/>
    <n v="3333"/>
    <n v="3333"/>
    <n v="3333"/>
    <n v="3333"/>
    <n v="39996"/>
    <n v="45972.413793103449"/>
    <n v="0"/>
    <n v="45972.413793103449"/>
  </r>
  <r>
    <x v="11"/>
    <s v="000000_Default"/>
    <s v="000000_Default"/>
    <s v="0000_Default"/>
    <s v="0000_Default"/>
    <s v="Filemaker Door Access"/>
    <s v="Filemaker"/>
    <s v="Budget 2026"/>
    <s v="GBP"/>
    <n v="417"/>
    <n v="417"/>
    <n v="417"/>
    <n v="417"/>
    <n v="417"/>
    <n v="417"/>
    <n v="417"/>
    <n v="417"/>
    <n v="417"/>
    <n v="417"/>
    <n v="417"/>
    <n v="417"/>
    <n v="5004"/>
    <n v="5751.7241379310344"/>
    <n v="0"/>
    <n v="5751.7241379310344"/>
  </r>
  <r>
    <x v="11"/>
    <s v="000000_Default"/>
    <s v="000000_Default"/>
    <s v="0000_Default"/>
    <s v="0000_Default"/>
    <s v="EHS - ECO Online (Corporate Accident &amp; Hazard Reporting)"/>
    <s v="ECO Online"/>
    <s v="Budget 2026"/>
    <s v="GBP"/>
    <n v="3333"/>
    <n v="3333"/>
    <n v="3333"/>
    <n v="3333"/>
    <n v="3333"/>
    <n v="3333"/>
    <n v="3333"/>
    <n v="3333"/>
    <n v="3333"/>
    <n v="3333"/>
    <n v="3333"/>
    <n v="3333"/>
    <n v="39996"/>
    <n v="45972.413793103449"/>
    <n v="0"/>
    <n v="45972.413793103449"/>
  </r>
  <r>
    <x v="11"/>
    <s v="000000_Default"/>
    <s v="000000_Default"/>
    <s v="0000_Default"/>
    <s v="0000_Default"/>
    <s v="Hotels Express"/>
    <s v="Accommodation Plus International (API)"/>
    <s v="Budget 2026"/>
    <s v="GBP"/>
    <n v="1667"/>
    <n v="1667"/>
    <n v="1667"/>
    <n v="1667"/>
    <n v="1667"/>
    <n v="1667"/>
    <n v="1667"/>
    <n v="1667"/>
    <n v="1667"/>
    <n v="1667"/>
    <n v="1667"/>
    <n v="1667"/>
    <n v="20004"/>
    <n v="22993.103448275862"/>
    <n v="0"/>
    <n v="22993.103448275862"/>
  </r>
  <r>
    <x v="11"/>
    <s v="000000_Default"/>
    <s v="000000_Default"/>
    <s v="0000_Default"/>
    <s v="0000_Default"/>
    <s v="ACES"/>
    <s v="Accommodation Plus International (API)"/>
    <s v="Budget 2026"/>
    <s v="USD"/>
    <n v="1667"/>
    <n v="1667"/>
    <n v="1667"/>
    <n v="1667"/>
    <n v="1667"/>
    <n v="1667"/>
    <n v="1667"/>
    <n v="1667"/>
    <n v="1667"/>
    <n v="1667"/>
    <n v="1667"/>
    <n v="1667"/>
    <n v="20004"/>
    <n v="17097.435897435898"/>
    <n v="0"/>
    <n v="17097.435897435898"/>
  </r>
  <r>
    <x v="12"/>
    <s v="000000_Default"/>
    <s v="000000_Default"/>
    <s v="0000_Default"/>
    <s v="0000_Default"/>
    <s v="BTNet Internet service for KPL "/>
    <s v="BT BUSINESS COMMUNICATIONS"/>
    <s v="Budget 2026"/>
    <s v="GBP"/>
    <n v="500"/>
    <n v="500"/>
    <n v="500"/>
    <n v="500"/>
    <n v="500"/>
    <n v="500"/>
    <n v="500"/>
    <n v="500"/>
    <n v="500"/>
    <n v="500"/>
    <n v="500"/>
    <n v="500"/>
    <n v="6000"/>
    <n v="6896.5517241379312"/>
    <n v="0"/>
    <n v="6896.5517241379312"/>
  </r>
  <r>
    <x v="12"/>
    <s v="000000_Default"/>
    <s v="000000_Default"/>
    <s v="0000_Default"/>
    <s v="0000_Default"/>
    <s v="BTNet Internet service for SPI Business Lounge"/>
    <s v="BT BUSINESS COMMUNICATIONS"/>
    <s v="Budget 2026"/>
    <s v="GBP"/>
    <n v="500"/>
    <n v="500"/>
    <n v="500"/>
    <n v="500"/>
    <n v="500"/>
    <n v="500"/>
    <n v="500"/>
    <n v="500"/>
    <n v="500"/>
    <n v="500"/>
    <n v="500"/>
    <n v="500"/>
    <n v="6000"/>
    <n v="6896.5517241379312"/>
    <n v="0"/>
    <n v="6896.5517241379312"/>
  </r>
  <r>
    <x v="12"/>
    <s v="000000_Default"/>
    <s v="000000_Default"/>
    <s v="0000_Default"/>
    <s v="0000_Default"/>
    <s v="Contractor Onboard Tools Tech PO Adeolu Fagbire"/>
    <s v="VENTULA CONSULTING"/>
    <s v="Budget 2026"/>
    <s v="GBP"/>
    <n v="14333.1"/>
    <n v="14333.1"/>
    <n v="14333.1"/>
    <n v="14333.1"/>
    <n v="14333.1"/>
    <n v="14333.1"/>
    <n v="14333.1"/>
    <n v="14333.1"/>
    <n v="14333.1"/>
    <n v="14333.1"/>
    <n v="14333.1"/>
    <n v="14333.1"/>
    <n v="171997.20000000004"/>
    <n v="197697.93103448281"/>
    <n v="0"/>
    <n v="197697.93103448281"/>
  </r>
  <r>
    <x v="12"/>
    <s v="000000_Default"/>
    <s v="000000_Default"/>
    <s v="0000_Default"/>
    <s v="0000_Default"/>
    <s v="[Salesforce] - SF development support - 125hrs/months for support and maintenance"/>
    <s v="SALESFORCE"/>
    <s v="Budget 2026"/>
    <s v="GBP"/>
    <n v="7900"/>
    <n v="7900"/>
    <n v="7900"/>
    <n v="7900"/>
    <n v="7900"/>
    <n v="7900"/>
    <n v="7900"/>
    <n v="7900"/>
    <n v="7900"/>
    <n v="7900"/>
    <n v="7900"/>
    <n v="7900"/>
    <n v="94800"/>
    <n v="108965.5172413793"/>
    <n v="-11023.440000000002"/>
    <n v="97942.077241379302"/>
  </r>
  <r>
    <x v="12"/>
    <s v="000000_Default"/>
    <s v="000000_Default"/>
    <s v="0000_Default"/>
    <s v="0000_Default"/>
    <s v="[Contact Centre] - projects with SF"/>
    <m/>
    <s v="Budget 2026"/>
    <s v="GBP"/>
    <n v="19746"/>
    <n v="19746"/>
    <n v="19746"/>
    <n v="19746"/>
    <n v="19746"/>
    <n v="19746"/>
    <n v="19746"/>
    <n v="19746"/>
    <n v="19746"/>
    <n v="19746"/>
    <n v="19746"/>
    <n v="19746"/>
    <n v="236952"/>
    <n v="272358.62068965519"/>
    <n v="0"/>
    <n v="272358.62068965519"/>
  </r>
  <r>
    <x v="12"/>
    <s v="000000_Default"/>
    <s v="000000_Default"/>
    <s v="0000_Default"/>
    <s v="0000_Default"/>
    <s v="Other apps dev support: contingency (BA, POC, Dev, PM)"/>
    <m/>
    <s v="Budget 2026"/>
    <s v="GBP"/>
    <n v="16000"/>
    <n v="16000"/>
    <n v="16000"/>
    <n v="16000"/>
    <n v="16000"/>
    <n v="16000"/>
    <n v="16000"/>
    <n v="16000"/>
    <n v="16000"/>
    <n v="16000"/>
    <n v="16000"/>
    <n v="16000"/>
    <n v="192000"/>
    <n v="220689.6551724138"/>
    <n v="-78140.87999999999"/>
    <n v="142548.77517241379"/>
  </r>
  <r>
    <x v="12"/>
    <s v="000000_Default"/>
    <s v="000000_Default"/>
    <s v="0000_Default"/>
    <s v="0000_Default"/>
    <s v="outsight AI in Amsterdam - removed"/>
    <m/>
    <s v="Budget 2026"/>
    <s v="GBP"/>
    <n v="7000"/>
    <n v="7000"/>
    <n v="7000"/>
    <n v="7000"/>
    <n v="7000"/>
    <n v="7000"/>
    <n v="7000"/>
    <n v="7000"/>
    <n v="7000"/>
    <n v="7000"/>
    <n v="7000"/>
    <n v="7000"/>
    <n v="84000"/>
    <n v="96551.724137931029"/>
    <n v="-97680"/>
    <n v="-1128.275862068971"/>
  </r>
  <r>
    <x v="12"/>
    <s v="000000_Default"/>
    <s v="000000_Default"/>
    <s v="0000_Default"/>
    <s v="0000_Default"/>
    <s v="project - data forecast removed"/>
    <m/>
    <s v="Budget 2026"/>
    <s v="GBP"/>
    <n v="8333.33"/>
    <n v="8333.33"/>
    <n v="8333.33"/>
    <n v="8333.33"/>
    <n v="8333.33"/>
    <n v="8333.33"/>
    <n v="8333.33"/>
    <n v="8333.33"/>
    <n v="8333.33"/>
    <n v="8333.33"/>
    <n v="8333.33"/>
    <n v="8333.33"/>
    <n v="99999.96"/>
    <n v="114942.4827586207"/>
    <n v="-116280"/>
    <n v="-1337.5172413793043"/>
  </r>
  <r>
    <x v="12"/>
    <s v="000000_Default"/>
    <s v="000000_Default"/>
    <s v="0000_Default"/>
    <s v="0000_Default"/>
    <s v="Project - Email Marketing project"/>
    <m/>
    <s v="Budget 2026"/>
    <s v="GBP"/>
    <n v="0"/>
    <n v="0"/>
    <n v="0"/>
    <n v="0"/>
    <n v="10000"/>
    <n v="20000"/>
    <n v="20000"/>
    <n v="20000"/>
    <n v="30000"/>
    <n v="10000"/>
    <n v="10000"/>
    <n v="0"/>
    <n v="120000"/>
    <n v="137931.03448275861"/>
    <n v="-34884.300000000003"/>
    <n v="103046.73448275861"/>
  </r>
  <r>
    <x v="12"/>
    <s v="000000_Default"/>
    <s v="000000_Default"/>
    <s v="0000_Default"/>
    <s v="0000_Default"/>
    <s v="Project - Loyalty - Projects"/>
    <m/>
    <s v="Budget 2026"/>
    <s v="GBP"/>
    <n v="0"/>
    <n v="0"/>
    <n v="0"/>
    <n v="10000"/>
    <n v="15000"/>
    <n v="20000"/>
    <n v="20000"/>
    <n v="25000"/>
    <n v="10000"/>
    <n v="0"/>
    <n v="0"/>
    <n v="0"/>
    <n v="100000"/>
    <n v="114942.52873563218"/>
    <n v="-29070.25"/>
    <n v="85872.278735632179"/>
  </r>
  <r>
    <x v="12"/>
    <s v="000000_Default"/>
    <s v="000000_Default"/>
    <s v="0000_Default"/>
    <s v="0000_Default"/>
    <s v="Project - Technical - AI"/>
    <m/>
    <s v="Budget 2026"/>
    <s v="GBP"/>
    <m/>
    <m/>
    <m/>
    <m/>
    <n v="20000"/>
    <n v="10000"/>
    <n v="26000"/>
    <m/>
    <m/>
    <m/>
    <m/>
    <m/>
    <n v="56000"/>
    <n v="64367.816091954024"/>
    <n v="0"/>
    <n v="64367.816091954024"/>
  </r>
  <r>
    <x v="12"/>
    <s v="000000_Default"/>
    <s v="000000_Default"/>
    <s v="0000_Default"/>
    <s v="0000_Default"/>
    <s v="Project - Technical - Data Cloud"/>
    <m/>
    <s v="Budget 2026"/>
    <s v="GBP"/>
    <m/>
    <m/>
    <n v="30000"/>
    <n v="20000"/>
    <n v="17500"/>
    <m/>
    <m/>
    <m/>
    <m/>
    <m/>
    <m/>
    <m/>
    <n v="67500"/>
    <n v="77586.206896551725"/>
    <n v="0"/>
    <n v="77586.206896551725"/>
  </r>
  <r>
    <x v="12"/>
    <s v="000000_Default"/>
    <s v="000000_Default"/>
    <s v="0000_Default"/>
    <s v="0000_Default"/>
    <s v="Project - Technical - technical debt"/>
    <m/>
    <s v="Budget 2026"/>
    <s v="GBP"/>
    <m/>
    <m/>
    <m/>
    <m/>
    <m/>
    <m/>
    <n v="10000"/>
    <n v="10000"/>
    <n v="25000"/>
    <m/>
    <m/>
    <m/>
    <n v="45000"/>
    <n v="51724.137931034486"/>
    <n v="0"/>
    <n v="51724.137931034486"/>
  </r>
  <r>
    <x v="12"/>
    <s v="000000_Default"/>
    <s v="000000_Default"/>
    <s v="0000_Default"/>
    <s v="0000_Default"/>
    <s v="RM - additional efforts"/>
    <m/>
    <s v="Budget 2026"/>
    <s v="GBP"/>
    <n v="0"/>
    <n v="0"/>
    <n v="0"/>
    <n v="0"/>
    <n v="0"/>
    <n v="0"/>
    <n v="0"/>
    <n v="50000"/>
    <n v="0"/>
    <n v="0"/>
    <n v="0"/>
    <n v="0"/>
    <n v="50000"/>
    <n v="57471.264367816089"/>
    <n v="-14535.13"/>
    <n v="42936.134367816092"/>
  </r>
  <r>
    <x v="12"/>
    <s v="000000_Default"/>
    <s v="000000_Default"/>
    <s v="0000_Default"/>
    <s v="0000_Default"/>
    <s v="Box to sharepoint "/>
    <m/>
    <s v="Budget 2026"/>
    <s v="EUR"/>
    <n v="29167"/>
    <n v="29167"/>
    <n v="29167"/>
    <n v="29167"/>
    <n v="29167"/>
    <n v="29167"/>
    <n v="29167"/>
    <n v="29167"/>
    <n v="29167"/>
    <n v="29167"/>
    <n v="29167"/>
    <n v="29167"/>
    <n v="350004"/>
    <n v="350004"/>
    <n v="-350004"/>
    <n v="0"/>
  </r>
  <r>
    <x v="12"/>
    <s v="000000_Default"/>
    <s v="000000_Default"/>
    <s v="0000_Default"/>
    <s v="0000_Default"/>
    <s v="Innovation budget"/>
    <s v="Various"/>
    <s v="3+9 2025"/>
    <s v="GBP"/>
    <n v="8333.3333333333321"/>
    <n v="8333.3333333333321"/>
    <n v="8333.3333333333321"/>
    <n v="8333.3333333333321"/>
    <n v="8333.3333333333321"/>
    <n v="8333.3333333333321"/>
    <n v="8333.3333333333321"/>
    <n v="8333.3333333333321"/>
    <n v="8333.3333333333321"/>
    <n v="8333.3333333333321"/>
    <n v="8333.3333333333321"/>
    <n v="8333.3333333333321"/>
    <n v="99999.999999999956"/>
    <n v="114942.52873563214"/>
    <n v="0"/>
    <n v="114942.52873563214"/>
  </r>
  <r>
    <x v="13"/>
    <s v="000000_Default"/>
    <s v="000000_Default"/>
    <s v="0000_Default"/>
    <s v="0000_Default"/>
    <s v="Hosting for IS Software/Business Systems Projects: Equinox dev/prod, Metastorm safety portal, Dark trace)"/>
    <s v="AMAZON WEB SERVICES "/>
    <s v="Budget 2026"/>
    <s v="USD"/>
    <n v="9200"/>
    <n v="9200"/>
    <n v="9200"/>
    <n v="9200"/>
    <n v="9200"/>
    <n v="9200"/>
    <n v="9200"/>
    <n v="9200"/>
    <n v="9200"/>
    <n v="9200"/>
    <n v="9200"/>
    <n v="9200"/>
    <n v="110400"/>
    <n v="94358.974358974359"/>
    <n v="0"/>
    <n v="94358.974358974359"/>
  </r>
  <r>
    <x v="13"/>
    <s v="000000_Default"/>
    <s v="000000_Default"/>
    <s v="0000_Default"/>
    <s v="0000_Default"/>
    <s v="Projected AWS BAU consumption"/>
    <s v="AMAZON WEB SERVICES"/>
    <s v="Budget 2026"/>
    <s v="USD"/>
    <n v="89583.33"/>
    <n v="89583.33"/>
    <n v="89583.33"/>
    <n v="89583.33"/>
    <n v="89583.33"/>
    <n v="89583.33"/>
    <n v="89583.33"/>
    <n v="89583.33"/>
    <n v="89583.33"/>
    <n v="89583.33"/>
    <n v="89583.33"/>
    <n v="89583.33"/>
    <n v="1074999.9599999997"/>
    <n v="918803.38461538439"/>
    <n v="-127968"/>
    <n v="790835.38461538439"/>
  </r>
  <r>
    <x v="13"/>
    <s v="000000_Default"/>
    <s v="000000_Default"/>
    <s v="0000_Default"/>
    <s v="0000_Default"/>
    <s v="Equinox RDP Licenses"/>
    <s v="EQUINOX"/>
    <s v="Budget 2026"/>
    <s v="GBP"/>
    <n v="3153.28"/>
    <n v="3153.28"/>
    <n v="3153.28"/>
    <n v="3153.28"/>
    <n v="3153.28"/>
    <n v="3153.28"/>
    <n v="3153.28"/>
    <n v="3153.28"/>
    <n v="3153.28"/>
    <n v="3153.28"/>
    <n v="3153.28"/>
    <n v="3153.28"/>
    <n v="37839.359999999993"/>
    <n v="43493.517241379304"/>
    <n v="0"/>
    <n v="43493.517241379304"/>
  </r>
  <r>
    <x v="13"/>
    <s v="000000_Default"/>
    <s v="000000_Default"/>
    <s v="0000_Default"/>
    <s v="0000_Default"/>
    <s v="Quintiq hosting charges (eRoster and Quintic P&amp;M) TBC"/>
    <s v="DASSAULT SYSTEMES UK LIMITED"/>
    <s v="Budget 2026"/>
    <s v="GBP"/>
    <n v="20782.990000000002"/>
    <n v="20782.990000000002"/>
    <n v="20782.990000000002"/>
    <n v="20782.990000000002"/>
    <n v="20782.990000000002"/>
    <n v="20782.990000000002"/>
    <n v="20782.990000000002"/>
    <n v="20782.990000000002"/>
    <n v="20782.990000000002"/>
    <n v="20782.990000000002"/>
    <n v="20782.990000000002"/>
    <n v="20782.990000000002"/>
    <n v="249395.87999999998"/>
    <n v="286661.93103448272"/>
    <n v="0"/>
    <n v="286661.93103448272"/>
  </r>
  <r>
    <x v="14"/>
    <s v="000000_Default"/>
    <s v="000000_Default"/>
    <s v="0000_Default"/>
    <s v="0000_Default"/>
    <s v="Microsoft Enterprise Agreement"/>
    <s v="SCC France"/>
    <s v="Budget 2026"/>
    <s v="EUR"/>
    <n v="58598.5"/>
    <n v="58598.5"/>
    <n v="58598.5"/>
    <n v="58598.5"/>
    <n v="58598.5"/>
    <n v="58598.5"/>
    <n v="58598.5"/>
    <n v="58598.5"/>
    <n v="58598.5"/>
    <n v="58598.5"/>
    <n v="58598.5"/>
    <n v="58598.5"/>
    <n v="703182"/>
    <n v="703182"/>
    <n v="0"/>
    <n v="703182"/>
  </r>
  <r>
    <x v="14"/>
    <s v="000000_Default"/>
    <s v="000000_Default"/>
    <s v="0000_Default"/>
    <s v="0000_Default"/>
    <s v="Various Software ( (inc. Trados Studio Translation Software £992; )"/>
    <s v="Various (Trados Studio Translation Software £992; "/>
    <s v="Budget 2026"/>
    <s v="GBP"/>
    <n v="8116"/>
    <n v="8116"/>
    <n v="8116"/>
    <n v="8116"/>
    <n v="8117"/>
    <n v="8117"/>
    <n v="8117"/>
    <n v="8117"/>
    <n v="8117"/>
    <n v="8117"/>
    <n v="8117"/>
    <n v="8117"/>
    <n v="97400"/>
    <n v="111954.02298850575"/>
    <n v="0"/>
    <n v="111954.02298850575"/>
  </r>
  <r>
    <x v="14"/>
    <s v="000000_Default"/>
    <s v="000000_Default"/>
    <s v="0000_Default"/>
    <s v="0000_Default"/>
    <s v="Signage Live  for SPI Horizon wall &amp; BMI BP lounge"/>
    <s v="SOLUTIONS AUDIO VISUAL LIMITED"/>
    <s v="Budget 2026"/>
    <s v="GBP"/>
    <n v="880"/>
    <n v="880"/>
    <n v="880"/>
    <n v="880"/>
    <n v="880"/>
    <n v="880"/>
    <n v="880"/>
    <n v="880"/>
    <n v="880"/>
    <n v="880"/>
    <n v="880"/>
    <n v="880"/>
    <n v="10560"/>
    <n v="12137.931034482759"/>
    <n v="0"/>
    <n v="12137.931034482759"/>
  </r>
  <r>
    <x v="14"/>
    <s v="000000_Default"/>
    <s v="000000_Default"/>
    <s v="0000_Default"/>
    <s v="0000_Default"/>
    <s v="Displays in EIL offices, LIL, Paris BP Lounge"/>
    <s v="ScreenCloudSignage"/>
    <s v="Budget 2026"/>
    <s v="GBP"/>
    <n v="667"/>
    <n v="667"/>
    <n v="667"/>
    <n v="667"/>
    <n v="667"/>
    <n v="667"/>
    <n v="667"/>
    <n v="667"/>
    <n v="667"/>
    <n v="667"/>
    <n v="667"/>
    <n v="667"/>
    <n v="8004"/>
    <n v="9200"/>
    <n v="0"/>
    <n v="9200"/>
  </r>
  <r>
    <x v="14"/>
    <s v="000000_Default"/>
    <s v="000000_Default"/>
    <s v="0000_Default"/>
    <s v="0000_Default"/>
    <s v="Lucid Chart "/>
    <s v="LUCID SOFTWARE INC"/>
    <s v="Budget 2026"/>
    <s v="GBP"/>
    <n v="2666.67"/>
    <n v="2666.67"/>
    <n v="2666.67"/>
    <n v="2666.67"/>
    <n v="2666.67"/>
    <n v="2666.67"/>
    <n v="2666.67"/>
    <n v="2666.67"/>
    <n v="2666.67"/>
    <n v="2666.67"/>
    <n v="2666.67"/>
    <n v="2666.67"/>
    <n v="32000.039999999994"/>
    <n v="36781.655172413783"/>
    <n v="0"/>
    <n v="36781.655172413783"/>
  </r>
  <r>
    <x v="14"/>
    <s v="000000_Default"/>
    <s v="000000_Default"/>
    <s v="0000_Default"/>
    <s v="0000_Default"/>
    <m/>
    <s v="Linked to CAPEX Projects "/>
    <s v="Budget 2026"/>
    <s v="GBP"/>
    <n v="10416.67"/>
    <n v="10416.67"/>
    <n v="10416.67"/>
    <n v="10416.67"/>
    <n v="10416.67"/>
    <n v="10416.67"/>
    <n v="10416.67"/>
    <n v="10416.67"/>
    <n v="10416.67"/>
    <n v="10416.67"/>
    <n v="10416.67"/>
    <n v="10416.67"/>
    <n v="125000.04"/>
    <n v="143678.20689655171"/>
    <n v="0"/>
    <n v="143678.20689655171"/>
  </r>
  <r>
    <x v="14"/>
    <s v="000000_Default"/>
    <s v="000000_Default"/>
    <s v="0000_Default"/>
    <s v="0000_Default"/>
    <s v="Chomebits"/>
    <s v="Google"/>
    <s v="Budget 2026"/>
    <s v="GBP"/>
    <n v="250"/>
    <n v="250"/>
    <n v="250"/>
    <n v="250"/>
    <n v="250"/>
    <n v="250"/>
    <n v="250"/>
    <n v="250"/>
    <n v="250"/>
    <n v="250"/>
    <n v="250"/>
    <n v="250"/>
    <n v="3000"/>
    <n v="3448.2758620689656"/>
    <n v="-3405"/>
    <n v="43.27586206896558"/>
  </r>
  <r>
    <x v="14"/>
    <s v="000000_Default"/>
    <s v="000000_Default"/>
    <s v="0000_Default"/>
    <s v="0000_Default"/>
    <s v="Adobe Create Software"/>
    <s v="Bytes Software Services Limited/Adobe"/>
    <s v="Budget 2026"/>
    <s v="GBP"/>
    <n v="4384"/>
    <n v="4384"/>
    <n v="4384"/>
    <n v="4384"/>
    <n v="4383"/>
    <n v="4383"/>
    <n v="4383"/>
    <n v="4383"/>
    <n v="4383"/>
    <n v="4383"/>
    <n v="4383"/>
    <n v="4383"/>
    <n v="52600"/>
    <n v="60459.770114942527"/>
    <n v="0"/>
    <n v="60459.770114942527"/>
  </r>
  <r>
    <x v="14"/>
    <s v="000000_Default"/>
    <s v="000000_Default"/>
    <s v="0000_Default"/>
    <s v="0000_Default"/>
    <s v="Druva Backup solution *Where is VEEEM?)"/>
    <s v="BYTES SOFTWARE SERVICES LIMITED / DRUVA"/>
    <s v="Budget 2026"/>
    <s v="GBP"/>
    <n v="3850"/>
    <n v="3850"/>
    <n v="3850"/>
    <n v="3850"/>
    <n v="3850"/>
    <n v="3850"/>
    <n v="3850"/>
    <n v="3850"/>
    <n v="3850"/>
    <n v="3850"/>
    <n v="3850"/>
    <n v="3850"/>
    <n v="46200"/>
    <n v="53103.448275862072"/>
    <n v="0"/>
    <n v="53103.448275862072"/>
  </r>
  <r>
    <x v="14"/>
    <s v="000000_Default"/>
    <s v="000000_Default"/>
    <s v="0000_Default"/>
    <s v="0000_Default"/>
    <s v="Micosoft on premis/non-cloud software"/>
    <s v="BYTES SOFTWARE SERVICES LIMITED"/>
    <s v="Budget 2026"/>
    <s v="GBP"/>
    <n v="3083.33"/>
    <n v="3083.33"/>
    <n v="3083.33"/>
    <n v="3083.33"/>
    <n v="3083.33"/>
    <n v="3083.33"/>
    <n v="3083.33"/>
    <n v="3083.33"/>
    <n v="3083.33"/>
    <n v="3083.33"/>
    <n v="3083.33"/>
    <n v="3083.33"/>
    <n v="36999.960000000006"/>
    <n v="42528.68965517242"/>
    <n v="0"/>
    <n v="42528.68965517242"/>
  </r>
  <r>
    <x v="14"/>
    <s v="000000_Default"/>
    <s v="000000_Default"/>
    <s v="0000_Default"/>
    <s v="0000_Default"/>
    <s v="Mimecast email security - EIL"/>
    <s v="BYTES SOFTWARE SERVICES LIMITED"/>
    <s v="Budget 2026"/>
    <s v="GBP"/>
    <n v="7900"/>
    <n v="7900"/>
    <n v="7900"/>
    <n v="7900"/>
    <n v="7900"/>
    <n v="7900"/>
    <n v="7900"/>
    <n v="7900"/>
    <n v="7900"/>
    <n v="7900"/>
    <n v="7900"/>
    <n v="7900"/>
    <n v="94800"/>
    <n v="108965.5172413793"/>
    <n v="0"/>
    <n v="108965.5172413793"/>
  </r>
  <r>
    <x v="14"/>
    <s v="000000_Default"/>
    <s v="000000_Default"/>
    <s v="0000_Default"/>
    <s v="0000_Default"/>
    <s v="Cost monitring service "/>
    <s v="CLOUDCHECKR INC."/>
    <s v="Budget 2026"/>
    <s v="USD"/>
    <n v="2500"/>
    <n v="2500"/>
    <n v="2500"/>
    <n v="2500"/>
    <n v="2500"/>
    <n v="2500"/>
    <n v="2500"/>
    <n v="2500"/>
    <n v="2500"/>
    <n v="2500"/>
    <n v="2500"/>
    <n v="2500"/>
    <n v="30000"/>
    <n v="25641.025641025644"/>
    <n v="-25800"/>
    <n v="-158.97435897435571"/>
  </r>
  <r>
    <x v="14"/>
    <s v="000000_Default"/>
    <s v="000000_Default"/>
    <s v="0000_Default"/>
    <s v="0000_Default"/>
    <s v="SentinelOne Endpoint protection"/>
    <s v="BYTES SOFTWARE SERVICES LIMITED"/>
    <s v="Budget 2026"/>
    <s v="USD"/>
    <n v="7613.67"/>
    <n v="7613.67"/>
    <n v="7613.67"/>
    <n v="7613.67"/>
    <n v="7613.67"/>
    <n v="7613.67"/>
    <n v="7613.67"/>
    <n v="7613.67"/>
    <n v="7613.67"/>
    <n v="7613.67"/>
    <n v="7613.67"/>
    <n v="7613.67"/>
    <n v="91364.04"/>
    <n v="78088.923076923078"/>
    <n v="0"/>
    <n v="78088.923076923078"/>
  </r>
  <r>
    <x v="14"/>
    <s v="000000_Default"/>
    <s v="000000_Default"/>
    <s v="0000_Default"/>
    <s v="0000_Default"/>
    <s v="ATESS-FMS manages the data collected by ATESS: _x000a_Support and License "/>
    <s v="WABTEC FAIVELEY TRANSPORT Touraine"/>
    <s v="Budget 2026"/>
    <s v="EUR"/>
    <n v="4666.67"/>
    <n v="4666.67"/>
    <n v="4666.67"/>
    <n v="4666.67"/>
    <n v="4666.67"/>
    <n v="4666.67"/>
    <n v="4666.67"/>
    <n v="4666.67"/>
    <n v="4666.67"/>
    <n v="4666.67"/>
    <n v="4666.67"/>
    <n v="4666.67"/>
    <n v="56000.039999999986"/>
    <n v="56000.039999999986"/>
    <n v="0"/>
    <n v="56000.039999999986"/>
  </r>
  <r>
    <x v="14"/>
    <s v="E14_SNCF VOYAGES GRANDES LIGNES"/>
    <s v="E14_SNCF VOYAGES GRANDES LIGNES"/>
    <s v="1633_TIGRE Replacement"/>
    <s v="1633_TIGRE Replacement"/>
    <s v="Tigre"/>
    <s v="SNCF FC - Matériel"/>
    <s v="Budget 2026"/>
    <s v="EUR"/>
    <n v="64583.33"/>
    <n v="64583.33"/>
    <n v="64583.33"/>
    <n v="64583.33"/>
    <n v="64583.33"/>
    <n v="64583.33"/>
    <n v="64583.33"/>
    <n v="64583.33"/>
    <n v="64583.33"/>
    <n v="64583.33"/>
    <n v="64583.33"/>
    <n v="64583.33"/>
    <n v="774999.96"/>
    <n v="774999.96"/>
    <n v="0"/>
    <n v="774999.96"/>
  </r>
  <r>
    <x v="14"/>
    <s v="000000_Default"/>
    <s v="000000_Default"/>
    <s v="0000_Default"/>
    <s v="0000_Default"/>
    <s v="RNE Common Component System"/>
    <s v="RAILNETEUROPE"/>
    <s v="Budget 2026"/>
    <s v="EUR"/>
    <n v="641.66999999999996"/>
    <n v="641.66999999999996"/>
    <n v="641.66999999999996"/>
    <n v="641.66999999999996"/>
    <n v="641.66999999999996"/>
    <n v="641.66999999999996"/>
    <n v="641.66999999999996"/>
    <n v="641.66999999999996"/>
    <n v="641.66999999999996"/>
    <n v="641.66999999999996"/>
    <n v="641.66999999999996"/>
    <n v="641.66999999999996"/>
    <n v="7700.04"/>
    <n v="7700.04"/>
    <n v="0"/>
    <n v="7700.04"/>
  </r>
  <r>
    <x v="14"/>
    <s v="000000_Default"/>
    <s v="000000_Default"/>
    <s v="0000_Default"/>
    <s v="0000_Default"/>
    <s v="Mantra CFT License"/>
    <s v="Mantra CFT License"/>
    <s v="Budget 2026"/>
    <s v="EUR"/>
    <n v="1666.67"/>
    <n v="1666.67"/>
    <n v="1666.67"/>
    <n v="1666.67"/>
    <n v="1666.67"/>
    <n v="1666.67"/>
    <n v="1666.67"/>
    <n v="1666.67"/>
    <n v="1666.67"/>
    <n v="1666.67"/>
    <n v="1666.67"/>
    <n v="1666.67"/>
    <n v="20000.04"/>
    <n v="20000.04"/>
    <n v="-20000.04"/>
    <n v="0"/>
  </r>
  <r>
    <x v="14"/>
    <s v="000000_Default"/>
    <s v="000000_Default"/>
    <s v="1373_WiFi On Board"/>
    <s v="1373_WiFi On Board"/>
    <s v="Quintic Software Licences and support (eRoster and Quintic P&amp;M) TBC"/>
    <s v="DASSAULT SYSTEMES UK LIMITED"/>
    <s v="Budget 2026"/>
    <s v="EUR"/>
    <n v="20833.330000000002"/>
    <n v="20833.330000000002"/>
    <n v="20833.330000000002"/>
    <n v="20833.330000000002"/>
    <n v="20833.330000000002"/>
    <n v="20833.330000000002"/>
    <n v="20833.330000000002"/>
    <n v="20833.330000000002"/>
    <n v="20833.330000000002"/>
    <n v="20833.330000000002"/>
    <n v="20833.330000000002"/>
    <n v="20833.330000000002"/>
    <n v="249999.96000000008"/>
    <n v="249999.96000000008"/>
    <n v="0"/>
    <n v="249999.96000000008"/>
  </r>
  <r>
    <x v="14"/>
    <s v="000000_Default"/>
    <s v="000000_Default"/>
    <s v="0000_Default"/>
    <s v="0000_Default"/>
    <s v="star run"/>
    <m/>
    <s v="Budget 2026"/>
    <s v="EUR"/>
    <n v="4166.67"/>
    <n v="4166.67"/>
    <n v="4166.67"/>
    <n v="4166.67"/>
    <n v="4166.67"/>
    <n v="4166.67"/>
    <n v="4166.67"/>
    <n v="4166.67"/>
    <n v="4166.67"/>
    <n v="4166.67"/>
    <n v="4166.67"/>
    <n v="4166.67"/>
    <n v="50000.039999999986"/>
    <n v="50000.039999999986"/>
    <n v="0"/>
    <n v="50000.039999999986"/>
  </r>
  <r>
    <x v="14"/>
    <s v="000000_Default"/>
    <s v="000000_Default"/>
    <s v="0000_Default"/>
    <s v="0000_Default"/>
    <s v="Siemens PIS &amp; FMS Connectivity Support"/>
    <s v="SIEMENS Mobility Limited"/>
    <s v="Budget 2026"/>
    <s v="GBP"/>
    <n v="14333.1"/>
    <n v="14333.1"/>
    <n v="14333.1"/>
    <n v="14333.1"/>
    <n v="14333.1"/>
    <n v="14333.1"/>
    <n v="14333.1"/>
    <n v="14333.1"/>
    <n v="14333.1"/>
    <n v="14333.1"/>
    <n v="14333.1"/>
    <n v="14333.1"/>
    <n v="171997.20000000004"/>
    <n v="197697.93103448281"/>
    <n v="0"/>
    <n v="197697.93103448281"/>
  </r>
  <r>
    <x v="14"/>
    <s v="000000_Default"/>
    <s v="000000_Default"/>
    <s v="0000_Default"/>
    <s v="0000_Default"/>
    <s v="Escrow"/>
    <s v="NCC SERVICES LIMITED"/>
    <s v="Budget 2026"/>
    <s v="GBP"/>
    <n v="551.82000000000005"/>
    <n v="551.82000000000005"/>
    <n v="551.82000000000005"/>
    <n v="551.82000000000005"/>
    <n v="551.82000000000005"/>
    <n v="551.82000000000005"/>
    <n v="551.82000000000005"/>
    <n v="551.82000000000005"/>
    <n v="551.82000000000005"/>
    <n v="551.82000000000005"/>
    <n v="551.82000000000005"/>
    <n v="551.82000000000005"/>
    <n v="6621.8399999999992"/>
    <n v="7611.3103448275851"/>
    <n v="0"/>
    <n v="7611.3103448275851"/>
  </r>
  <r>
    <x v="14"/>
    <s v="000000_Default"/>
    <s v="000000_Default"/>
    <s v="0000_Default"/>
    <s v="0000_Default"/>
    <s v="MRI Evolution"/>
    <s v="MRI"/>
    <s v="Budget 2026"/>
    <s v="GBP"/>
    <n v="5733.24"/>
    <n v="5733.24"/>
    <n v="5733.24"/>
    <n v="5733.24"/>
    <n v="5733.24"/>
    <n v="5733.24"/>
    <n v="5733.24"/>
    <n v="5733.24"/>
    <n v="5733.24"/>
    <n v="5733.24"/>
    <n v="5733.24"/>
    <n v="5733.24"/>
    <n v="68798.87999999999"/>
    <n v="79079.172413793087"/>
    <n v="0"/>
    <n v="79079.172413793087"/>
  </r>
  <r>
    <x v="14"/>
    <s v="000000_Default"/>
    <s v="000000_Default"/>
    <s v="0000_Default"/>
    <s v="0000_Default"/>
    <s v="Netcourier API - used by Eurodispatch"/>
    <s v="METAFOUR UK LIMITED"/>
    <s v="Budget 2026"/>
    <s v="GBP"/>
    <n v="3153.28"/>
    <n v="3153.28"/>
    <n v="3153.28"/>
    <n v="3153.28"/>
    <n v="3153.28"/>
    <n v="3153.28"/>
    <n v="3153.28"/>
    <n v="3153.28"/>
    <n v="3153.28"/>
    <n v="3153.28"/>
    <n v="3153.28"/>
    <n v="3153.28"/>
    <n v="37839.359999999993"/>
    <n v="43493.517241379304"/>
    <n v="0"/>
    <n v="43493.517241379304"/>
  </r>
  <r>
    <x v="14"/>
    <s v="000000_Default"/>
    <s v="000000_Default"/>
    <s v="0000_Default"/>
    <s v="0000_Default"/>
    <s v="License and support - Roster Stations and TMI"/>
    <s v="KRONOS SYSTEMS LIMITED"/>
    <s v="Budget 2026"/>
    <s v="GBP"/>
    <n v="6091.57"/>
    <n v="6091.57"/>
    <n v="6091.57"/>
    <n v="6091.57"/>
    <n v="6091.57"/>
    <n v="6091.57"/>
    <n v="6091.57"/>
    <n v="6091.57"/>
    <n v="6091.57"/>
    <n v="6091.57"/>
    <n v="6091.57"/>
    <n v="6091.57"/>
    <n v="73098.84"/>
    <n v="84021.655172413783"/>
    <n v="0"/>
    <n v="84021.655172413783"/>
  </r>
  <r>
    <x v="14"/>
    <s v="000000_Default"/>
    <s v="000000_Default"/>
    <s v="0000_Default"/>
    <s v="0000_Default"/>
    <s v="ACMS Compentency Management Licenses and Support"/>
    <s v="ASSESSTECH LIMITED"/>
    <s v="Budget 2026"/>
    <s v="GBP"/>
    <n v="10835.82"/>
    <n v="10835.82"/>
    <n v="10835.82"/>
    <n v="10835.82"/>
    <n v="10835.82"/>
    <n v="10835.82"/>
    <n v="10835.82"/>
    <n v="10835.82"/>
    <n v="10835.82"/>
    <n v="10835.82"/>
    <n v="10835.82"/>
    <n v="10835.82"/>
    <n v="130029.84000000003"/>
    <n v="149459.58620689658"/>
    <n v="0"/>
    <n v="149459.58620689658"/>
  </r>
  <r>
    <x v="14"/>
    <s v="000000_Default"/>
    <s v="000000_Default"/>
    <s v="1318_Exit checks"/>
    <s v="1318_Exit checks"/>
    <s v="[Stations] - Exit check development &amp; licenses"/>
    <s v="SKO"/>
    <s v="Budget 2026"/>
    <s v="GBP"/>
    <n v="1700"/>
    <n v="1700"/>
    <n v="1700"/>
    <n v="1700"/>
    <n v="1700"/>
    <n v="1700"/>
    <n v="1700"/>
    <n v="1700"/>
    <n v="1700"/>
    <n v="1700"/>
    <n v="1700"/>
    <n v="1700"/>
    <n v="20400"/>
    <n v="23448.275862068967"/>
    <n v="0"/>
    <n v="23448.275862068967"/>
  </r>
  <r>
    <x v="14"/>
    <s v="000000_Default"/>
    <s v="000000_Default"/>
    <s v="0000_Default"/>
    <s v="0000_Default"/>
    <s v="[Contact Centre] - Salesforce - Einstein Service Cloud - for 200 users from mid '25 (will replace Language IO)"/>
    <s v="SALESFORCE"/>
    <s v="Budget 2026"/>
    <s v="GBP"/>
    <n v="2950"/>
    <n v="2950"/>
    <n v="2950"/>
    <n v="2950"/>
    <n v="2950"/>
    <n v="2950"/>
    <n v="2950"/>
    <n v="11800"/>
    <n v="11800"/>
    <n v="11800"/>
    <n v="11800"/>
    <n v="11800"/>
    <n v="79650"/>
    <n v="91551.724137931029"/>
    <n v="0"/>
    <n v="91551.724137931029"/>
  </r>
  <r>
    <x v="14"/>
    <s v="000000_Default"/>
    <s v="000000_Default"/>
    <s v="0000_Default"/>
    <s v="0000_Default"/>
    <s v="[Salesforce]  - Salesforce Marketing Cloud licence"/>
    <s v="SALESFORCE"/>
    <s v="Budget 2026"/>
    <s v="GBP"/>
    <n v="18550"/>
    <n v="18550"/>
    <n v="18550"/>
    <n v="18550"/>
    <n v="18550"/>
    <n v="18550"/>
    <n v="18550"/>
    <n v="18550"/>
    <n v="18550"/>
    <n v="18550"/>
    <n v="18550"/>
    <n v="18550"/>
    <n v="222600"/>
    <n v="255862.06896551725"/>
    <n v="0"/>
    <n v="255862.06896551725"/>
  </r>
  <r>
    <x v="14"/>
    <m/>
    <m/>
    <s v="1179_Loyalty"/>
    <s v="1179_Loyalty"/>
    <s v="[Salesforce]  Loyalty Cloud licence"/>
    <s v="SALESFORCE"/>
    <s v="Budget 2026"/>
    <s v="GBP"/>
    <n v="12587.5"/>
    <n v="12587.5"/>
    <n v="12587.5"/>
    <n v="12587.5"/>
    <n v="12587.5"/>
    <n v="12587.5"/>
    <n v="12587.5"/>
    <n v="12586.97"/>
    <n v="12587.5"/>
    <n v="12587.5"/>
    <n v="12587.5"/>
    <n v="12587.5"/>
    <n v="151049.47"/>
    <n v="173620.08045977011"/>
    <n v="-128402.09"/>
    <n v="45217.99045977011"/>
  </r>
  <r>
    <x v="14"/>
    <s v="000000_Default"/>
    <s v="000000_Default"/>
    <s v="0000_Default"/>
    <s v="0000_Default"/>
    <s v="[Salesforce] - Data Cloud - licence"/>
    <s v="SALESFORCE"/>
    <s v="Budget 2026"/>
    <s v="GBP"/>
    <n v="1000"/>
    <n v="1000"/>
    <n v="1000"/>
    <n v="1000"/>
    <n v="1000"/>
    <n v="1000"/>
    <n v="1000"/>
    <n v="1000"/>
    <n v="1000"/>
    <n v="1000"/>
    <n v="1000"/>
    <n v="1000"/>
    <n v="12000"/>
    <n v="13793.103448275862"/>
    <n v="0"/>
    <n v="13793.103448275862"/>
  </r>
  <r>
    <x v="14"/>
    <s v="000000_Default"/>
    <s v="000000_Default"/>
    <s v="0000_Default"/>
    <s v="0000_Default"/>
    <s v="[Salesforce] - OwnBack-up - solution for archiving (should reduce code of SF license)"/>
    <s v="SALESFORCE"/>
    <s v="Budget 2026"/>
    <s v="GBP"/>
    <n v="2650"/>
    <n v="2650"/>
    <n v="2650"/>
    <n v="2650"/>
    <n v="2650"/>
    <n v="2650"/>
    <n v="2650"/>
    <n v="2650"/>
    <n v="2650"/>
    <n v="2650"/>
    <n v="2650"/>
    <n v="2650"/>
    <n v="31800"/>
    <n v="36551.724137931036"/>
    <n v="0"/>
    <n v="36551.724137931036"/>
  </r>
  <r>
    <x v="14"/>
    <s v="000000_Default"/>
    <s v="000000_Default"/>
    <s v="0000_Default"/>
    <s v="0000_Default"/>
    <s v="[Salesforce] - OwnBack-up - solution for Back-up (for process and data back-up policy)"/>
    <s v="SALESFORCE"/>
    <s v="Budget 2026"/>
    <s v="GBP"/>
    <n v="2500"/>
    <n v="2500"/>
    <n v="2500"/>
    <n v="2500"/>
    <n v="2500"/>
    <n v="2500"/>
    <n v="2500"/>
    <n v="2500"/>
    <n v="2500"/>
    <n v="2500"/>
    <n v="2500"/>
    <n v="2500"/>
    <n v="30000"/>
    <n v="34482.758620689652"/>
    <n v="0"/>
    <n v="34482.758620689652"/>
  </r>
  <r>
    <x v="14"/>
    <s v="000000_Default"/>
    <s v="000000_Default"/>
    <s v="0000_Default"/>
    <s v="0000_Default"/>
    <s v="[Salesforce] - SALESFORCE - Service/SalesClould licence"/>
    <s v="SALESFORCE"/>
    <s v="Budget 2026"/>
    <s v="GBP"/>
    <n v="40280"/>
    <n v="40280"/>
    <n v="40280"/>
    <n v="40280"/>
    <n v="40280"/>
    <n v="40280"/>
    <n v="40280"/>
    <n v="40280"/>
    <n v="40280"/>
    <n v="40280"/>
    <n v="40280"/>
    <n v="40280"/>
    <n v="483360"/>
    <n v="555586.20689655177"/>
    <n v="0"/>
    <n v="555586.20689655177"/>
  </r>
  <r>
    <x v="14"/>
    <s v="000000_Default"/>
    <s v="000000_Default"/>
    <s v="0000_Default"/>
    <s v="0000_Default"/>
    <s v="DATA forecast model"/>
    <s v="Outsight AI"/>
    <s v="Budget 2026"/>
    <s v="GBP"/>
    <n v="9423.33"/>
    <n v="9424.33"/>
    <n v="9425.33"/>
    <n v="9426.33"/>
    <n v="9427.33"/>
    <n v="9428.33"/>
    <n v="9429.33"/>
    <n v="9430.33"/>
    <n v="9431.33"/>
    <n v="9432.33"/>
    <n v="9433.33"/>
    <n v="9434.33"/>
    <n v="113145.96"/>
    <n v="130052.8275862069"/>
    <n v="-118487.3"/>
    <n v="11565.527586206896"/>
  </r>
  <r>
    <x v="14"/>
    <s v="000000_Default"/>
    <s v="000000_Default"/>
    <s v="0000_Default"/>
    <s v="0000_Default"/>
    <s v="Outsight AI (Flow forecast)"/>
    <s v="Outsight AI"/>
    <s v="Budget 2026"/>
    <s v="GBP"/>
    <n v="8090"/>
    <n v="8091"/>
    <n v="8092"/>
    <n v="8093"/>
    <n v="8094"/>
    <n v="8095"/>
    <n v="8096"/>
    <n v="8097"/>
    <n v="8098"/>
    <n v="8099"/>
    <n v="8100"/>
    <n v="8101"/>
    <n v="97146"/>
    <n v="111662.06896551725"/>
    <n v="-97676.04"/>
    <n v="13986.028965517253"/>
  </r>
  <r>
    <x v="14"/>
    <s v="000000_Default"/>
    <s v="000000_Default"/>
    <s v="0000_Default"/>
    <s v="0000_Default"/>
    <s v="Exit Checks savings"/>
    <s v="Nasstar"/>
    <s v="Budget 2026"/>
    <s v="GBP"/>
    <n v="1090"/>
    <n v="1091"/>
    <n v="1092"/>
    <n v="1093"/>
    <n v="1094"/>
    <n v="1095"/>
    <n v="1096"/>
    <n v="1097"/>
    <n v="1098"/>
    <n v="1099"/>
    <n v="1100"/>
    <n v="1101"/>
    <n v="13146"/>
    <n v="15110.344827586207"/>
    <n v="0"/>
    <n v="15110.344827586207"/>
  </r>
  <r>
    <x v="14"/>
    <s v="000000_Default"/>
    <s v="000000_Default"/>
    <s v="0000_Default"/>
    <s v="0000_Default"/>
    <s v="[Stations] - CIS System (amstersdam) - running cost"/>
    <s v="Kinly"/>
    <s v="Budget 2026"/>
    <s v="GBP"/>
    <n v="3000"/>
    <n v="3000"/>
    <n v="3000"/>
    <n v="3000"/>
    <n v="3000"/>
    <n v="3000"/>
    <n v="3000"/>
    <n v="3000"/>
    <n v="3000"/>
    <n v="3000"/>
    <n v="3000"/>
    <n v="3000"/>
    <n v="36000"/>
    <n v="41379.310344827587"/>
    <n v="0"/>
    <n v="41379.310344827587"/>
  </r>
  <r>
    <x v="14"/>
    <s v="000000_Default"/>
    <s v="000000_Default"/>
    <s v="0000_Default"/>
    <s v="0000_Default"/>
    <s v="[Salesforce]  - GearSet - data seeding"/>
    <s v="Gearset"/>
    <s v="Budget 2026"/>
    <s v="GBP"/>
    <n v="1200"/>
    <n v="1200"/>
    <n v="1200"/>
    <n v="1200"/>
    <n v="1200"/>
    <n v="1200"/>
    <n v="1200"/>
    <n v="1200"/>
    <n v="1200"/>
    <n v="1200"/>
    <n v="1200"/>
    <n v="1200"/>
    <n v="14400"/>
    <n v="16551.724137931036"/>
    <n v="0"/>
    <n v="16551.724137931036"/>
  </r>
  <r>
    <x v="14"/>
    <s v="000000_Default"/>
    <s v="000000_Default"/>
    <s v="0000_Default"/>
    <s v="0000_Default"/>
    <s v="CIS License for up to date hardening templates (Yearly)"/>
    <s v="CIS"/>
    <s v="Budget 2026"/>
    <s v="EUR"/>
    <n v="1000"/>
    <n v="1000"/>
    <n v="1000"/>
    <n v="1000"/>
    <n v="1000"/>
    <n v="1000"/>
    <n v="1000"/>
    <n v="1000"/>
    <n v="1000"/>
    <n v="1000"/>
    <n v="1000"/>
    <n v="1000"/>
    <n v="12000"/>
    <n v="12000"/>
    <n v="0"/>
    <n v="12000"/>
  </r>
  <r>
    <x v="14"/>
    <s v="000000_Default"/>
    <s v="000000_Default"/>
    <s v="0000_Default"/>
    <s v="0000_Default"/>
    <s v="User Password Vaulting"/>
    <s v="1Password"/>
    <s v="Budget 2026"/>
    <s v="EUR"/>
    <n v="3333"/>
    <n v="3333"/>
    <n v="3333"/>
    <n v="3333"/>
    <n v="3333"/>
    <n v="3333"/>
    <n v="3333"/>
    <n v="3333"/>
    <n v="3333"/>
    <n v="3333"/>
    <n v="3333"/>
    <n v="3333"/>
    <n v="39996"/>
    <n v="39996"/>
    <n v="0"/>
    <n v="39996"/>
  </r>
  <r>
    <x v="14"/>
    <s v="000000_Default"/>
    <s v="000000_Default"/>
    <s v="0000_Default"/>
    <s v="0000_Default"/>
    <s v="Privilege Account Management solution"/>
    <m/>
    <s v="Budget 2026"/>
    <s v="EUR"/>
    <n v="7133"/>
    <n v="7133"/>
    <n v="7133"/>
    <n v="7133"/>
    <n v="7133"/>
    <n v="7133"/>
    <n v="7133"/>
    <n v="7133"/>
    <n v="7133"/>
    <n v="7133"/>
    <n v="7133"/>
    <n v="7133"/>
    <n v="85596"/>
    <n v="85596"/>
    <n v="0"/>
    <n v="85596"/>
  </r>
  <r>
    <x v="14"/>
    <s v="000000_Default"/>
    <s v="000000_Default"/>
    <s v="0000_Default"/>
    <s v="0000_Default"/>
    <s v="Facilities Management Desk Booking licence &amp; maintenance"/>
    <s v="Smartway2book"/>
    <s v="Budget 2026"/>
    <s v="EUR"/>
    <n v="3750"/>
    <n v="3750"/>
    <n v="3750"/>
    <n v="3750"/>
    <n v="3750"/>
    <n v="3750"/>
    <n v="3750"/>
    <n v="3750"/>
    <n v="3750"/>
    <n v="3750"/>
    <n v="3750"/>
    <n v="3750"/>
    <n v="45000"/>
    <n v="45000"/>
    <n v="0"/>
    <n v="45000"/>
  </r>
  <r>
    <x v="14"/>
    <s v="000000_Default"/>
    <s v="000000_Default"/>
    <s v="0000_Default"/>
    <s v="0000_Default"/>
    <s v="Paygate"/>
    <s v="Paygate"/>
    <s v="Budget 2026"/>
    <s v="EUR"/>
    <n v="500"/>
    <n v="500"/>
    <n v="500"/>
    <n v="500"/>
    <n v="500"/>
    <n v="500"/>
    <n v="500"/>
    <n v="500"/>
    <n v="500"/>
    <n v="500"/>
    <n v="500"/>
    <n v="500"/>
    <n v="6000"/>
    <n v="6000"/>
    <n v="0"/>
    <n v="6000"/>
  </r>
  <r>
    <x v="14"/>
    <s v="000000_Default"/>
    <s v="000000_Default"/>
    <s v="1838_Back-office Transformation Project SIMPLIFY"/>
    <s v="1838_Back-office Transformation Project SIMPLIFY"/>
    <s v="Project Essor - ERP programme for HR &amp; Finance"/>
    <s v="Oracle/Workday (tbc)"/>
    <s v="Budget 2026"/>
    <s v="EUR"/>
    <m/>
    <m/>
    <m/>
    <m/>
    <m/>
    <m/>
    <n v="128058"/>
    <n v="128058"/>
    <n v="128058"/>
    <n v="128058"/>
    <n v="128058"/>
    <n v="128058"/>
    <n v="768348"/>
    <n v="768348"/>
    <n v="0"/>
    <n v="768348"/>
  </r>
  <r>
    <x v="14"/>
    <s v="000000_Default"/>
    <s v="000000_Default"/>
    <s v="0000_Default"/>
    <s v="0000_Default"/>
    <s v="Prcourement Savings Tool"/>
    <s v="Microsoft Excel"/>
    <s v="Budget 2026"/>
    <s v="EUR"/>
    <n v="3583"/>
    <n v="3583"/>
    <n v="3583"/>
    <n v="3583"/>
    <n v="3583"/>
    <n v="3583"/>
    <n v="3583"/>
    <n v="3583"/>
    <n v="3583"/>
    <n v="3583"/>
    <n v="3583"/>
    <n v="3583"/>
    <n v="42996"/>
    <n v="42996"/>
    <n v="0"/>
    <n v="42996"/>
  </r>
  <r>
    <x v="14"/>
    <s v="000000_Default"/>
    <s v="000000_Default"/>
    <s v="0000_Default"/>
    <s v="0000_Default"/>
    <s v="Kyriba"/>
    <s v="Kyriba"/>
    <s v="Budget 2026"/>
    <s v="EUR"/>
    <n v="3333"/>
    <n v="3333"/>
    <n v="3333"/>
    <n v="3333"/>
    <n v="3333"/>
    <n v="3333"/>
    <n v="3333"/>
    <n v="3333"/>
    <n v="3333"/>
    <n v="3333"/>
    <n v="3333"/>
    <n v="3333"/>
    <n v="39996"/>
    <n v="39996"/>
    <n v="0"/>
    <n v="39996"/>
  </r>
  <r>
    <x v="14"/>
    <s v="000000_Default"/>
    <s v="000000_Default"/>
    <s v="0000_Default"/>
    <s v="0000_Default"/>
    <s v="Finance Internal Control &amp; Risk Tool"/>
    <s v="Finance Internal Control &amp; Risk Tool"/>
    <s v="Budget 2026"/>
    <s v="EUR"/>
    <n v="2250"/>
    <n v="2250"/>
    <n v="2250"/>
    <n v="2250"/>
    <n v="2250"/>
    <n v="2250"/>
    <n v="2250"/>
    <n v="2250"/>
    <n v="2250"/>
    <n v="2250"/>
    <n v="2250"/>
    <n v="2250"/>
    <n v="27000"/>
    <n v="27000"/>
    <n v="0"/>
    <n v="27000"/>
  </r>
  <r>
    <x v="14"/>
    <s v="000000_Default"/>
    <s v="000000_Default"/>
    <s v="0000_Default"/>
    <s v="0000_Default"/>
    <s v="Finance Fraud Tool"/>
    <s v="Finance Fraud Tool"/>
    <s v="Budget 2026"/>
    <s v="EUR"/>
    <n v="917"/>
    <n v="917"/>
    <n v="917"/>
    <n v="917"/>
    <n v="917"/>
    <n v="917"/>
    <n v="917"/>
    <n v="917"/>
    <n v="917"/>
    <n v="917"/>
    <n v="917"/>
    <n v="917"/>
    <n v="11004"/>
    <n v="11004"/>
    <n v="0"/>
    <n v="11004"/>
  </r>
  <r>
    <x v="14"/>
    <s v="000000_Default"/>
    <s v="000000_Default"/>
    <s v="0000_Default"/>
    <s v="0000_Default"/>
    <s v="Treasury Management Solution (Kyriba replacement)"/>
    <s v="Diapason"/>
    <s v="Budget 2026"/>
    <s v="EUR"/>
    <n v="2083"/>
    <n v="2083"/>
    <n v="2083"/>
    <n v="2083"/>
    <n v="2083"/>
    <n v="2083"/>
    <n v="2083"/>
    <n v="2083"/>
    <n v="2083"/>
    <n v="2083"/>
    <n v="2083"/>
    <n v="2083"/>
    <n v="24996"/>
    <n v="24996"/>
    <n v="0"/>
    <n v="24996"/>
  </r>
  <r>
    <x v="14"/>
    <s v="000000_Default"/>
    <s v="000000_Default"/>
    <s v="0000_Default"/>
    <s v="0000_Default"/>
    <s v="Procurement/Legal Tool"/>
    <s v="Contratech"/>
    <s v="Budget 2026"/>
    <s v="EUR"/>
    <n v="2167"/>
    <n v="2167"/>
    <n v="2167"/>
    <n v="2167"/>
    <n v="2167"/>
    <n v="2167"/>
    <n v="2167"/>
    <n v="2167"/>
    <n v="2167"/>
    <n v="2167"/>
    <n v="2167"/>
    <n v="2167"/>
    <n v="26004"/>
    <n v="26004"/>
    <n v="0"/>
    <n v="26004"/>
  </r>
  <r>
    <x v="14"/>
    <s v="000000_Default"/>
    <s v="000000_Default"/>
    <s v="0000_Default"/>
    <s v="0000_Default"/>
    <s v="Workday Adaptive Budget &amp; Forecast licenses - EIL &amp; THIF intances"/>
    <s v="Workday"/>
    <s v="Budget 2026"/>
    <s v="GBP"/>
    <n v="9500"/>
    <n v="9500"/>
    <n v="9500"/>
    <n v="9500"/>
    <n v="9500"/>
    <n v="9500"/>
    <n v="9500"/>
    <n v="9500"/>
    <n v="9500"/>
    <n v="9500"/>
    <n v="9500"/>
    <n v="9500"/>
    <n v="114000"/>
    <n v="131034.4827586207"/>
    <n v="0"/>
    <n v="131034.4827586207"/>
  </r>
  <r>
    <x v="14"/>
    <s v="000000_Default"/>
    <s v="000000_Default"/>
    <s v="0000_Default"/>
    <s v="0000_Default"/>
    <s v="UKG - Clock Rental - annualised"/>
    <s v="UKG"/>
    <s v="Budget 2026"/>
    <s v="GBP"/>
    <n v="225"/>
    <n v="225"/>
    <n v="225"/>
    <n v="225"/>
    <n v="225"/>
    <n v="225"/>
    <n v="225"/>
    <n v="225"/>
    <n v="225"/>
    <n v="225"/>
    <n v="225"/>
    <n v="225"/>
    <n v="2700"/>
    <n v="3103.4482758620688"/>
    <n v="0"/>
    <n v="3103.4482758620688"/>
  </r>
  <r>
    <x v="14"/>
    <s v="000000_Default"/>
    <s v="000000_Default"/>
    <s v="0000_Default"/>
    <s v="0000_Default"/>
    <s v="UKG - SAAS Services"/>
    <s v="UKG"/>
    <s v="Budget 2026"/>
    <s v="GBP"/>
    <n v="4167"/>
    <n v="4167"/>
    <n v="4167"/>
    <n v="4167"/>
    <n v="4167"/>
    <n v="4167"/>
    <n v="4167"/>
    <n v="4167"/>
    <n v="4167"/>
    <n v="4167"/>
    <n v="4167"/>
    <n v="4167"/>
    <n v="50004"/>
    <n v="57475.862068965514"/>
    <n v="0"/>
    <n v="57475.862068965514"/>
  </r>
  <r>
    <x v="14"/>
    <s v="000000_Default"/>
    <s v="000000_Default"/>
    <s v="0000_Default"/>
    <s v="0000_Default"/>
    <s v="Oracle Ebs (R12) licences (Finance &amp; HR)"/>
    <s v="Oracle"/>
    <s v="Budget 2026"/>
    <s v="GBP"/>
    <n v="33333.333330000001"/>
    <n v="33333.333330000001"/>
    <n v="33333.333330000001"/>
    <n v="33333.333330000001"/>
    <n v="33333.333330000001"/>
    <n v="33333.333330000001"/>
    <n v="33333.333330000001"/>
    <n v="33333.333330000001"/>
    <n v="33333.333330000001"/>
    <n v="33333.333330000001"/>
    <n v="33333.333330000001"/>
    <n v="33333.333330000001"/>
    <n v="399999.99995999999"/>
    <n v="459770.11489655171"/>
    <n v="0"/>
    <n v="459770.11489655171"/>
  </r>
  <r>
    <x v="14"/>
    <s v="000000_Default"/>
    <s v="000000_Default"/>
    <s v="0000_Default"/>
    <s v="0000_Default"/>
    <s v="Kallidus -  HR Learning &amp; Development"/>
    <s v="Kallidus"/>
    <s v="Budget 2026"/>
    <s v="GBP"/>
    <n v="5000"/>
    <n v="5000"/>
    <n v="5000"/>
    <n v="5000"/>
    <n v="5000"/>
    <n v="5000"/>
    <n v="5000"/>
    <n v="5000"/>
    <n v="5000"/>
    <n v="5000"/>
    <n v="5000"/>
    <n v="5000"/>
    <n v="60000"/>
    <n v="68965.517241379304"/>
    <n v="0"/>
    <n v="68965.517241379304"/>
  </r>
  <r>
    <x v="14"/>
    <s v="000000_Default"/>
    <s v="000000_Default"/>
    <s v="0000_Default"/>
    <s v="0000_Default"/>
    <s v="Business Objects - Licences"/>
    <s v="Infosol"/>
    <s v="Budget 2026"/>
    <s v="GBP"/>
    <n v="2667"/>
    <n v="2667"/>
    <n v="2667"/>
    <n v="2667"/>
    <n v="2667"/>
    <n v="2667"/>
    <n v="2667"/>
    <n v="2667"/>
    <n v="2667"/>
    <n v="2667"/>
    <n v="2667"/>
    <n v="2667"/>
    <n v="32004"/>
    <n v="36786.206896551725"/>
    <n v="0"/>
    <n v="36786.206896551725"/>
  </r>
  <r>
    <x v="14"/>
    <s v="000000_Default"/>
    <s v="000000_Default"/>
    <s v="0000_Default"/>
    <s v="0000_Default"/>
    <s v="Workday Adaptive support through Clear Plan"/>
    <s v="Clear Plan"/>
    <s v="Budget 2026"/>
    <s v="GBP"/>
    <n v="3167"/>
    <n v="3167"/>
    <n v="3167"/>
    <n v="3167"/>
    <n v="3167"/>
    <n v="3167"/>
    <n v="3167"/>
    <n v="3167"/>
    <n v="3167"/>
    <n v="3167"/>
    <n v="3167"/>
    <n v="3167"/>
    <n v="38004"/>
    <n v="43682.758620689652"/>
    <n v="0"/>
    <n v="43682.758620689652"/>
  </r>
  <r>
    <x v="14"/>
    <s v="000000_Default"/>
    <s v="000000_Default"/>
    <s v="0000_Default"/>
    <s v="0000_Default"/>
    <s v="Box - License and application support"/>
    <s v="Box"/>
    <s v="Budget 2026"/>
    <s v="GBP"/>
    <n v="15833"/>
    <n v="15833"/>
    <n v="15833"/>
    <n v="15833"/>
    <n v="15833"/>
    <n v="15833"/>
    <n v="15833"/>
    <n v="15833"/>
    <n v="15833"/>
    <n v="15833"/>
    <n v="15833"/>
    <n v="15833"/>
    <n v="189996"/>
    <n v="218386.20689655174"/>
    <n v="0"/>
    <n v="218386.20689655174"/>
  </r>
  <r>
    <x v="14"/>
    <s v="000000_Default"/>
    <s v="000000_Default"/>
    <s v="0000_Default"/>
    <s v="0000_Default"/>
    <s v="Mi Invoices - Invoice Management"/>
    <s v="Arcivate Limited"/>
    <s v="Budget 2026"/>
    <s v="GBP"/>
    <n v="3833"/>
    <n v="3833"/>
    <n v="3833"/>
    <n v="3833"/>
    <n v="3833"/>
    <n v="3833"/>
    <n v="3833"/>
    <n v="3833"/>
    <n v="3833"/>
    <n v="3833"/>
    <n v="3833"/>
    <n v="3833"/>
    <n v="45996"/>
    <n v="52868.965517241377"/>
    <n v="0"/>
    <n v="52868.965517241377"/>
  </r>
  <r>
    <x v="14"/>
    <s v="000000_Default"/>
    <s v="000000_Default"/>
    <s v="0000_Default"/>
    <s v="0000_Default"/>
    <s v="Workvivo (Employee Experience Tool) - Licence &amp; Support"/>
    <s v="Workvivo"/>
    <s v="Budget 2026"/>
    <s v="USD"/>
    <n v="8333"/>
    <n v="8333"/>
    <n v="8333"/>
    <n v="8333"/>
    <n v="8333"/>
    <n v="8333"/>
    <n v="8333"/>
    <n v="8333"/>
    <n v="8333"/>
    <n v="8333"/>
    <n v="8333"/>
    <n v="8333"/>
    <n v="99996"/>
    <n v="85466.666666666672"/>
    <n v="0"/>
    <n v="85466.666666666672"/>
  </r>
  <r>
    <x v="14"/>
    <s v="000000_Default"/>
    <s v="000000_Default"/>
    <s v="0000_Default"/>
    <s v="0000_Default"/>
    <s v="Tableau"/>
    <s v="Tableau"/>
    <s v="Budget 2026"/>
    <s v="EUR"/>
    <n v="5833"/>
    <n v="5833"/>
    <n v="5833"/>
    <n v="5833"/>
    <n v="5833"/>
    <n v="5833"/>
    <n v="5833"/>
    <n v="5833"/>
    <n v="5833"/>
    <n v="5833"/>
    <n v="5833"/>
    <n v="5833"/>
    <n v="69996"/>
    <n v="69996"/>
    <n v="-35004"/>
    <n v="34992"/>
  </r>
  <r>
    <x v="14"/>
    <s v="000000_Default"/>
    <s v="000000_Default"/>
    <s v="0000_Default"/>
    <s v="0000_Default"/>
    <s v="Mulesoft"/>
    <s v="Mulesoft"/>
    <s v="Budget 2026"/>
    <s v="EUR"/>
    <n v="30500"/>
    <n v="30500"/>
    <n v="30500"/>
    <n v="30500"/>
    <n v="30500"/>
    <n v="30500"/>
    <n v="30500"/>
    <n v="30500"/>
    <n v="30500"/>
    <n v="30500"/>
    <n v="30500"/>
    <n v="30500"/>
    <n v="366000"/>
    <n v="366000"/>
    <n v="-50004"/>
    <n v="315996"/>
  </r>
  <r>
    <x v="14"/>
    <s v="000000_Default"/>
    <s v="000000_Default"/>
    <s v="0000_Default"/>
    <s v="0000_Default"/>
    <s v="Boomi"/>
    <s v="Boomi"/>
    <s v="Budget 2026"/>
    <s v="EUR"/>
    <n v="20833"/>
    <n v="20833"/>
    <n v="20833"/>
    <n v="20833"/>
    <n v="20833"/>
    <n v="20833"/>
    <n v="20833"/>
    <n v="20833"/>
    <n v="20833"/>
    <n v="20833"/>
    <n v="20833"/>
    <n v="20833"/>
    <n v="249996"/>
    <n v="249996"/>
    <n v="-150000"/>
    <n v="99996"/>
  </r>
  <r>
    <x v="15"/>
    <s v="000000_Default"/>
    <s v="000000_Default"/>
    <s v="0000_Default"/>
    <s v="0000_Default"/>
    <s v="Worldline VPN to ATOS Rail Mainframe to access TRUST"/>
    <s v="WORLDLINE IT SERVICES UK LIMITED"/>
    <s v="Budget 2026"/>
    <s v="GBP"/>
    <n v="500"/>
    <n v="500"/>
    <n v="500"/>
    <n v="500"/>
    <n v="500"/>
    <n v="500"/>
    <n v="500"/>
    <n v="500"/>
    <n v="500"/>
    <n v="500"/>
    <n v="500"/>
    <n v="500"/>
    <n v="6000"/>
    <n v="6896.5517241379312"/>
    <n v="0"/>
    <n v="6896.5517241379312"/>
  </r>
  <r>
    <x v="15"/>
    <s v="000000_Default"/>
    <s v="000000_Default"/>
    <s v="0000_Default"/>
    <s v="0000_Default"/>
    <s v="Telephony at SPI (Etrali Voice SystemI"/>
    <s v="TRADING SYSTEM SUPPORT"/>
    <s v="Budget 2026"/>
    <s v="GBP"/>
    <n v="2083.33"/>
    <n v="2083.33"/>
    <n v="2083.33"/>
    <n v="2083.33"/>
    <n v="2083.33"/>
    <n v="2083.33"/>
    <n v="2083.33"/>
    <n v="2083.33"/>
    <n v="2083.33"/>
    <n v="2083.33"/>
    <n v="2083.33"/>
    <n v="2083.33"/>
    <n v="24999.960000000006"/>
    <n v="28735.586206896558"/>
    <n v="0"/>
    <n v="28735.586206896558"/>
  </r>
  <r>
    <x v="15"/>
    <s v="000000_Default"/>
    <s v="000000_Default"/>
    <s v="0000_Default"/>
    <s v="0000_Default"/>
    <s v="Licence to play radio &amp; TV in common areas"/>
    <s v="PRS (Performing Rights Society)"/>
    <s v="Budget 2026"/>
    <s v="GBP"/>
    <n v="208.33"/>
    <n v="208.33"/>
    <n v="208.33"/>
    <n v="208.33"/>
    <n v="208.33"/>
    <n v="208.33"/>
    <n v="208.33"/>
    <n v="208.33"/>
    <n v="208.33"/>
    <n v="208.33"/>
    <n v="208.33"/>
    <n v="208.33"/>
    <n v="2499.9599999999996"/>
    <n v="2873.5172413793098"/>
    <n v="0"/>
    <n v="2873.5172413793098"/>
  </r>
  <r>
    <x v="15"/>
    <s v="000000_Default"/>
    <s v="000000_Default"/>
    <s v="0000_Default"/>
    <s v="0000_Default"/>
    <s v="VoIP Teams Connector for corporate voice - Icon Teams Connector £4683.2 till 31/05/26"/>
    <s v="MAINTEL EUROPE LIMITED"/>
    <s v="Budget 2026"/>
    <s v="GBP"/>
    <n v="1000"/>
    <n v="1000"/>
    <n v="1000"/>
    <n v="1000"/>
    <n v="1000"/>
    <n v="1000"/>
    <n v="1000"/>
    <n v="1000"/>
    <n v="1000"/>
    <n v="1000"/>
    <n v="1000"/>
    <n v="1000"/>
    <n v="12000"/>
    <n v="13793.103448275862"/>
    <n v="0"/>
    <n v="13793.103448275862"/>
  </r>
  <r>
    <x v="16"/>
    <s v="000000_Default"/>
    <s v="000000_Default"/>
    <s v="1012_France"/>
    <s v="1012_France"/>
    <s v="Legacy phone lines in PNO/LIL"/>
    <s v="SNCF DIRECTION GENERALE &amp; SI (E81)"/>
    <s v="Budget 2026"/>
    <s v="EUR"/>
    <n v="292"/>
    <n v="292"/>
    <n v="292"/>
    <n v="292"/>
    <n v="292"/>
    <n v="292"/>
    <n v="292"/>
    <n v="292"/>
    <n v="292"/>
    <n v="292"/>
    <n v="292"/>
    <n v="292"/>
    <n v="3504"/>
    <n v="3504"/>
    <n v="0"/>
    <n v="3504"/>
  </r>
  <r>
    <x v="16"/>
    <s v="000000_Default"/>
    <s v="000000_Default"/>
    <s v="0000_Default"/>
    <s v="0000_Default"/>
    <s v="Legacy phone lines in Paris &amp; Lille"/>
    <s v="SFR BUSINESS"/>
    <s v="Budget 2026"/>
    <s v="EUR"/>
    <n v="100"/>
    <n v="100"/>
    <n v="100"/>
    <n v="100"/>
    <n v="100"/>
    <n v="100"/>
    <n v="100"/>
    <n v="100"/>
    <n v="100"/>
    <n v="100"/>
    <n v="100"/>
    <n v="100"/>
    <n v="1200"/>
    <n v="1200"/>
    <n v="0"/>
    <n v="1200"/>
  </r>
  <r>
    <x v="16"/>
    <s v="000000_Default"/>
    <s v="000000_Default"/>
    <s v="1014_Belgium"/>
    <s v="1014_Belgium"/>
    <s v="Legacy phone lines in Brussels"/>
    <s v="PROXIMUS"/>
    <s v="Budget 2026"/>
    <s v="EUR"/>
    <n v="1333.33"/>
    <n v="1333.33"/>
    <n v="1333.33"/>
    <n v="1333.33"/>
    <n v="1333.33"/>
    <n v="1333.33"/>
    <n v="1333.33"/>
    <n v="1333.33"/>
    <n v="1333.33"/>
    <n v="1333.33"/>
    <n v="1333.33"/>
    <n v="1333.33"/>
    <n v="15999.96"/>
    <n v="15999.96"/>
    <n v="0"/>
    <n v="15999.96"/>
  </r>
  <r>
    <x v="16"/>
    <s v="000000_Default"/>
    <s v="000000_Default"/>
    <s v="1012_France"/>
    <s v="1012_France"/>
    <s v="Station connectivity in Paris &amp; Lille"/>
    <s v="ORANGE SA"/>
    <s v="Budget 2026"/>
    <s v="EUR"/>
    <n v="6000"/>
    <n v="6000"/>
    <n v="6000"/>
    <n v="6000"/>
    <n v="6000"/>
    <n v="6000"/>
    <n v="6000"/>
    <n v="6000"/>
    <n v="6000"/>
    <n v="6000"/>
    <n v="6000"/>
    <n v="6000"/>
    <n v="72000"/>
    <n v="72000"/>
    <n v="0"/>
    <n v="72000"/>
  </r>
  <r>
    <x v="16"/>
    <s v="000000_Default"/>
    <s v="000000_Default"/>
    <s v="0000_Default"/>
    <s v="0000_Default"/>
    <s v="Service Desk phone line &amp; Ashford Phone"/>
    <s v="LUMEN TECHNOLOGIES UK LIMITED"/>
    <s v="Budget 2026"/>
    <s v="GBP"/>
    <n v="250"/>
    <n v="250"/>
    <n v="250"/>
    <n v="250"/>
    <n v="250"/>
    <n v="250"/>
    <n v="250"/>
    <n v="250"/>
    <n v="250"/>
    <n v="250"/>
    <n v="250"/>
    <n v="250"/>
    <n v="3000"/>
    <n v="3448.2758620689656"/>
    <n v="0"/>
    <n v="3448.2758620689656"/>
  </r>
  <r>
    <x v="16"/>
    <s v="000000_Default"/>
    <s v="000000_Default"/>
    <s v="0000_Default"/>
    <s v="0000_Default"/>
    <m/>
    <s v="Linked to CAPEX Projects"/>
    <s v="Budget 2026"/>
    <s v="GBP"/>
    <n v="4166.67"/>
    <n v="4166.67"/>
    <n v="4166.67"/>
    <n v="4166.67"/>
    <n v="4166.67"/>
    <n v="4166.67"/>
    <n v="4166.67"/>
    <n v="4166.67"/>
    <n v="4166.67"/>
    <n v="4166.67"/>
    <n v="4166.67"/>
    <n v="4166.67"/>
    <n v="50000.039999999986"/>
    <n v="57471.310344827572"/>
    <n v="-2043"/>
    <n v="55428.310344827572"/>
  </r>
  <r>
    <x v="16"/>
    <s v="000000_Default"/>
    <s v="000000_Default"/>
    <s v="1013_UK"/>
    <s v="1013_UK"/>
    <s v="ISDN/PSTN Phone lines in TMI and SPI"/>
    <s v="BT BUSINESS COMMUNICATIONS"/>
    <s v="Budget 2026"/>
    <s v="GBP"/>
    <n v="5667"/>
    <n v="5667"/>
    <n v="5667"/>
    <n v="5667"/>
    <n v="5667"/>
    <n v="5667"/>
    <n v="5667"/>
    <n v="5667"/>
    <n v="5667"/>
    <n v="5667"/>
    <n v="5667"/>
    <n v="5667"/>
    <n v="68004"/>
    <n v="78165.517241379304"/>
    <n v="0"/>
    <n v="78165.517241379304"/>
  </r>
  <r>
    <x v="17"/>
    <s v="000000_Default"/>
    <s v="000000_Default"/>
    <s v="1014_Belgium"/>
    <s v="1014_Belgium"/>
    <s v="EIL Corporate mobile telephony Belgium"/>
    <s v="Orange SA"/>
    <s v="Budget 2026"/>
    <s v="EUR"/>
    <n v="3000"/>
    <n v="3000"/>
    <n v="3000"/>
    <n v="3000"/>
    <n v="3000"/>
    <n v="3000"/>
    <n v="3000"/>
    <n v="3000"/>
    <n v="3000"/>
    <n v="3000"/>
    <n v="3000"/>
    <n v="3000"/>
    <n v="36000"/>
    <n v="36000"/>
    <n v="0"/>
    <n v="36000"/>
  </r>
  <r>
    <x v="17"/>
    <s v="000000_Default"/>
    <s v="000000_Default"/>
    <s v="1012_France"/>
    <s v="1012_France"/>
    <s v="EIL Corporate mobile telephony France"/>
    <s v="ORANGE SA"/>
    <s v="Budget 2026"/>
    <s v="EUR"/>
    <n v="4500"/>
    <n v="4500"/>
    <n v="4500"/>
    <n v="4500"/>
    <n v="4500"/>
    <n v="4500"/>
    <n v="4500"/>
    <n v="4500"/>
    <n v="4500"/>
    <n v="4500"/>
    <n v="4500"/>
    <n v="4500"/>
    <n v="54000"/>
    <n v="54000"/>
    <n v="0"/>
    <n v="54000"/>
  </r>
  <r>
    <x v="17"/>
    <s v="000000_Default"/>
    <s v="000000_Default"/>
    <s v="1013_UK"/>
    <s v="1013_UK"/>
    <s v="EIL Corporate mobile telephony UK"/>
    <s v="EE LIMITED"/>
    <s v="Budget 2026"/>
    <s v="GBP"/>
    <n v="13736.67"/>
    <n v="13736.67"/>
    <n v="13736.67"/>
    <n v="13736.67"/>
    <n v="13736.67"/>
    <n v="13736.67"/>
    <n v="13736.67"/>
    <n v="13736.67"/>
    <n v="13736.67"/>
    <n v="13736.67"/>
    <n v="13736.67"/>
    <n v="13736.67"/>
    <n v="164840.04000000004"/>
    <n v="189471.31034482762"/>
    <n v="-1498.1999999999998"/>
    <n v="187973.11034482761"/>
  </r>
  <r>
    <x v="17"/>
    <s v="000000_Default"/>
    <s v="000000_Default"/>
    <s v="0000_Default"/>
    <s v="0000_Default"/>
    <s v="New Internet Service For SDWAN"/>
    <s v="COLT (or A N Other)"/>
    <s v="Budget 2026"/>
    <s v="GBP"/>
    <n v="12000"/>
    <n v="12000"/>
    <n v="12000"/>
    <n v="12000"/>
    <n v="12000"/>
    <n v="12000"/>
    <n v="12000"/>
    <n v="12000"/>
    <n v="12000"/>
    <n v="12000"/>
    <n v="12000"/>
    <n v="12000"/>
    <n v="144000"/>
    <n v="165517.24137931035"/>
    <n v="0"/>
    <n v="165517.24137931035"/>
  </r>
  <r>
    <x v="18"/>
    <s v="000000_Default"/>
    <s v="000000_Default"/>
    <s v="0000_Default"/>
    <s v="0000_Default"/>
    <s v="To cover one off costs of Macs for Devs &amp; phones for testing"/>
    <s v="Various"/>
    <s v="5+7 2024 &amp; Budget 25"/>
    <s v="GBP"/>
    <n v="3333"/>
    <n v="3333"/>
    <n v="3333"/>
    <n v="3333"/>
    <n v="3333"/>
    <n v="3333"/>
    <n v="3333"/>
    <n v="3333"/>
    <n v="3333"/>
    <n v="3333"/>
    <n v="3333"/>
    <n v="3333"/>
    <n v="39996"/>
    <n v="45972.413793103449"/>
    <n v="0"/>
    <n v="45972.413793103449"/>
  </r>
  <r>
    <x v="19"/>
    <s v="000000_Default"/>
    <s v="000000_Default"/>
    <s v="0000_Default"/>
    <s v="0000_Default"/>
    <s v="Plug to offset late change of 2 FTE"/>
    <m/>
    <s v="6+6 2025"/>
    <s v="GBP"/>
    <n v="-13975"/>
    <n v="-13975"/>
    <n v="-13975"/>
    <n v="-13975"/>
    <n v="-13975"/>
    <n v="-13975"/>
    <n v="-13975"/>
    <n v="-13975"/>
    <n v="-13975"/>
    <n v="-13975"/>
    <n v="-13975"/>
    <n v="-13975"/>
    <n v="-167700"/>
    <n v="-192758.62068965516"/>
    <n v="0"/>
    <n v="-192758.62068965516"/>
  </r>
  <r>
    <x v="20"/>
    <s v="000000_Default"/>
    <s v="000000_Default"/>
    <s v="0000_Default"/>
    <s v="0000_Default"/>
    <s v="Technical &amp; specialist consultancy - BAU &amp; Project"/>
    <s v="TBC"/>
    <s v="Budget 2026"/>
    <s v="GBP"/>
    <n v="8333.33"/>
    <n v="8333.33"/>
    <n v="8333.33"/>
    <n v="8333.33"/>
    <n v="8333.33"/>
    <n v="8333.33"/>
    <n v="8333.33"/>
    <n v="8333.33"/>
    <n v="8333.33"/>
    <n v="8333.33"/>
    <n v="8333.33"/>
    <n v="8333.33"/>
    <n v="99999.96"/>
    <n v="114942.4827586207"/>
    <n v="0"/>
    <n v="114942.4827586207"/>
  </r>
  <r>
    <x v="20"/>
    <s v="000000_Default"/>
    <s v="000000_Default"/>
    <s v="0000_Default"/>
    <s v="0000_Default"/>
    <s v="Internal Audits: ISO27001"/>
    <s v="Taylor Baines, LRQA"/>
    <s v="Budget 2026"/>
    <s v="EUR"/>
    <n v="2548"/>
    <n v="2548"/>
    <n v="2548"/>
    <n v="2548"/>
    <n v="2548"/>
    <n v="2548"/>
    <n v="2548"/>
    <n v="2548"/>
    <n v="2548"/>
    <n v="2548"/>
    <n v="2548"/>
    <n v="2548"/>
    <n v="30576"/>
    <n v="30576"/>
    <n v="0"/>
    <n v="30576"/>
  </r>
  <r>
    <x v="20"/>
    <s v="000000_Default"/>
    <s v="000000_Default"/>
    <s v="0000_Default"/>
    <s v="0000_Default"/>
    <s v="Audits: PCI-DSS"/>
    <s v="SRM"/>
    <s v="Budget 2026"/>
    <s v="EUR"/>
    <n v="1274"/>
    <n v="1274"/>
    <n v="1274"/>
    <n v="1274"/>
    <n v="1274"/>
    <n v="1274"/>
    <n v="1274"/>
    <n v="1274"/>
    <n v="1274"/>
    <n v="1274"/>
    <n v="1274"/>
    <n v="1274"/>
    <n v="15288"/>
    <n v="15288"/>
    <n v="0"/>
    <n v="15288"/>
  </r>
  <r>
    <x v="20"/>
    <s v="000000_Default"/>
    <s v="000000_Default"/>
    <s v="0000_Default"/>
    <s v="0000_Default"/>
    <s v="Cybersecurity system expertise"/>
    <m/>
    <s v="Budget 2026"/>
    <s v="EUR"/>
    <n v="1698"/>
    <n v="1698"/>
    <n v="1698"/>
    <n v="1698"/>
    <n v="1698"/>
    <n v="1698"/>
    <n v="1698"/>
    <n v="1698"/>
    <n v="1698"/>
    <n v="1698"/>
    <n v="1698"/>
    <n v="1698"/>
    <n v="20376"/>
    <n v="20376"/>
    <n v="0"/>
    <n v="20376"/>
  </r>
  <r>
    <x v="21"/>
    <s v="000000_Default"/>
    <s v="000000_Default"/>
    <s v="0000_Default"/>
    <s v="0000_Default"/>
    <s v="Travel costs"/>
    <m/>
    <s v="Budget 2026"/>
    <s v="EUR"/>
    <n v="3851.67"/>
    <n v="3851.67"/>
    <n v="3851.67"/>
    <n v="3851.67"/>
    <n v="3851.67"/>
    <n v="3851.67"/>
    <n v="3851.67"/>
    <n v="3851.67"/>
    <n v="3851.67"/>
    <n v="3851.67"/>
    <n v="3851.67"/>
    <n v="3851.67"/>
    <n v="46220.039999999986"/>
    <n v="46220.039999999986"/>
    <n v="-105000"/>
    <n v="-58779.960000000014"/>
  </r>
  <r>
    <x v="21"/>
    <s v="000000_Default"/>
    <s v="000000_Default"/>
    <s v="0000_Default"/>
    <s v="0000_Default"/>
    <s v="Staff travel EIL"/>
    <s v="Various"/>
    <s v="Budget 2026"/>
    <s v="GBP"/>
    <n v="1000"/>
    <n v="1000"/>
    <n v="1000"/>
    <n v="1000"/>
    <n v="1000"/>
    <n v="1000"/>
    <n v="1000"/>
    <n v="1000"/>
    <n v="1000"/>
    <n v="1000"/>
    <n v="1000"/>
    <n v="1000"/>
    <n v="12000"/>
    <n v="13793.103448275862"/>
    <n v="0"/>
    <n v="13793.103448275862"/>
  </r>
  <r>
    <x v="22"/>
    <s v="000000_Default"/>
    <s v="000000_Default"/>
    <s v="0000_Default"/>
    <s v="0000_Default"/>
    <s v="Travel costs (hotel)"/>
    <m/>
    <s v="Budget 2026"/>
    <s v="EUR"/>
    <n v="13944.67"/>
    <n v="13944.67"/>
    <n v="13944.67"/>
    <n v="13944.67"/>
    <n v="13944.67"/>
    <n v="13944.67"/>
    <n v="13944.67"/>
    <n v="13944.67"/>
    <n v="13944.67"/>
    <n v="13944.67"/>
    <n v="13944.67"/>
    <n v="13944.67"/>
    <n v="167336.04000000004"/>
    <n v="167336.04000000004"/>
    <n v="0"/>
    <n v="167336.04000000004"/>
  </r>
  <r>
    <x v="22"/>
    <s v="000000_Default"/>
    <s v="000000_Default"/>
    <s v="0000_Default"/>
    <s v="0000_Default"/>
    <s v="Staff hotels EIL"/>
    <m/>
    <s v="Budget 2026"/>
    <s v="GBP"/>
    <n v="1250"/>
    <n v="1250"/>
    <n v="1250"/>
    <n v="1250"/>
    <n v="1250"/>
    <n v="1250"/>
    <n v="1250"/>
    <n v="1250"/>
    <n v="1250"/>
    <n v="1250"/>
    <n v="1250"/>
    <n v="1250"/>
    <n v="15000"/>
    <n v="17241.379310344826"/>
    <n v="0"/>
    <n v="17241.379310344826"/>
  </r>
  <r>
    <x v="23"/>
    <s v="000000_Default"/>
    <s v="000000_Default"/>
    <s v="0000_Default"/>
    <s v="0000_Default"/>
    <s v="Duty travel control account"/>
    <m/>
    <s v="Budget 2026"/>
    <s v="EUR"/>
    <n v="173.83"/>
    <n v="173.83"/>
    <n v="173.83"/>
    <n v="173.83"/>
    <n v="173.83"/>
    <n v="173.83"/>
    <n v="173.83"/>
    <n v="173.83"/>
    <n v="173.83"/>
    <n v="173.83"/>
    <n v="173.83"/>
    <n v="173.83"/>
    <n v="2085.9599999999996"/>
    <n v="2085.9599999999996"/>
    <n v="0"/>
    <n v="2085.9599999999996"/>
  </r>
  <r>
    <x v="24"/>
    <s v="000000_Default"/>
    <s v="000000_Default"/>
    <s v="0000_Default"/>
    <s v="0000_Default"/>
    <s v="France Printing EIL (TBC)"/>
    <s v="RICOH "/>
    <s v="Budget 2026"/>
    <s v="EUR"/>
    <n v="2083.33"/>
    <n v="2083.33"/>
    <n v="2083.33"/>
    <n v="2083.33"/>
    <n v="2083.33"/>
    <n v="2083.33"/>
    <n v="2083.33"/>
    <n v="2083.33"/>
    <n v="2083.33"/>
    <n v="2083.33"/>
    <n v="2083.33"/>
    <n v="2083.33"/>
    <n v="24999.960000000006"/>
    <n v="24999.960000000006"/>
    <n v="0"/>
    <n v="24999.960000000006"/>
  </r>
  <r>
    <x v="24"/>
    <s v="000000_Default"/>
    <s v="000000_Default"/>
    <s v="0000_Default"/>
    <s v="0000_Default"/>
    <s v="Belgian Printing EIL (TBC)"/>
    <s v="RICOH"/>
    <s v="Budget 2026"/>
    <s v="EUR"/>
    <n v="1316.67"/>
    <n v="1316.67"/>
    <n v="1316.67"/>
    <n v="1316.67"/>
    <n v="1316.67"/>
    <n v="1316.67"/>
    <n v="1316.67"/>
    <n v="1316.67"/>
    <n v="1316.67"/>
    <n v="1316.67"/>
    <n v="1316.67"/>
    <n v="1316.67"/>
    <n v="15800.04"/>
    <n v="15800.04"/>
    <n v="-10008"/>
    <n v="5792.0400000000009"/>
  </r>
  <r>
    <x v="24"/>
    <s v="000000_Default"/>
    <s v="000000_Default"/>
    <s v="0000_Default"/>
    <s v="0000_Default"/>
    <s v="UK Printing"/>
    <s v="RICOH"/>
    <s v="Budget 2026"/>
    <s v="GBP"/>
    <n v="7916.67"/>
    <n v="7916.67"/>
    <n v="7916.67"/>
    <n v="7916.67"/>
    <n v="7916.67"/>
    <n v="7916.67"/>
    <n v="7916.67"/>
    <n v="7916.67"/>
    <n v="7916.67"/>
    <n v="7916.67"/>
    <n v="7916.67"/>
    <n v="7916.67"/>
    <n v="95000.04"/>
    <n v="109195.44827586206"/>
    <n v="0"/>
    <n v="109195.44827586206"/>
  </r>
  <r>
    <x v="25"/>
    <s v="000000_Default"/>
    <s v="000000_Default"/>
    <s v="0000_Default"/>
    <s v="0000_Default"/>
    <s v="CIT membership"/>
    <m/>
    <s v="Budget 2026"/>
    <s v="EUR"/>
    <n v="12907.33"/>
    <n v="12907.33"/>
    <n v="12907.33"/>
    <n v="12907.33"/>
    <n v="12907.33"/>
    <n v="12907.33"/>
    <n v="12907.33"/>
    <n v="12907.33"/>
    <n v="12907.33"/>
    <n v="12907.33"/>
    <n v="12907.33"/>
    <n v="12907.33"/>
    <n v="154887.96"/>
    <n v="154887.96"/>
    <n v="0"/>
    <n v="154887.96"/>
  </r>
  <r>
    <x v="25"/>
    <s v="000000_Default"/>
    <s v="000000_Default"/>
    <s v="0000_Default"/>
    <s v="0000_Default"/>
    <s v="Gartner membership"/>
    <s v="GARTNER"/>
    <s v="Budget 2026"/>
    <s v="GBP"/>
    <n v="11574.95"/>
    <n v="11574.95"/>
    <n v="11574.95"/>
    <n v="11574.95"/>
    <n v="11574.95"/>
    <n v="11574.95"/>
    <n v="11574.95"/>
    <n v="11574.95"/>
    <n v="11574.95"/>
    <n v="11574.95"/>
    <n v="11574.95"/>
    <n v="11574.95"/>
    <n v="138899.4"/>
    <n v="159654.4827586207"/>
    <n v="0"/>
    <n v="159654.4827586207"/>
  </r>
  <r>
    <x v="26"/>
    <s v="000000_Default"/>
    <s v="000000_Default"/>
    <s v="0000_Default"/>
    <s v="0000_Default"/>
    <s v="Stationery"/>
    <m/>
    <s v="Budget 2026"/>
    <s v="EUR"/>
    <n v="127.16"/>
    <n v="127.16"/>
    <n v="127.16"/>
    <n v="127.16"/>
    <n v="127.16"/>
    <n v="127.16"/>
    <n v="127.16"/>
    <n v="127.16"/>
    <n v="127.16"/>
    <n v="127.16"/>
    <n v="127.16"/>
    <n v="127.16"/>
    <n v="1525.92"/>
    <n v="1525.92"/>
    <n v="0"/>
    <n v="1525.92"/>
  </r>
  <r>
    <x v="27"/>
    <s v="000000_Default"/>
    <s v="000000_Default"/>
    <s v="0000_Default"/>
    <s v="0000_Default"/>
    <s v="Shipping &amp; deliveries"/>
    <s v="BUILD 2 DESIGN LIMITED"/>
    <s v="Budget 2026"/>
    <s v="GBP"/>
    <n v="500"/>
    <n v="500"/>
    <n v="500"/>
    <n v="500"/>
    <n v="500"/>
    <n v="500"/>
    <n v="500"/>
    <n v="500"/>
    <n v="500"/>
    <n v="500"/>
    <n v="500"/>
    <n v="500"/>
    <n v="6000"/>
    <n v="6896.5517241379312"/>
    <n v="0"/>
    <n v="6896.55172413793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EE730D-1121-469D-870B-43435E6A43F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tion ">
  <location ref="L3:M9" firstHeaderRow="1" firstDataRow="1" firstDataCol="1"/>
  <pivotFields count="5">
    <pivotField showAll="0"/>
    <pivotField showAll="0"/>
    <pivotField axis="axisRow" showAll="0">
      <items count="6">
        <item x="0"/>
        <item x="4"/>
        <item x="2"/>
        <item x="1"/>
        <item x="3"/>
        <item t="default"/>
      </items>
    </pivotField>
    <pivotField showAll="0"/>
    <pivotField dataField="1" showAll="0"/>
  </pivotFields>
  <rowFields count="1">
    <field x="2"/>
  </rowFields>
  <rowItems count="6">
    <i>
      <x/>
    </i>
    <i>
      <x v="1"/>
    </i>
    <i>
      <x v="2"/>
    </i>
    <i>
      <x v="3"/>
    </i>
    <i>
      <x v="4"/>
    </i>
    <i t="grand">
      <x/>
    </i>
  </rowItems>
  <colItems count="1">
    <i/>
  </colItems>
  <dataFields count="1">
    <dataField name="Total Amount" fld="4"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201BE-C509-4B0C-B533-F95D21F5A01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25">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showAll="0"/>
    <pivotField dataField="1" numFmtId="38"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 after Simplify" fld="24" baseField="0" baseItem="0" numFmtId="3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F9AE-CB15-43F7-A7D2-45035643DE2E}">
  <dimension ref="B2:E13"/>
  <sheetViews>
    <sheetView showGridLines="0" workbookViewId="0">
      <selection activeCell="D13" sqref="D13"/>
    </sheetView>
  </sheetViews>
  <sheetFormatPr defaultColWidth="8.77734375" defaultRowHeight="14.4" x14ac:dyDescent="0.3"/>
  <cols>
    <col min="1" max="2" width="3.44140625" style="87" customWidth="1"/>
    <col min="3" max="3" width="5.33203125" style="87" customWidth="1"/>
    <col min="4" max="4" width="30.21875" style="87" bestFit="1" customWidth="1"/>
    <col min="5" max="5" width="105" style="87" bestFit="1" customWidth="1"/>
    <col min="6" max="16384" width="8.77734375" style="87"/>
  </cols>
  <sheetData>
    <row r="2" spans="2:5" x14ac:dyDescent="0.3">
      <c r="B2" s="84"/>
      <c r="C2" s="85"/>
      <c r="D2" s="85"/>
      <c r="E2" s="86"/>
    </row>
    <row r="3" spans="2:5" x14ac:dyDescent="0.3">
      <c r="B3" s="88"/>
      <c r="C3" s="89">
        <v>1</v>
      </c>
      <c r="D3" s="87" t="s">
        <v>1053</v>
      </c>
      <c r="E3" s="90" t="s">
        <v>1054</v>
      </c>
    </row>
    <row r="4" spans="2:5" x14ac:dyDescent="0.3">
      <c r="B4" s="88"/>
      <c r="C4" s="89">
        <v>2.1</v>
      </c>
      <c r="D4" s="87" t="s">
        <v>1059</v>
      </c>
      <c r="E4" s="90" t="s">
        <v>1060</v>
      </c>
    </row>
    <row r="5" spans="2:5" x14ac:dyDescent="0.3">
      <c r="B5" s="88"/>
      <c r="C5" s="89">
        <v>2.2000000000000002</v>
      </c>
      <c r="D5" s="87" t="s">
        <v>1062</v>
      </c>
      <c r="E5" s="90" t="s">
        <v>1063</v>
      </c>
    </row>
    <row r="6" spans="2:5" x14ac:dyDescent="0.3">
      <c r="B6" s="88"/>
      <c r="C6" s="89">
        <v>2.2999999999999998</v>
      </c>
      <c r="D6" s="87" t="s">
        <v>1064</v>
      </c>
      <c r="E6" s="90" t="s">
        <v>1065</v>
      </c>
    </row>
    <row r="7" spans="2:5" x14ac:dyDescent="0.3">
      <c r="B7" s="88"/>
      <c r="C7" s="89">
        <v>3.1</v>
      </c>
      <c r="D7" s="87" t="s">
        <v>1061</v>
      </c>
      <c r="E7" s="90" t="s">
        <v>1068</v>
      </c>
    </row>
    <row r="8" spans="2:5" x14ac:dyDescent="0.3">
      <c r="B8" s="88"/>
      <c r="C8" s="89">
        <v>3.2</v>
      </c>
      <c r="D8" s="87" t="s">
        <v>1066</v>
      </c>
      <c r="E8" s="90" t="s">
        <v>1069</v>
      </c>
    </row>
    <row r="9" spans="2:5" x14ac:dyDescent="0.3">
      <c r="B9" s="88"/>
      <c r="C9" s="89">
        <v>3.3</v>
      </c>
      <c r="D9" s="87" t="s">
        <v>1067</v>
      </c>
      <c r="E9" s="90" t="s">
        <v>1070</v>
      </c>
    </row>
    <row r="10" spans="2:5" x14ac:dyDescent="0.3">
      <c r="B10" s="88"/>
      <c r="C10" s="89">
        <v>4.0999999999999996</v>
      </c>
      <c r="D10" s="87" t="s">
        <v>1055</v>
      </c>
      <c r="E10" s="90" t="s">
        <v>1056</v>
      </c>
    </row>
    <row r="11" spans="2:5" x14ac:dyDescent="0.3">
      <c r="B11" s="88"/>
      <c r="C11" s="89">
        <v>4.2</v>
      </c>
      <c r="D11" s="87" t="s">
        <v>1057</v>
      </c>
      <c r="E11" s="90" t="s">
        <v>1058</v>
      </c>
    </row>
    <row r="12" spans="2:5" x14ac:dyDescent="0.3">
      <c r="B12" s="88"/>
      <c r="C12" s="89">
        <v>5</v>
      </c>
      <c r="D12" s="94" t="s">
        <v>1071</v>
      </c>
      <c r="E12" s="90"/>
    </row>
    <row r="13" spans="2:5" x14ac:dyDescent="0.3">
      <c r="B13" s="91"/>
      <c r="C13" s="92"/>
      <c r="D13" s="92"/>
      <c r="E13" s="9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C24AE-FA0D-43AB-9AD7-F874BCC67DA9}">
  <sheetPr>
    <tabColor theme="7"/>
  </sheetPr>
  <dimension ref="B3:W16"/>
  <sheetViews>
    <sheetView showGridLines="0" workbookViewId="0">
      <selection activeCell="W25" sqref="W25"/>
    </sheetView>
  </sheetViews>
  <sheetFormatPr defaultColWidth="9.21875" defaultRowHeight="15" customHeight="1" outlineLevelCol="1" x14ac:dyDescent="0.3"/>
  <cols>
    <col min="1" max="1" width="9.21875" style="21"/>
    <col min="2" max="2" width="25.77734375" style="21" customWidth="1"/>
    <col min="3" max="3" width="12.5546875" style="21" customWidth="1"/>
    <col min="4" max="5" width="12.5546875" style="21" hidden="1" customWidth="1" outlineLevel="1"/>
    <col min="6" max="6" width="12.5546875" style="21" customWidth="1" collapsed="1"/>
    <col min="7" max="8" width="12.5546875" style="21" hidden="1" customWidth="1" outlineLevel="1"/>
    <col min="9" max="9" width="12.5546875" style="21" customWidth="1" collapsed="1"/>
    <col min="10" max="10" width="12.5546875" style="21" customWidth="1"/>
    <col min="11" max="12" width="12.5546875" style="21" hidden="1" customWidth="1" outlineLevel="1"/>
    <col min="13" max="13" width="11.77734375" style="21" bestFit="1" customWidth="1" collapsed="1"/>
    <col min="14" max="14" width="15.21875" style="21" hidden="1" customWidth="1"/>
    <col min="15" max="20" width="0" style="21" hidden="1" customWidth="1"/>
    <col min="21" max="21" width="9.21875" style="21"/>
    <col min="22" max="22" width="13.77734375" style="21" bestFit="1" customWidth="1"/>
    <col min="23" max="16384" width="9.21875" style="21"/>
  </cols>
  <sheetData>
    <row r="3" spans="2:23" ht="43.2" x14ac:dyDescent="0.3">
      <c r="B3" s="19"/>
      <c r="C3" s="20" t="s">
        <v>0</v>
      </c>
      <c r="D3" s="20" t="s">
        <v>1</v>
      </c>
      <c r="E3" s="20" t="s">
        <v>2</v>
      </c>
      <c r="F3" s="20" t="s">
        <v>3</v>
      </c>
      <c r="G3" s="41" t="s">
        <v>4</v>
      </c>
      <c r="H3" s="41" t="s">
        <v>5</v>
      </c>
      <c r="I3" s="20" t="s">
        <v>6</v>
      </c>
      <c r="J3" s="20" t="s">
        <v>7</v>
      </c>
      <c r="K3" s="20" t="s">
        <v>8</v>
      </c>
      <c r="L3" s="20" t="s">
        <v>9</v>
      </c>
      <c r="N3" s="20" t="s">
        <v>10</v>
      </c>
    </row>
    <row r="4" spans="2:23" ht="14.4" x14ac:dyDescent="0.3">
      <c r="B4" s="21" t="s">
        <v>11</v>
      </c>
      <c r="C4" s="66"/>
      <c r="D4" s="66"/>
      <c r="E4" s="66"/>
      <c r="F4" s="66"/>
      <c r="G4" s="66"/>
      <c r="H4" s="66"/>
      <c r="I4" s="66"/>
      <c r="J4" s="66"/>
      <c r="K4" s="67"/>
      <c r="L4" s="67"/>
      <c r="M4" s="68"/>
      <c r="N4" s="69"/>
      <c r="O4" s="21" t="s">
        <v>12</v>
      </c>
    </row>
    <row r="5" spans="2:23" ht="14.4" x14ac:dyDescent="0.3">
      <c r="B5" s="21" t="s">
        <v>13</v>
      </c>
      <c r="C5" s="70">
        <f>SUM(D5:E5)</f>
        <v>17397370.539185774</v>
      </c>
      <c r="D5" s="123">
        <f>'2.2 EIL COS'!Z3</f>
        <v>13274936.049460653</v>
      </c>
      <c r="E5" s="123">
        <f>'3.2 THIF COS'!S1</f>
        <v>4122434.4897251204</v>
      </c>
      <c r="F5" s="123"/>
      <c r="G5" s="123"/>
      <c r="H5" s="123"/>
      <c r="I5" s="123"/>
      <c r="J5" s="123">
        <f>C5+F5+I5</f>
        <v>17397370.539185774</v>
      </c>
      <c r="K5" s="67">
        <f t="shared" ref="K5:K8" si="0">D5+G5+I5</f>
        <v>13274936.049460653</v>
      </c>
      <c r="L5" s="67">
        <f t="shared" ref="L5:L8" si="1">H5+E5</f>
        <v>4122434.4897251204</v>
      </c>
      <c r="M5" s="68"/>
      <c r="N5" s="69"/>
      <c r="O5" s="21" t="s">
        <v>14</v>
      </c>
    </row>
    <row r="6" spans="2:23" ht="14.4" x14ac:dyDescent="0.3">
      <c r="B6" s="21" t="s">
        <v>15</v>
      </c>
      <c r="C6" s="70">
        <f>SUM(D6:E6)</f>
        <v>42678200.75256826</v>
      </c>
      <c r="D6" s="134">
        <f>'2.1 EIL Opex'!AB3</f>
        <v>22117348.135303255</v>
      </c>
      <c r="E6" s="134">
        <f>'3.1 THIF Opex'!S1</f>
        <v>20560852.617265008</v>
      </c>
      <c r="F6" s="123">
        <f t="shared" ref="F6" si="2">SUM(G6:H6)</f>
        <v>-4356483.17</v>
      </c>
      <c r="G6" s="134">
        <f>'4.2 Simplify Savings'!AB1</f>
        <v>-2533219.1300000004</v>
      </c>
      <c r="H6" s="134">
        <f>'4.2 Simplify Savings'!AB47</f>
        <v>-1823264.04</v>
      </c>
      <c r="I6" s="123">
        <f>'4.1 Simplify Investments '!AB1-I8</f>
        <v>466499.99998800003</v>
      </c>
      <c r="J6" s="123">
        <f>C6+F6+I6</f>
        <v>38788217.582556255</v>
      </c>
      <c r="K6" s="67">
        <f>D6+G6+I6</f>
        <v>20050629.005291257</v>
      </c>
      <c r="L6" s="67">
        <f t="shared" si="1"/>
        <v>18737588.577265009</v>
      </c>
      <c r="M6" s="68" t="s">
        <v>1155</v>
      </c>
      <c r="N6" s="71">
        <f>SUM('[73]8. Group Opex Detail (€ 2025)'!S3:S7)</f>
        <v>531381.64639999997</v>
      </c>
      <c r="V6" s="54"/>
      <c r="W6" s="54"/>
    </row>
    <row r="7" spans="2:23" ht="14.4" x14ac:dyDescent="0.3">
      <c r="B7" s="21" t="s">
        <v>16</v>
      </c>
      <c r="C7" s="70">
        <f>SUM(D7:E7)</f>
        <v>14577171.068444472</v>
      </c>
      <c r="D7" s="134">
        <f>SUM('Report Data'!C34:C44,'Report Data'!D45)-'4.2 Simplify Savings'!AB3</f>
        <v>12081201.483679025</v>
      </c>
      <c r="E7" s="134">
        <f>SUM('Report Data'!C23:C33)</f>
        <v>2495969.5847654464</v>
      </c>
      <c r="F7" s="123">
        <f>SUM(G7:H7)</f>
        <v>-125583.48000000004</v>
      </c>
      <c r="G7" s="121">
        <f>'4.2 Simplify Savings'!AB3</f>
        <v>-125583.48000000004</v>
      </c>
      <c r="H7" s="134"/>
      <c r="I7" s="134"/>
      <c r="J7" s="123">
        <f t="shared" ref="J7:J8" si="3">C7+F7+I7</f>
        <v>14451587.588444471</v>
      </c>
      <c r="K7" s="67"/>
      <c r="L7" s="67"/>
      <c r="M7" s="68" t="s">
        <v>1168</v>
      </c>
      <c r="N7" s="71"/>
      <c r="O7" s="21" t="s">
        <v>17</v>
      </c>
    </row>
    <row r="8" spans="2:23" ht="14.4" x14ac:dyDescent="0.3">
      <c r="B8" s="21" t="s">
        <v>18</v>
      </c>
      <c r="C8" s="70">
        <f>SUM(D8:E8)</f>
        <v>31261810.793103449</v>
      </c>
      <c r="D8" s="123">
        <f>'2.3 EIL Capex '!AP3</f>
        <v>26992810.793103449</v>
      </c>
      <c r="E8" s="123">
        <f>'3.3 THIF Capex'!F2</f>
        <v>4269000</v>
      </c>
      <c r="F8" s="123"/>
      <c r="G8" s="123"/>
      <c r="H8" s="123"/>
      <c r="I8" s="123">
        <f>SUM('4.1 Simplify Investments '!AB8:AB12)</f>
        <v>466500</v>
      </c>
      <c r="J8" s="123">
        <f t="shared" si="3"/>
        <v>31728310.793103449</v>
      </c>
      <c r="K8" s="67">
        <f t="shared" si="0"/>
        <v>27459310.793103449</v>
      </c>
      <c r="L8" s="67">
        <f t="shared" si="1"/>
        <v>4269000</v>
      </c>
      <c r="M8" s="68"/>
      <c r="N8" s="69"/>
      <c r="O8" s="21" t="s">
        <v>19</v>
      </c>
    </row>
    <row r="9" spans="2:23" ht="15" customHeight="1" x14ac:dyDescent="0.3">
      <c r="G9" s="72" t="s">
        <v>20</v>
      </c>
      <c r="M9" s="68"/>
    </row>
    <row r="11" spans="2:23" ht="14.4" x14ac:dyDescent="0.3">
      <c r="B11" s="58"/>
      <c r="C11" s="58"/>
      <c r="D11" s="58"/>
      <c r="E11" s="58"/>
      <c r="F11" s="58"/>
      <c r="G11" s="22" t="s">
        <v>20</v>
      </c>
      <c r="H11" s="22"/>
    </row>
    <row r="14" spans="2:23" ht="15" customHeight="1" x14ac:dyDescent="0.3">
      <c r="K14" s="59"/>
      <c r="M14" s="55"/>
    </row>
    <row r="16" spans="2:23" ht="15" customHeight="1" x14ac:dyDescent="0.3">
      <c r="H16" s="59"/>
    </row>
  </sheetData>
  <phoneticPr fontId="17"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AF184"/>
  <sheetViews>
    <sheetView tabSelected="1" zoomScale="90" zoomScaleNormal="90" workbookViewId="0">
      <selection activeCell="AD132" sqref="AD132"/>
    </sheetView>
  </sheetViews>
  <sheetFormatPr defaultRowHeight="14.4" outlineLevelCol="2" x14ac:dyDescent="0.3"/>
  <cols>
    <col min="1" max="1" width="19.21875" bestFit="1" customWidth="1"/>
    <col min="2" max="2" width="8.21875" customWidth="1"/>
    <col min="3" max="3" width="28.44140625" hidden="1" customWidth="1" outlineLevel="1"/>
    <col min="4" max="4" width="10.5546875" hidden="1" customWidth="1" outlineLevel="1"/>
    <col min="5" max="5" width="24.5546875" hidden="1" customWidth="1" outlineLevel="1"/>
    <col min="6" max="6" width="17.5546875" customWidth="1" collapsed="1"/>
    <col min="7" max="7" width="16.77734375" customWidth="1" outlineLevel="1"/>
    <col min="8" max="8" width="17.21875" hidden="1" customWidth="1" outlineLevel="2"/>
    <col min="9" max="9" width="11.44140625" hidden="1" customWidth="1" outlineLevel="2"/>
    <col min="10" max="10" width="12.21875" customWidth="1" outlineLevel="1" collapsed="1"/>
    <col min="11" max="11" width="62.33203125" customWidth="1"/>
    <col min="12" max="12" width="17" customWidth="1"/>
    <col min="13" max="13" width="16.21875" customWidth="1"/>
    <col min="14" max="14" width="6.77734375" customWidth="1"/>
    <col min="15" max="26" width="9" hidden="1" customWidth="1" outlineLevel="1"/>
    <col min="27" max="27" width="9" customWidth="1" collapsed="1"/>
    <col min="28" max="28" width="14.21875" style="6" bestFit="1" customWidth="1"/>
    <col min="29" max="30" width="14.21875" customWidth="1"/>
    <col min="31" max="31" width="1.77734375" customWidth="1"/>
  </cols>
  <sheetData>
    <row r="1" spans="1:32" x14ac:dyDescent="0.3">
      <c r="AC1" s="43"/>
    </row>
    <row r="3" spans="1:32" x14ac:dyDescent="0.3">
      <c r="AA3" s="23" t="s">
        <v>21</v>
      </c>
      <c r="AB3" s="23">
        <f>SUBTOTAL(9,AB5:AB184)</f>
        <v>22117348.135303255</v>
      </c>
      <c r="AC3" s="23">
        <f>SUBTOTAL(9,AC5:AC184)</f>
        <v>-2533219.1300000004</v>
      </c>
      <c r="AD3" s="118">
        <f>SUBTOTAL(9,AD5:AD184)</f>
        <v>19584129.005303267</v>
      </c>
    </row>
    <row r="4" spans="1:32" ht="27.6" x14ac:dyDescent="0.3">
      <c r="A4" s="65" t="s">
        <v>22</v>
      </c>
      <c r="B4" s="65" t="s">
        <v>23</v>
      </c>
      <c r="C4" s="65" t="s">
        <v>24</v>
      </c>
      <c r="D4" s="65" t="s">
        <v>25</v>
      </c>
      <c r="E4" s="65" t="s">
        <v>26</v>
      </c>
      <c r="F4" s="65" t="s">
        <v>27</v>
      </c>
      <c r="G4" s="65" t="s">
        <v>28</v>
      </c>
      <c r="H4" s="65" t="s">
        <v>29</v>
      </c>
      <c r="I4" s="65" t="s">
        <v>30</v>
      </c>
      <c r="J4" s="65" t="s">
        <v>31</v>
      </c>
      <c r="K4" s="65" t="s">
        <v>32</v>
      </c>
      <c r="L4" s="65" t="s">
        <v>33</v>
      </c>
      <c r="M4" s="65" t="s">
        <v>34</v>
      </c>
      <c r="N4" s="65" t="s">
        <v>1159</v>
      </c>
      <c r="O4" s="65" t="s">
        <v>36</v>
      </c>
      <c r="P4" s="65" t="s">
        <v>37</v>
      </c>
      <c r="Q4" s="65" t="s">
        <v>38</v>
      </c>
      <c r="R4" s="65" t="s">
        <v>39</v>
      </c>
      <c r="S4" s="65" t="s">
        <v>40</v>
      </c>
      <c r="T4" s="65" t="s">
        <v>41</v>
      </c>
      <c r="U4" s="65" t="s">
        <v>42</v>
      </c>
      <c r="V4" s="65" t="s">
        <v>43</v>
      </c>
      <c r="W4" s="65" t="s">
        <v>44</v>
      </c>
      <c r="X4" s="65" t="s">
        <v>45</v>
      </c>
      <c r="Y4" s="65" t="s">
        <v>46</v>
      </c>
      <c r="Z4" s="65" t="s">
        <v>47</v>
      </c>
      <c r="AA4" s="65" t="s">
        <v>48</v>
      </c>
      <c r="AB4" s="7" t="s">
        <v>49</v>
      </c>
      <c r="AC4" s="104" t="s">
        <v>50</v>
      </c>
      <c r="AD4" s="104" t="s">
        <v>1157</v>
      </c>
      <c r="AF4" t="s">
        <v>1074</v>
      </c>
    </row>
    <row r="5" spans="1:32" x14ac:dyDescent="0.3">
      <c r="A5" t="str">
        <f>_xlfn.XLOOKUP(B5*1,'Reference '!I:I,'Reference '!K:K)</f>
        <v>Paolo Rodeghiero</v>
      </c>
      <c r="B5" s="2" t="str">
        <f t="shared" ref="B5:B36" si="0">LEFT(C5,3)</f>
        <v>608</v>
      </c>
      <c r="C5" s="2" t="s">
        <v>396</v>
      </c>
      <c r="D5" s="2" t="s">
        <v>396</v>
      </c>
      <c r="E5" s="2" t="s">
        <v>400</v>
      </c>
      <c r="F5" s="2" t="s">
        <v>400</v>
      </c>
      <c r="G5" s="2" t="s">
        <v>53</v>
      </c>
      <c r="H5" s="2" t="s">
        <v>53</v>
      </c>
      <c r="I5" s="2" t="s">
        <v>54</v>
      </c>
      <c r="J5" s="2" t="s">
        <v>54</v>
      </c>
      <c r="K5" s="2" t="s">
        <v>401</v>
      </c>
      <c r="L5" s="2"/>
      <c r="M5" s="2" t="s">
        <v>56</v>
      </c>
      <c r="N5" s="2" t="s">
        <v>57</v>
      </c>
      <c r="O5" s="3">
        <v>23333</v>
      </c>
      <c r="P5" s="3">
        <v>23333</v>
      </c>
      <c r="Q5" s="3">
        <v>23333</v>
      </c>
      <c r="R5" s="3">
        <v>23333</v>
      </c>
      <c r="S5" s="3">
        <v>23333</v>
      </c>
      <c r="T5" s="3">
        <v>23333</v>
      </c>
      <c r="U5" s="3">
        <v>23333</v>
      </c>
      <c r="V5" s="3">
        <v>23333</v>
      </c>
      <c r="W5" s="3">
        <v>23333</v>
      </c>
      <c r="X5" s="3">
        <v>23333</v>
      </c>
      <c r="Y5" s="3">
        <v>23333</v>
      </c>
      <c r="Z5" s="3">
        <v>23333</v>
      </c>
      <c r="AA5" s="3">
        <v>279996</v>
      </c>
      <c r="AB5" s="8">
        <f>IF(N5="EUR",AA5,IF(N5="GBP",AA5/Rate!$C$3,AA5/Rate!$C$5))</f>
        <v>279996</v>
      </c>
      <c r="AC5" s="43">
        <f>IFERROR(VLOOKUP(K5,'4.2 Simplify Savings'!K:AB,19,0),0)</f>
        <v>0</v>
      </c>
      <c r="AD5" s="44">
        <f t="shared" ref="AD5:AD36" si="1">SUM(AB5:AC5)</f>
        <v>279996</v>
      </c>
    </row>
    <row r="6" spans="1:32" x14ac:dyDescent="0.3">
      <c r="A6" t="str">
        <f>_xlfn.XLOOKUP(B6*1,'Reference '!I:I,'Reference '!K:K)</f>
        <v>Ben Gbeve</v>
      </c>
      <c r="B6" s="2" t="str">
        <f t="shared" si="0"/>
        <v>601</v>
      </c>
      <c r="C6" s="2" t="s">
        <v>110</v>
      </c>
      <c r="D6" s="2" t="s">
        <v>110</v>
      </c>
      <c r="E6" s="2" t="s">
        <v>119</v>
      </c>
      <c r="F6" s="2" t="s">
        <v>119</v>
      </c>
      <c r="G6" s="2" t="s">
        <v>53</v>
      </c>
      <c r="H6" s="2" t="s">
        <v>53</v>
      </c>
      <c r="I6" s="2" t="s">
        <v>54</v>
      </c>
      <c r="J6" s="2" t="s">
        <v>54</v>
      </c>
      <c r="K6" s="2" t="s">
        <v>120</v>
      </c>
      <c r="L6" s="2" t="s">
        <v>121</v>
      </c>
      <c r="M6" s="2" t="s">
        <v>56</v>
      </c>
      <c r="N6" s="2" t="s">
        <v>72</v>
      </c>
      <c r="O6" s="3">
        <v>150</v>
      </c>
      <c r="P6" s="3">
        <v>150</v>
      </c>
      <c r="Q6" s="3">
        <v>150</v>
      </c>
      <c r="R6" s="3">
        <v>150</v>
      </c>
      <c r="S6" s="3">
        <v>150</v>
      </c>
      <c r="T6" s="3">
        <v>150</v>
      </c>
      <c r="U6" s="3">
        <v>150</v>
      </c>
      <c r="V6" s="3">
        <v>150</v>
      </c>
      <c r="W6" s="3">
        <v>150</v>
      </c>
      <c r="X6" s="3">
        <v>150</v>
      </c>
      <c r="Y6" s="3">
        <v>150</v>
      </c>
      <c r="Z6" s="3">
        <v>150</v>
      </c>
      <c r="AA6" s="3">
        <v>1800</v>
      </c>
      <c r="AB6" s="8">
        <f>IF(N6="EUR",AA6,IF(N6="GBP",AA6/Rate!$C$3,AA6/Rate!$C$5))</f>
        <v>2068.9655172413795</v>
      </c>
      <c r="AC6" s="43">
        <f>IFERROR(VLOOKUP(K6,'4.2 Simplify Savings'!K:AB,18,0),0)</f>
        <v>0</v>
      </c>
      <c r="AD6" s="44">
        <f t="shared" si="1"/>
        <v>2068.9655172413795</v>
      </c>
    </row>
    <row r="7" spans="1:32" x14ac:dyDescent="0.3">
      <c r="A7" t="str">
        <f>_xlfn.XLOOKUP(B7*1,'Reference '!I:I,'Reference '!K:K)</f>
        <v>Laurent Bellan</v>
      </c>
      <c r="B7" s="2" t="str">
        <f t="shared" si="0"/>
        <v>600</v>
      </c>
      <c r="C7" s="2" t="s">
        <v>51</v>
      </c>
      <c r="D7" s="2" t="s">
        <v>51</v>
      </c>
      <c r="E7" s="2" t="s">
        <v>62</v>
      </c>
      <c r="F7" s="2" t="s">
        <v>62</v>
      </c>
      <c r="G7" s="2" t="s">
        <v>53</v>
      </c>
      <c r="H7" s="2" t="s">
        <v>53</v>
      </c>
      <c r="I7" s="2" t="s">
        <v>54</v>
      </c>
      <c r="J7" s="2" t="s">
        <v>54</v>
      </c>
      <c r="K7" s="2" t="s">
        <v>63</v>
      </c>
      <c r="L7" s="2"/>
      <c r="M7" s="2" t="s">
        <v>56</v>
      </c>
      <c r="N7" s="2" t="s">
        <v>57</v>
      </c>
      <c r="O7" s="3">
        <v>8443.06</v>
      </c>
      <c r="P7" s="3">
        <v>8443.06</v>
      </c>
      <c r="Q7" s="3">
        <v>8443.06</v>
      </c>
      <c r="R7" s="3">
        <v>8443.06</v>
      </c>
      <c r="S7" s="3">
        <v>8443.06</v>
      </c>
      <c r="T7" s="3">
        <v>8443.06</v>
      </c>
      <c r="U7" s="3">
        <v>8443.06</v>
      </c>
      <c r="V7" s="3">
        <v>8443.06</v>
      </c>
      <c r="W7" s="3">
        <v>8443.06</v>
      </c>
      <c r="X7" s="3">
        <v>8443.06</v>
      </c>
      <c r="Y7" s="3">
        <v>8443.06</v>
      </c>
      <c r="Z7" s="3">
        <v>8443.06</v>
      </c>
      <c r="AA7" s="3">
        <v>101316.71999999999</v>
      </c>
      <c r="AB7" s="8">
        <f>IF(N7="EUR",AA7,IF(N7="GBP",AA7/Rate!$C$3,AA7/Rate!$C$5))</f>
        <v>101316.71999999999</v>
      </c>
      <c r="AC7" s="43">
        <f>IFERROR(VLOOKUP(K7,'4.2 Simplify Savings'!K:AB,18,0),0)</f>
        <v>0</v>
      </c>
      <c r="AD7" s="44">
        <f t="shared" si="1"/>
        <v>101316.71999999999</v>
      </c>
    </row>
    <row r="8" spans="1:32" x14ac:dyDescent="0.3">
      <c r="A8" t="str">
        <f>_xlfn.XLOOKUP(B8*1,'Reference '!I:I,'Reference '!K:K)</f>
        <v>Ben Gbeve</v>
      </c>
      <c r="B8" s="2" t="str">
        <f t="shared" si="0"/>
        <v>601</v>
      </c>
      <c r="C8" s="2" t="s">
        <v>110</v>
      </c>
      <c r="D8" s="2" t="s">
        <v>110</v>
      </c>
      <c r="E8" s="2" t="s">
        <v>62</v>
      </c>
      <c r="F8" s="2" t="s">
        <v>62</v>
      </c>
      <c r="G8" s="2" t="s">
        <v>53</v>
      </c>
      <c r="H8" s="2" t="s">
        <v>53</v>
      </c>
      <c r="I8" s="2" t="s">
        <v>54</v>
      </c>
      <c r="J8" s="2" t="s">
        <v>54</v>
      </c>
      <c r="K8" s="2" t="s">
        <v>63</v>
      </c>
      <c r="L8" s="2" t="s">
        <v>121</v>
      </c>
      <c r="M8" s="2" t="s">
        <v>56</v>
      </c>
      <c r="N8" s="2" t="s">
        <v>72</v>
      </c>
      <c r="O8" s="3">
        <v>1000</v>
      </c>
      <c r="P8" s="3">
        <v>1000</v>
      </c>
      <c r="Q8" s="3">
        <v>1000</v>
      </c>
      <c r="R8" s="3">
        <v>1000</v>
      </c>
      <c r="S8" s="3">
        <v>1000</v>
      </c>
      <c r="T8" s="3">
        <v>1000</v>
      </c>
      <c r="U8" s="3">
        <v>1000</v>
      </c>
      <c r="V8" s="3">
        <v>1000</v>
      </c>
      <c r="W8" s="3">
        <v>1000</v>
      </c>
      <c r="X8" s="3">
        <v>1000</v>
      </c>
      <c r="Y8" s="3">
        <v>1000</v>
      </c>
      <c r="Z8" s="3">
        <v>1000</v>
      </c>
      <c r="AA8" s="3">
        <v>12000</v>
      </c>
      <c r="AB8" s="8">
        <f>IF(N8="EUR",AA8,IF(N8="GBP",AA8/Rate!$C$3,AA8/Rate!$C$5))</f>
        <v>13793.103448275862</v>
      </c>
      <c r="AC8" s="43">
        <f>IFERROR(VLOOKUP(K8,'4.2 Simplify Savings'!K:AB,18,0),0)</f>
        <v>0</v>
      </c>
      <c r="AD8" s="44">
        <f t="shared" si="1"/>
        <v>13793.103448275862</v>
      </c>
    </row>
    <row r="9" spans="1:32" x14ac:dyDescent="0.3">
      <c r="A9" t="str">
        <f>_xlfn.XLOOKUP(B9*1,'Reference '!I:I,'Reference '!K:K)</f>
        <v>Xavier Romanet</v>
      </c>
      <c r="B9" s="2" t="str">
        <f t="shared" si="0"/>
        <v>605</v>
      </c>
      <c r="C9" s="2" t="s">
        <v>324</v>
      </c>
      <c r="D9" s="2" t="s">
        <v>324</v>
      </c>
      <c r="E9" s="2" t="s">
        <v>62</v>
      </c>
      <c r="F9" s="2" t="s">
        <v>62</v>
      </c>
      <c r="G9" s="2" t="s">
        <v>53</v>
      </c>
      <c r="H9" s="2" t="s">
        <v>53</v>
      </c>
      <c r="I9" s="2" t="s">
        <v>54</v>
      </c>
      <c r="J9" s="2" t="s">
        <v>54</v>
      </c>
      <c r="K9" s="2" t="s">
        <v>408</v>
      </c>
      <c r="L9" s="2" t="s">
        <v>121</v>
      </c>
      <c r="M9" s="2" t="s">
        <v>407</v>
      </c>
      <c r="N9" s="2" t="s">
        <v>72</v>
      </c>
      <c r="O9" s="3"/>
      <c r="P9" s="3"/>
      <c r="Q9" s="3"/>
      <c r="R9" s="3"/>
      <c r="S9" s="3"/>
      <c r="T9" s="3"/>
      <c r="U9" s="3"/>
      <c r="V9" s="3"/>
      <c r="W9" s="3"/>
      <c r="X9" s="3"/>
      <c r="Y9" s="3">
        <v>833</v>
      </c>
      <c r="Z9" s="3">
        <v>833</v>
      </c>
      <c r="AA9" s="3">
        <v>1666</v>
      </c>
      <c r="AB9" s="8">
        <f>IF(N9="EUR",AA9,IF(N9="GBP",AA9/Rate!$C$3,AA9/Rate!$C$5))</f>
        <v>1914.9425287356321</v>
      </c>
      <c r="AC9" s="43">
        <f>IFERROR(VLOOKUP(K9,'4.2 Simplify Savings'!K:AB,18,0),0)</f>
        <v>0</v>
      </c>
      <c r="AD9" s="44">
        <f t="shared" si="1"/>
        <v>1914.9425287356321</v>
      </c>
    </row>
    <row r="10" spans="1:32" x14ac:dyDescent="0.3">
      <c r="A10" t="str">
        <f>_xlfn.XLOOKUP(B10*1,'Reference '!I:I,'Reference '!K:K)</f>
        <v>Ben Gbeve</v>
      </c>
      <c r="B10" s="2" t="str">
        <f t="shared" si="0"/>
        <v>601</v>
      </c>
      <c r="C10" s="2" t="s">
        <v>110</v>
      </c>
      <c r="D10" s="2" t="s">
        <v>110</v>
      </c>
      <c r="E10" s="2" t="s">
        <v>114</v>
      </c>
      <c r="F10" s="2" t="s">
        <v>114</v>
      </c>
      <c r="G10" s="2" t="s">
        <v>53</v>
      </c>
      <c r="H10" s="2" t="s">
        <v>53</v>
      </c>
      <c r="I10" s="2" t="s">
        <v>54</v>
      </c>
      <c r="J10" s="2" t="s">
        <v>54</v>
      </c>
      <c r="K10" s="2" t="s">
        <v>115</v>
      </c>
      <c r="L10" s="2" t="s">
        <v>116</v>
      </c>
      <c r="M10" s="2" t="s">
        <v>56</v>
      </c>
      <c r="N10" s="2" t="s">
        <v>72</v>
      </c>
      <c r="O10" s="3">
        <v>2175</v>
      </c>
      <c r="P10" s="3">
        <v>2175</v>
      </c>
      <c r="Q10" s="3">
        <v>2175</v>
      </c>
      <c r="R10" s="3">
        <v>2175</v>
      </c>
      <c r="S10" s="3">
        <v>2175</v>
      </c>
      <c r="T10" s="3">
        <v>2175</v>
      </c>
      <c r="U10" s="3">
        <v>2175</v>
      </c>
      <c r="V10" s="3">
        <v>2175</v>
      </c>
      <c r="W10" s="3">
        <v>2175</v>
      </c>
      <c r="X10" s="3">
        <v>2175</v>
      </c>
      <c r="Y10" s="3">
        <v>2175</v>
      </c>
      <c r="Z10" s="3">
        <v>2175</v>
      </c>
      <c r="AA10" s="3">
        <v>26100</v>
      </c>
      <c r="AB10" s="8">
        <f>IF(N10="EUR",AA10,IF(N10="GBP",AA10/Rate!$C$3,AA10/Rate!$C$5))</f>
        <v>30000</v>
      </c>
      <c r="AC10" s="43">
        <f>IFERROR(VLOOKUP(K10,'4.2 Simplify Savings'!K:AB,18,0),0)</f>
        <v>0</v>
      </c>
      <c r="AD10" s="44">
        <f t="shared" si="1"/>
        <v>30000</v>
      </c>
    </row>
    <row r="11" spans="1:32" x14ac:dyDescent="0.3">
      <c r="A11" t="str">
        <f>_xlfn.XLOOKUP(B11*1,'Reference '!I:I,'Reference '!K:K)</f>
        <v>Ben Gbeve</v>
      </c>
      <c r="B11" s="2" t="str">
        <f t="shared" si="0"/>
        <v>601</v>
      </c>
      <c r="C11" s="2" t="s">
        <v>110</v>
      </c>
      <c r="D11" s="2" t="s">
        <v>110</v>
      </c>
      <c r="E11" s="2" t="s">
        <v>114</v>
      </c>
      <c r="F11" s="2" t="s">
        <v>114</v>
      </c>
      <c r="G11" s="2" t="s">
        <v>53</v>
      </c>
      <c r="H11" s="2" t="s">
        <v>53</v>
      </c>
      <c r="I11" s="2" t="s">
        <v>54</v>
      </c>
      <c r="J11" s="2" t="s">
        <v>54</v>
      </c>
      <c r="K11" s="2" t="s">
        <v>149</v>
      </c>
      <c r="L11" s="2" t="s">
        <v>150</v>
      </c>
      <c r="M11" s="2" t="s">
        <v>56</v>
      </c>
      <c r="N11" s="2" t="s">
        <v>72</v>
      </c>
      <c r="O11" s="3">
        <v>670</v>
      </c>
      <c r="P11" s="3">
        <v>670</v>
      </c>
      <c r="Q11" s="3">
        <v>670</v>
      </c>
      <c r="R11" s="3">
        <v>670</v>
      </c>
      <c r="S11" s="3">
        <v>670</v>
      </c>
      <c r="T11" s="3">
        <v>670</v>
      </c>
      <c r="U11" s="3">
        <v>670</v>
      </c>
      <c r="V11" s="3">
        <v>670</v>
      </c>
      <c r="W11" s="3">
        <v>670</v>
      </c>
      <c r="X11" s="3">
        <v>670</v>
      </c>
      <c r="Y11" s="3">
        <v>670</v>
      </c>
      <c r="Z11" s="3">
        <v>670</v>
      </c>
      <c r="AA11" s="3">
        <v>8040</v>
      </c>
      <c r="AB11" s="8">
        <f>IF(N11="EUR",AA11,IF(N11="GBP",AA11/Rate!$C$3,AA11/Rate!$C$5))</f>
        <v>9241.3793103448279</v>
      </c>
      <c r="AC11" s="43">
        <f>IFERROR(VLOOKUP(K11,'4.2 Simplify Savings'!K:AB,18,0),0)</f>
        <v>0</v>
      </c>
      <c r="AD11" s="44">
        <f t="shared" si="1"/>
        <v>9241.3793103448279</v>
      </c>
    </row>
    <row r="12" spans="1:32" x14ac:dyDescent="0.3">
      <c r="A12" t="str">
        <f>_xlfn.XLOOKUP(B12*1,'Reference '!I:I,'Reference '!K:K)</f>
        <v>Ben Gbeve</v>
      </c>
      <c r="B12" s="2" t="str">
        <f t="shared" si="0"/>
        <v>601</v>
      </c>
      <c r="C12" s="2" t="s">
        <v>110</v>
      </c>
      <c r="D12" s="2" t="s">
        <v>110</v>
      </c>
      <c r="E12" s="2" t="s">
        <v>114</v>
      </c>
      <c r="F12" s="2" t="s">
        <v>114</v>
      </c>
      <c r="G12" s="2" t="s">
        <v>53</v>
      </c>
      <c r="H12" s="2" t="s">
        <v>53</v>
      </c>
      <c r="I12" s="2" t="s">
        <v>54</v>
      </c>
      <c r="J12" s="2" t="s">
        <v>54</v>
      </c>
      <c r="K12" s="2" t="s">
        <v>154</v>
      </c>
      <c r="L12" s="2" t="s">
        <v>155</v>
      </c>
      <c r="M12" s="2" t="s">
        <v>56</v>
      </c>
      <c r="N12" s="2" t="s">
        <v>72</v>
      </c>
      <c r="O12" s="3">
        <v>6350</v>
      </c>
      <c r="P12" s="3">
        <v>6350</v>
      </c>
      <c r="Q12" s="3">
        <v>6350</v>
      </c>
      <c r="R12" s="3">
        <v>6350</v>
      </c>
      <c r="S12" s="3">
        <v>6350</v>
      </c>
      <c r="T12" s="3">
        <v>6350</v>
      </c>
      <c r="U12" s="3">
        <v>6350</v>
      </c>
      <c r="V12" s="3">
        <v>6350</v>
      </c>
      <c r="W12" s="3">
        <v>6350</v>
      </c>
      <c r="X12" s="3">
        <v>6350</v>
      </c>
      <c r="Y12" s="3">
        <v>6350</v>
      </c>
      <c r="Z12" s="3">
        <v>6350</v>
      </c>
      <c r="AA12" s="3">
        <v>76200</v>
      </c>
      <c r="AB12" s="8">
        <f>IF(N12="EUR",AA12,IF(N12="GBP",AA12/Rate!$C$3,AA12/Rate!$C$5))</f>
        <v>87586.206896551725</v>
      </c>
      <c r="AC12" s="43">
        <f>IFERROR(VLOOKUP(K12,'4.2 Simplify Savings'!K:AB,18,0),0)</f>
        <v>0</v>
      </c>
      <c r="AD12" s="44">
        <f t="shared" si="1"/>
        <v>87586.206896551725</v>
      </c>
    </row>
    <row r="13" spans="1:32" x14ac:dyDescent="0.3">
      <c r="A13" t="str">
        <f>_xlfn.XLOOKUP(B13*1,'Reference '!I:I,'Reference '!K:K)</f>
        <v>Ben Gbeve</v>
      </c>
      <c r="B13" s="2" t="str">
        <f t="shared" si="0"/>
        <v>601</v>
      </c>
      <c r="C13" s="2" t="s">
        <v>110</v>
      </c>
      <c r="D13" s="2" t="s">
        <v>110</v>
      </c>
      <c r="E13" s="2" t="s">
        <v>114</v>
      </c>
      <c r="F13" s="2" t="s">
        <v>114</v>
      </c>
      <c r="G13" s="2" t="s">
        <v>53</v>
      </c>
      <c r="H13" s="2" t="s">
        <v>53</v>
      </c>
      <c r="I13" s="2" t="s">
        <v>54</v>
      </c>
      <c r="J13" s="2" t="s">
        <v>54</v>
      </c>
      <c r="K13" s="2" t="s">
        <v>193</v>
      </c>
      <c r="L13" s="2" t="s">
        <v>194</v>
      </c>
      <c r="M13" s="2" t="s">
        <v>56</v>
      </c>
      <c r="N13" s="2" t="s">
        <v>72</v>
      </c>
      <c r="O13" s="3">
        <v>6917</v>
      </c>
      <c r="P13" s="3">
        <v>6917</v>
      </c>
      <c r="Q13" s="3">
        <v>6917</v>
      </c>
      <c r="R13" s="3">
        <v>6917</v>
      </c>
      <c r="S13" s="3">
        <v>6917</v>
      </c>
      <c r="T13" s="3">
        <v>6917</v>
      </c>
      <c r="U13" s="3">
        <v>6917</v>
      </c>
      <c r="V13" s="3">
        <v>6917</v>
      </c>
      <c r="W13" s="3">
        <v>6917</v>
      </c>
      <c r="X13" s="3">
        <v>6917</v>
      </c>
      <c r="Y13" s="3">
        <v>6917</v>
      </c>
      <c r="Z13" s="3">
        <v>6917</v>
      </c>
      <c r="AA13" s="3">
        <v>83004</v>
      </c>
      <c r="AB13" s="8">
        <f>IF(N13="EUR",AA13,IF(N13="GBP",AA13/Rate!$C$3,AA13/Rate!$C$5))</f>
        <v>95406.896551724145</v>
      </c>
      <c r="AC13" s="43">
        <f>IFERROR(VLOOKUP(K13,'4.2 Simplify Savings'!K:AB,18,0),0)</f>
        <v>-40860</v>
      </c>
      <c r="AD13" s="44">
        <f t="shared" si="1"/>
        <v>54546.896551724145</v>
      </c>
    </row>
    <row r="14" spans="1:32" x14ac:dyDescent="0.3">
      <c r="A14" t="str">
        <f>_xlfn.XLOOKUP(B14*1,'Reference '!I:I,'Reference '!K:K)</f>
        <v>Ben Gbeve</v>
      </c>
      <c r="B14" s="2" t="str">
        <f t="shared" si="0"/>
        <v>601</v>
      </c>
      <c r="C14" s="2" t="s">
        <v>110</v>
      </c>
      <c r="D14" s="2" t="s">
        <v>110</v>
      </c>
      <c r="E14" s="2" t="s">
        <v>114</v>
      </c>
      <c r="F14" s="2" t="s">
        <v>114</v>
      </c>
      <c r="G14" s="2" t="s">
        <v>53</v>
      </c>
      <c r="H14" s="2" t="s">
        <v>53</v>
      </c>
      <c r="I14" s="2" t="s">
        <v>54</v>
      </c>
      <c r="J14" s="2" t="s">
        <v>54</v>
      </c>
      <c r="K14" s="2" t="s">
        <v>205</v>
      </c>
      <c r="L14" s="2" t="s">
        <v>206</v>
      </c>
      <c r="M14" s="2" t="s">
        <v>56</v>
      </c>
      <c r="N14" s="2" t="s">
        <v>72</v>
      </c>
      <c r="O14" s="3">
        <v>4000</v>
      </c>
      <c r="P14" s="3">
        <v>4000</v>
      </c>
      <c r="Q14" s="3">
        <v>4000</v>
      </c>
      <c r="R14" s="3">
        <v>4000</v>
      </c>
      <c r="S14" s="3">
        <v>4000</v>
      </c>
      <c r="T14" s="3">
        <v>4000</v>
      </c>
      <c r="U14" s="3">
        <v>4000</v>
      </c>
      <c r="V14" s="3">
        <v>4000</v>
      </c>
      <c r="W14" s="3">
        <v>4000</v>
      </c>
      <c r="X14" s="3">
        <v>4000</v>
      </c>
      <c r="Y14" s="3">
        <v>4000</v>
      </c>
      <c r="Z14" s="3">
        <v>4000</v>
      </c>
      <c r="AA14" s="3">
        <v>48000</v>
      </c>
      <c r="AB14" s="8">
        <f>IF(N14="EUR",AA14,IF(N14="GBP",AA14/Rate!$C$3,AA14/Rate!$C$5))</f>
        <v>55172.413793103449</v>
      </c>
      <c r="AC14" s="43">
        <f>IFERROR(VLOOKUP(K14,'4.2 Simplify Savings'!K:AB,18,0),0)</f>
        <v>-27240</v>
      </c>
      <c r="AD14" s="44">
        <f t="shared" si="1"/>
        <v>27932.413793103449</v>
      </c>
    </row>
    <row r="15" spans="1:32" x14ac:dyDescent="0.3">
      <c r="A15" t="str">
        <f>_xlfn.XLOOKUP(B15*1,'Reference '!I:I,'Reference '!K:K)</f>
        <v>Ben Gbeve</v>
      </c>
      <c r="B15" s="2" t="str">
        <f t="shared" si="0"/>
        <v>601</v>
      </c>
      <c r="C15" s="2" t="s">
        <v>110</v>
      </c>
      <c r="D15" s="2" t="s">
        <v>110</v>
      </c>
      <c r="E15" s="2" t="s">
        <v>139</v>
      </c>
      <c r="F15" s="2" t="s">
        <v>139</v>
      </c>
      <c r="G15" s="2" t="s">
        <v>53</v>
      </c>
      <c r="H15" s="2" t="s">
        <v>53</v>
      </c>
      <c r="I15" s="2" t="s">
        <v>54</v>
      </c>
      <c r="J15" s="2" t="s">
        <v>54</v>
      </c>
      <c r="K15" s="2" t="s">
        <v>140</v>
      </c>
      <c r="L15" s="2" t="s">
        <v>141</v>
      </c>
      <c r="M15" s="2" t="s">
        <v>56</v>
      </c>
      <c r="N15" s="2" t="s">
        <v>72</v>
      </c>
      <c r="O15" s="3">
        <v>2500</v>
      </c>
      <c r="P15" s="3">
        <v>2500</v>
      </c>
      <c r="Q15" s="3">
        <v>2500</v>
      </c>
      <c r="R15" s="3">
        <v>2500</v>
      </c>
      <c r="S15" s="3">
        <v>2500</v>
      </c>
      <c r="T15" s="3">
        <v>2500</v>
      </c>
      <c r="U15" s="3">
        <v>2500</v>
      </c>
      <c r="V15" s="3">
        <v>2500</v>
      </c>
      <c r="W15" s="3">
        <v>2500</v>
      </c>
      <c r="X15" s="3">
        <v>2500</v>
      </c>
      <c r="Y15" s="3">
        <v>2500</v>
      </c>
      <c r="Z15" s="3">
        <v>2500</v>
      </c>
      <c r="AA15" s="3">
        <v>30000</v>
      </c>
      <c r="AB15" s="8">
        <f>IF(N15="EUR",AA15,IF(N15="GBP",AA15/Rate!$C$3,AA15/Rate!$C$5))</f>
        <v>34482.758620689652</v>
      </c>
      <c r="AC15" s="43">
        <f>IFERROR(VLOOKUP(K15,'4.2 Simplify Savings'!K:AB,18,0),0)</f>
        <v>0</v>
      </c>
      <c r="AD15" s="44">
        <f t="shared" si="1"/>
        <v>34482.758620689652</v>
      </c>
    </row>
    <row r="16" spans="1:32" x14ac:dyDescent="0.3">
      <c r="A16" t="str">
        <f>_xlfn.XLOOKUP(B16*1,'Reference '!I:I,'Reference '!K:K)</f>
        <v>Ben Gbeve</v>
      </c>
      <c r="B16" s="2" t="str">
        <f t="shared" si="0"/>
        <v>601</v>
      </c>
      <c r="C16" s="2" t="s">
        <v>110</v>
      </c>
      <c r="D16" s="2" t="s">
        <v>110</v>
      </c>
      <c r="E16" s="2" t="s">
        <v>168</v>
      </c>
      <c r="F16" s="2" t="s">
        <v>168</v>
      </c>
      <c r="G16" s="2" t="s">
        <v>53</v>
      </c>
      <c r="H16" s="2" t="s">
        <v>53</v>
      </c>
      <c r="I16" s="2" t="s">
        <v>54</v>
      </c>
      <c r="J16" s="2" t="s">
        <v>54</v>
      </c>
      <c r="K16" s="2" t="s">
        <v>169</v>
      </c>
      <c r="L16" s="2" t="s">
        <v>170</v>
      </c>
      <c r="M16" s="2" t="s">
        <v>56</v>
      </c>
      <c r="N16" s="2" t="s">
        <v>72</v>
      </c>
      <c r="O16" s="3">
        <v>5416.67</v>
      </c>
      <c r="P16" s="3">
        <v>5416.67</v>
      </c>
      <c r="Q16" s="3">
        <v>5416.67</v>
      </c>
      <c r="R16" s="3">
        <v>5416.67</v>
      </c>
      <c r="S16" s="3">
        <v>5416.67</v>
      </c>
      <c r="T16" s="3">
        <v>5416.67</v>
      </c>
      <c r="U16" s="3">
        <v>5416.67</v>
      </c>
      <c r="V16" s="3">
        <v>5416.67</v>
      </c>
      <c r="W16" s="3">
        <v>5416.67</v>
      </c>
      <c r="X16" s="3">
        <v>5416.67</v>
      </c>
      <c r="Y16" s="3">
        <v>5416.67</v>
      </c>
      <c r="Z16" s="3">
        <v>5416.67</v>
      </c>
      <c r="AA16" s="3">
        <v>65000.039999999986</v>
      </c>
      <c r="AB16" s="8">
        <f>IF(N16="EUR",AA16,IF(N16="GBP",AA16/Rate!$C$3,AA16/Rate!$C$5))</f>
        <v>74712.689655172391</v>
      </c>
      <c r="AC16" s="43">
        <f>IFERROR(VLOOKUP(K16,'4.2 Simplify Savings'!K:AB,18,0),0)</f>
        <v>0</v>
      </c>
      <c r="AD16" s="44">
        <f t="shared" si="1"/>
        <v>74712.689655172391</v>
      </c>
    </row>
    <row r="17" spans="1:30" x14ac:dyDescent="0.3">
      <c r="A17" t="str">
        <f>_xlfn.XLOOKUP(B17*1,'Reference '!I:I,'Reference '!K:K)</f>
        <v>Ben Gbeve</v>
      </c>
      <c r="B17" s="2" t="str">
        <f t="shared" si="0"/>
        <v>601</v>
      </c>
      <c r="C17" s="2" t="s">
        <v>110</v>
      </c>
      <c r="D17" s="2" t="s">
        <v>110</v>
      </c>
      <c r="E17" s="2" t="s">
        <v>168</v>
      </c>
      <c r="F17" s="2" t="s">
        <v>168</v>
      </c>
      <c r="G17" s="2" t="s">
        <v>53</v>
      </c>
      <c r="H17" s="2" t="s">
        <v>53</v>
      </c>
      <c r="I17" s="2" t="s">
        <v>54</v>
      </c>
      <c r="J17" s="2" t="s">
        <v>54</v>
      </c>
      <c r="K17" s="2" t="s">
        <v>171</v>
      </c>
      <c r="L17" s="2" t="s">
        <v>170</v>
      </c>
      <c r="M17" s="2" t="s">
        <v>56</v>
      </c>
      <c r="N17" s="2" t="s">
        <v>72</v>
      </c>
      <c r="O17" s="3">
        <v>8333.33</v>
      </c>
      <c r="P17" s="3">
        <v>8333.33</v>
      </c>
      <c r="Q17" s="3">
        <v>8333.33</v>
      </c>
      <c r="R17" s="3">
        <v>8333.33</v>
      </c>
      <c r="S17" s="3">
        <v>8333.33</v>
      </c>
      <c r="T17" s="3">
        <v>8333.33</v>
      </c>
      <c r="U17" s="3">
        <v>8333.33</v>
      </c>
      <c r="V17" s="3">
        <v>8333.33</v>
      </c>
      <c r="W17" s="3">
        <v>8333.33</v>
      </c>
      <c r="X17" s="3">
        <v>8333.33</v>
      </c>
      <c r="Y17" s="3">
        <v>8333.33</v>
      </c>
      <c r="Z17" s="3">
        <v>8333.33</v>
      </c>
      <c r="AA17" s="3">
        <v>99999.96</v>
      </c>
      <c r="AB17" s="8">
        <f>IF(N17="EUR",AA17,IF(N17="GBP",AA17/Rate!$C$3,AA17/Rate!$C$5))</f>
        <v>114942.4827586207</v>
      </c>
      <c r="AC17" s="43">
        <f>IFERROR(VLOOKUP(K17,'4.2 Simplify Savings'!K:AB,18,0),0)</f>
        <v>0</v>
      </c>
      <c r="AD17" s="44">
        <f t="shared" si="1"/>
        <v>114942.4827586207</v>
      </c>
    </row>
    <row r="18" spans="1:30" x14ac:dyDescent="0.3">
      <c r="A18" t="str">
        <f>_xlfn.XLOOKUP(B18*1,'Reference '!I:I,'Reference '!K:K)</f>
        <v>Ben Gbeve</v>
      </c>
      <c r="B18" s="2" t="str">
        <f t="shared" si="0"/>
        <v>601</v>
      </c>
      <c r="C18" s="2" t="s">
        <v>110</v>
      </c>
      <c r="D18" s="2" t="s">
        <v>110</v>
      </c>
      <c r="E18" s="2" t="s">
        <v>168</v>
      </c>
      <c r="F18" s="2" t="s">
        <v>168</v>
      </c>
      <c r="G18" s="2" t="s">
        <v>53</v>
      </c>
      <c r="H18" s="2" t="s">
        <v>53</v>
      </c>
      <c r="I18" s="2" t="s">
        <v>54</v>
      </c>
      <c r="J18" s="2" t="s">
        <v>54</v>
      </c>
      <c r="K18" s="2" t="s">
        <v>172</v>
      </c>
      <c r="L18" s="2" t="s">
        <v>170</v>
      </c>
      <c r="M18" s="2" t="s">
        <v>56</v>
      </c>
      <c r="N18" s="2" t="s">
        <v>72</v>
      </c>
      <c r="O18" s="3">
        <v>149382</v>
      </c>
      <c r="P18" s="3">
        <v>149382</v>
      </c>
      <c r="Q18" s="3">
        <v>149382</v>
      </c>
      <c r="R18" s="3">
        <v>149382</v>
      </c>
      <c r="S18" s="3">
        <v>149382</v>
      </c>
      <c r="T18" s="3">
        <v>149382</v>
      </c>
      <c r="U18" s="3">
        <v>149382</v>
      </c>
      <c r="V18" s="3">
        <v>149382</v>
      </c>
      <c r="W18" s="3">
        <v>149382</v>
      </c>
      <c r="X18" s="3">
        <v>149382</v>
      </c>
      <c r="Y18" s="3">
        <v>149382</v>
      </c>
      <c r="Z18" s="3">
        <v>149382</v>
      </c>
      <c r="AA18" s="3">
        <v>1792584</v>
      </c>
      <c r="AB18" s="8">
        <f>IF(N18="EUR",AA18,IF(N18="GBP",AA18/Rate!$C$3,AA18/Rate!$C$5))</f>
        <v>2060441.3793103448</v>
      </c>
      <c r="AC18" s="43">
        <f>'4.2 Simplify Savings'!$AB$5</f>
        <v>-135757.32</v>
      </c>
      <c r="AD18" s="44">
        <f t="shared" si="1"/>
        <v>1924684.0593103447</v>
      </c>
    </row>
    <row r="19" spans="1:30" x14ac:dyDescent="0.3">
      <c r="A19" t="str">
        <f>_xlfn.XLOOKUP(B19*1,'Reference '!I:I,'Reference '!K:K)</f>
        <v>Ben Gbeve</v>
      </c>
      <c r="B19" s="2" t="str">
        <f t="shared" si="0"/>
        <v>601</v>
      </c>
      <c r="C19" s="2" t="s">
        <v>110</v>
      </c>
      <c r="D19" s="2" t="s">
        <v>110</v>
      </c>
      <c r="E19" s="2" t="s">
        <v>168</v>
      </c>
      <c r="F19" s="2" t="s">
        <v>168</v>
      </c>
      <c r="G19" s="2" t="s">
        <v>53</v>
      </c>
      <c r="H19" s="2" t="s">
        <v>53</v>
      </c>
      <c r="I19" s="2" t="s">
        <v>54</v>
      </c>
      <c r="J19" s="2" t="s">
        <v>54</v>
      </c>
      <c r="K19" s="2" t="s">
        <v>173</v>
      </c>
      <c r="L19" s="2" t="s">
        <v>170</v>
      </c>
      <c r="M19" s="2" t="s">
        <v>56</v>
      </c>
      <c r="N19" s="2" t="s">
        <v>72</v>
      </c>
      <c r="O19" s="3">
        <v>11250</v>
      </c>
      <c r="P19" s="3">
        <v>11250</v>
      </c>
      <c r="Q19" s="3">
        <v>11250</v>
      </c>
      <c r="R19" s="3">
        <v>11250</v>
      </c>
      <c r="S19" s="3">
        <v>11250</v>
      </c>
      <c r="T19" s="3">
        <v>11250</v>
      </c>
      <c r="U19" s="3">
        <v>11250</v>
      </c>
      <c r="V19" s="3">
        <v>11250</v>
      </c>
      <c r="W19" s="3">
        <v>11250</v>
      </c>
      <c r="X19" s="3">
        <v>11250</v>
      </c>
      <c r="Y19" s="3">
        <v>11250</v>
      </c>
      <c r="Z19" s="3">
        <v>11250</v>
      </c>
      <c r="AA19" s="3">
        <v>135000</v>
      </c>
      <c r="AB19" s="8">
        <f>IF(N19="EUR",AA19,IF(N19="GBP",AA19/Rate!$C$3,AA19/Rate!$C$5))</f>
        <v>155172.41379310345</v>
      </c>
      <c r="AC19" s="43">
        <f>IFERROR(VLOOKUP(K19,'4.2 Simplify Savings'!K:AB,18,0),0)</f>
        <v>0</v>
      </c>
      <c r="AD19" s="44">
        <f t="shared" si="1"/>
        <v>155172.41379310345</v>
      </c>
    </row>
    <row r="20" spans="1:30" x14ac:dyDescent="0.3">
      <c r="A20" t="str">
        <f>_xlfn.XLOOKUP(B20*1,'Reference '!I:I,'Reference '!K:K)</f>
        <v>Ben Gbeve</v>
      </c>
      <c r="B20" s="2" t="str">
        <f t="shared" si="0"/>
        <v>601</v>
      </c>
      <c r="C20" s="2" t="s">
        <v>110</v>
      </c>
      <c r="D20" s="2" t="s">
        <v>110</v>
      </c>
      <c r="E20" s="2" t="s">
        <v>168</v>
      </c>
      <c r="F20" s="2" t="s">
        <v>168</v>
      </c>
      <c r="G20" s="2" t="s">
        <v>53</v>
      </c>
      <c r="H20" s="2" t="s">
        <v>53</v>
      </c>
      <c r="I20" s="2" t="s">
        <v>54</v>
      </c>
      <c r="J20" s="2" t="s">
        <v>54</v>
      </c>
      <c r="K20" s="2" t="s">
        <v>174</v>
      </c>
      <c r="L20" s="2" t="s">
        <v>170</v>
      </c>
      <c r="M20" s="2" t="s">
        <v>56</v>
      </c>
      <c r="N20" s="2" t="s">
        <v>72</v>
      </c>
      <c r="O20" s="3">
        <v>7900</v>
      </c>
      <c r="P20" s="3">
        <v>7900</v>
      </c>
      <c r="Q20" s="3">
        <v>7900</v>
      </c>
      <c r="R20" s="3">
        <v>7900</v>
      </c>
      <c r="S20" s="3">
        <v>7900</v>
      </c>
      <c r="T20" s="3">
        <v>7900</v>
      </c>
      <c r="U20" s="3">
        <v>7900</v>
      </c>
      <c r="V20" s="3">
        <v>7900</v>
      </c>
      <c r="W20" s="3">
        <v>7900</v>
      </c>
      <c r="X20" s="3">
        <v>7900</v>
      </c>
      <c r="Y20" s="3">
        <v>7900</v>
      </c>
      <c r="Z20" s="3">
        <v>7900</v>
      </c>
      <c r="AA20" s="3">
        <v>94800</v>
      </c>
      <c r="AB20" s="8">
        <f>IF(N20="EUR",AA20,IF(N20="GBP",AA20/Rate!$C$3,AA20/Rate!$C$5))</f>
        <v>108965.5172413793</v>
      </c>
      <c r="AC20" s="43">
        <f>IFERROR(VLOOKUP(K20,'4.2 Simplify Savings'!K:AB,18,0),0)</f>
        <v>0</v>
      </c>
      <c r="AD20" s="44">
        <f t="shared" si="1"/>
        <v>108965.5172413793</v>
      </c>
    </row>
    <row r="21" spans="1:30" x14ac:dyDescent="0.3">
      <c r="A21" t="str">
        <f>_xlfn.XLOOKUP(B21*1,'Reference '!I:I,'Reference '!K:K)</f>
        <v>Ben Gbeve</v>
      </c>
      <c r="B21" s="2" t="str">
        <f t="shared" si="0"/>
        <v>601</v>
      </c>
      <c r="C21" s="2" t="s">
        <v>110</v>
      </c>
      <c r="D21" s="2" t="s">
        <v>110</v>
      </c>
      <c r="E21" s="2" t="s">
        <v>168</v>
      </c>
      <c r="F21" s="2" t="s">
        <v>168</v>
      </c>
      <c r="G21" s="2" t="s">
        <v>53</v>
      </c>
      <c r="H21" s="2" t="s">
        <v>53</v>
      </c>
      <c r="I21" s="2" t="s">
        <v>54</v>
      </c>
      <c r="J21" s="2" t="s">
        <v>54</v>
      </c>
      <c r="K21" s="2" t="s">
        <v>184</v>
      </c>
      <c r="L21" s="2" t="s">
        <v>185</v>
      </c>
      <c r="M21" s="2" t="s">
        <v>56</v>
      </c>
      <c r="N21" s="2" t="s">
        <v>72</v>
      </c>
      <c r="O21" s="3">
        <v>2900</v>
      </c>
      <c r="P21" s="3">
        <v>2900</v>
      </c>
      <c r="Q21" s="3">
        <v>2900</v>
      </c>
      <c r="R21" s="3">
        <v>2900</v>
      </c>
      <c r="S21" s="3">
        <v>2900</v>
      </c>
      <c r="T21" s="3">
        <v>2900</v>
      </c>
      <c r="U21" s="3">
        <v>2900</v>
      </c>
      <c r="V21" s="3">
        <v>2900</v>
      </c>
      <c r="W21" s="3">
        <v>2900</v>
      </c>
      <c r="X21" s="3">
        <v>2900</v>
      </c>
      <c r="Y21" s="3">
        <v>2900</v>
      </c>
      <c r="Z21" s="3">
        <v>2900</v>
      </c>
      <c r="AA21" s="3">
        <v>34800</v>
      </c>
      <c r="AB21" s="8">
        <f>IF(N21="EUR",AA21,IF(N21="GBP",AA21/Rate!$C$3,AA21/Rate!$C$5))</f>
        <v>40000</v>
      </c>
      <c r="AC21" s="43">
        <f>IFERROR(VLOOKUP(K21,'4.2 Simplify Savings'!K:AB,18,0),0)</f>
        <v>0</v>
      </c>
      <c r="AD21" s="44">
        <f t="shared" si="1"/>
        <v>40000</v>
      </c>
    </row>
    <row r="22" spans="1:30" x14ac:dyDescent="0.3">
      <c r="A22" t="str">
        <f>_xlfn.XLOOKUP(B22*1,'Reference '!I:I,'Reference '!K:K)</f>
        <v>Ben Gbeve</v>
      </c>
      <c r="B22" s="2" t="str">
        <f t="shared" si="0"/>
        <v>601</v>
      </c>
      <c r="C22" s="2" t="s">
        <v>110</v>
      </c>
      <c r="D22" s="2" t="s">
        <v>110</v>
      </c>
      <c r="E22" s="2" t="s">
        <v>122</v>
      </c>
      <c r="F22" s="2" t="s">
        <v>122</v>
      </c>
      <c r="G22" s="2" t="s">
        <v>53</v>
      </c>
      <c r="H22" s="2" t="s">
        <v>53</v>
      </c>
      <c r="I22" s="2" t="s">
        <v>54</v>
      </c>
      <c r="J22" s="2" t="s">
        <v>54</v>
      </c>
      <c r="K22" s="2" t="s">
        <v>123</v>
      </c>
      <c r="L22" s="2" t="s">
        <v>121</v>
      </c>
      <c r="M22" s="2" t="s">
        <v>56</v>
      </c>
      <c r="N22" s="2" t="s">
        <v>72</v>
      </c>
      <c r="O22" s="3">
        <v>9000</v>
      </c>
      <c r="P22" s="3">
        <v>9000</v>
      </c>
      <c r="Q22" s="3">
        <v>9000</v>
      </c>
      <c r="R22" s="3">
        <v>9000</v>
      </c>
      <c r="S22" s="3">
        <v>9000</v>
      </c>
      <c r="T22" s="3">
        <v>9000</v>
      </c>
      <c r="U22" s="3">
        <v>9000</v>
      </c>
      <c r="V22" s="3">
        <v>9000</v>
      </c>
      <c r="W22" s="3">
        <v>9000</v>
      </c>
      <c r="X22" s="3">
        <v>9000</v>
      </c>
      <c r="Y22" s="3">
        <v>9000</v>
      </c>
      <c r="Z22" s="3">
        <v>9000</v>
      </c>
      <c r="AA22" s="3">
        <v>108000</v>
      </c>
      <c r="AB22" s="8">
        <f>IF(N22="EUR",AA22,IF(N22="GBP",AA22/Rate!$C$3,AA22/Rate!$C$5))</f>
        <v>124137.93103448275</v>
      </c>
      <c r="AC22" s="43">
        <f>IFERROR(VLOOKUP(K22,'4.2 Simplify Savings'!K:AB,18,0),0)</f>
        <v>0</v>
      </c>
      <c r="AD22" s="44">
        <f t="shared" si="1"/>
        <v>124137.93103448275</v>
      </c>
    </row>
    <row r="23" spans="1:30" x14ac:dyDescent="0.3">
      <c r="A23" t="str">
        <f>_xlfn.XLOOKUP(B23*1,'Reference '!I:I,'Reference '!K:K)</f>
        <v>Ben Gbeve</v>
      </c>
      <c r="B23" s="2" t="str">
        <f t="shared" si="0"/>
        <v>601</v>
      </c>
      <c r="C23" s="2" t="s">
        <v>110</v>
      </c>
      <c r="D23" s="2" t="s">
        <v>110</v>
      </c>
      <c r="E23" s="2" t="s">
        <v>135</v>
      </c>
      <c r="F23" s="2" t="s">
        <v>135</v>
      </c>
      <c r="G23" s="2" t="s">
        <v>53</v>
      </c>
      <c r="H23" s="2" t="s">
        <v>53</v>
      </c>
      <c r="I23" s="2" t="s">
        <v>54</v>
      </c>
      <c r="J23" s="2" t="s">
        <v>54</v>
      </c>
      <c r="K23" s="2" t="s">
        <v>136</v>
      </c>
      <c r="L23" s="2" t="s">
        <v>137</v>
      </c>
      <c r="M23" s="2" t="s">
        <v>56</v>
      </c>
      <c r="N23" s="2" t="s">
        <v>72</v>
      </c>
      <c r="O23" s="3">
        <v>3230</v>
      </c>
      <c r="P23" s="3">
        <v>3230</v>
      </c>
      <c r="Q23" s="3">
        <v>3230</v>
      </c>
      <c r="R23" s="3">
        <v>3230</v>
      </c>
      <c r="S23" s="3">
        <v>3230</v>
      </c>
      <c r="T23" s="3">
        <v>3230</v>
      </c>
      <c r="U23" s="3">
        <v>3230</v>
      </c>
      <c r="V23" s="3">
        <v>3230</v>
      </c>
      <c r="W23" s="3">
        <v>3230</v>
      </c>
      <c r="X23" s="3">
        <v>3230</v>
      </c>
      <c r="Y23" s="3">
        <v>3230</v>
      </c>
      <c r="Z23" s="3">
        <v>3230</v>
      </c>
      <c r="AA23" s="3">
        <v>38760</v>
      </c>
      <c r="AB23" s="8">
        <f>IF(N23="EUR",AA23,IF(N23="GBP",AA23/Rate!$C$3,AA23/Rate!$C$5))</f>
        <v>44551.724137931036</v>
      </c>
      <c r="AC23" s="43">
        <f>IFERROR(VLOOKUP(K23,'4.2 Simplify Savings'!K:AB,18,0),0)</f>
        <v>0</v>
      </c>
      <c r="AD23" s="44">
        <f t="shared" si="1"/>
        <v>44551.724137931036</v>
      </c>
    </row>
    <row r="24" spans="1:30" x14ac:dyDescent="0.3">
      <c r="A24" t="str">
        <f>_xlfn.XLOOKUP(B24*1,'Reference '!I:I,'Reference '!K:K)</f>
        <v>Ben Gbeve</v>
      </c>
      <c r="B24" s="2" t="str">
        <f t="shared" si="0"/>
        <v>601</v>
      </c>
      <c r="C24" s="2" t="s">
        <v>110</v>
      </c>
      <c r="D24" s="2" t="s">
        <v>110</v>
      </c>
      <c r="E24" s="2" t="s">
        <v>135</v>
      </c>
      <c r="F24" s="2" t="s">
        <v>135</v>
      </c>
      <c r="G24" s="2" t="s">
        <v>53</v>
      </c>
      <c r="H24" s="2" t="s">
        <v>53</v>
      </c>
      <c r="I24" s="2" t="s">
        <v>54</v>
      </c>
      <c r="J24" s="2" t="s">
        <v>54</v>
      </c>
      <c r="K24" s="2" t="s">
        <v>147</v>
      </c>
      <c r="L24" s="2" t="s">
        <v>148</v>
      </c>
      <c r="M24" s="2" t="s">
        <v>56</v>
      </c>
      <c r="N24" s="2" t="s">
        <v>72</v>
      </c>
      <c r="O24" s="3">
        <v>495.42</v>
      </c>
      <c r="P24" s="3">
        <v>495.42</v>
      </c>
      <c r="Q24" s="3">
        <v>495.42</v>
      </c>
      <c r="R24" s="3">
        <v>495.42</v>
      </c>
      <c r="S24" s="3">
        <v>495.42</v>
      </c>
      <c r="T24" s="3">
        <v>495.42</v>
      </c>
      <c r="U24" s="3">
        <v>495.42</v>
      </c>
      <c r="V24" s="3">
        <v>495.42</v>
      </c>
      <c r="W24" s="3">
        <v>495.42</v>
      </c>
      <c r="X24" s="3">
        <v>495.42</v>
      </c>
      <c r="Y24" s="3">
        <v>495.42</v>
      </c>
      <c r="Z24" s="3">
        <v>495.42</v>
      </c>
      <c r="AA24" s="3">
        <v>5945.04</v>
      </c>
      <c r="AB24" s="8">
        <f>IF(N24="EUR",AA24,IF(N24="GBP",AA24/Rate!$C$3,AA24/Rate!$C$5))</f>
        <v>6833.3793103448279</v>
      </c>
      <c r="AC24" s="43">
        <f>IFERROR(VLOOKUP(K24,'4.2 Simplify Savings'!K:AB,18,0),0)</f>
        <v>0</v>
      </c>
      <c r="AD24" s="44">
        <f t="shared" si="1"/>
        <v>6833.3793103448279</v>
      </c>
    </row>
    <row r="25" spans="1:30" x14ac:dyDescent="0.3">
      <c r="A25" t="str">
        <f>_xlfn.XLOOKUP(B25*1,'Reference '!I:I,'Reference '!K:K)</f>
        <v>Ben Gbeve</v>
      </c>
      <c r="B25" s="2" t="str">
        <f t="shared" si="0"/>
        <v>601</v>
      </c>
      <c r="C25" s="2" t="s">
        <v>110</v>
      </c>
      <c r="D25" s="2" t="s">
        <v>110</v>
      </c>
      <c r="E25" s="2" t="s">
        <v>135</v>
      </c>
      <c r="F25" s="2" t="s">
        <v>135</v>
      </c>
      <c r="G25" s="2" t="s">
        <v>53</v>
      </c>
      <c r="H25" s="2" t="s">
        <v>53</v>
      </c>
      <c r="I25" s="2" t="s">
        <v>54</v>
      </c>
      <c r="J25" s="2" t="s">
        <v>54</v>
      </c>
      <c r="K25" s="2" t="s">
        <v>177</v>
      </c>
      <c r="L25" s="2" t="s">
        <v>178</v>
      </c>
      <c r="M25" s="2" t="s">
        <v>56</v>
      </c>
      <c r="N25" s="2" t="s">
        <v>72</v>
      </c>
      <c r="O25" s="3">
        <v>583.33000000000004</v>
      </c>
      <c r="P25" s="3">
        <v>583.33000000000004</v>
      </c>
      <c r="Q25" s="3">
        <v>583.33000000000004</v>
      </c>
      <c r="R25" s="3">
        <v>583.33000000000004</v>
      </c>
      <c r="S25" s="3">
        <v>583.33000000000004</v>
      </c>
      <c r="T25" s="3">
        <v>583.33000000000004</v>
      </c>
      <c r="U25" s="3">
        <v>583.33000000000004</v>
      </c>
      <c r="V25" s="3">
        <v>583.33000000000004</v>
      </c>
      <c r="W25" s="3">
        <v>583.33000000000004</v>
      </c>
      <c r="X25" s="3">
        <v>583.33000000000004</v>
      </c>
      <c r="Y25" s="3">
        <v>583.33000000000004</v>
      </c>
      <c r="Z25" s="3">
        <v>583.33000000000004</v>
      </c>
      <c r="AA25" s="3">
        <v>6999.96</v>
      </c>
      <c r="AB25" s="8">
        <f>IF(N25="EUR",AA25,IF(N25="GBP",AA25/Rate!$C$3,AA25/Rate!$C$5))</f>
        <v>8045.9310344827591</v>
      </c>
      <c r="AC25" s="43">
        <f>IFERROR(VLOOKUP(K25,'4.2 Simplify Savings'!K:AB,18,0),0)</f>
        <v>0</v>
      </c>
      <c r="AD25" s="44">
        <f t="shared" si="1"/>
        <v>8045.9310344827591</v>
      </c>
    </row>
    <row r="26" spans="1:30" x14ac:dyDescent="0.3">
      <c r="A26" t="str">
        <f>_xlfn.XLOOKUP(B26*1,'Reference '!I:I,'Reference '!K:K)</f>
        <v>Ben Gbeve</v>
      </c>
      <c r="B26" s="2" t="str">
        <f t="shared" si="0"/>
        <v>601</v>
      </c>
      <c r="C26" s="2" t="s">
        <v>110</v>
      </c>
      <c r="D26" s="2" t="s">
        <v>110</v>
      </c>
      <c r="E26" s="2" t="s">
        <v>135</v>
      </c>
      <c r="F26" s="2" t="s">
        <v>135</v>
      </c>
      <c r="G26" s="2" t="s">
        <v>53</v>
      </c>
      <c r="H26" s="2" t="s">
        <v>53</v>
      </c>
      <c r="I26" s="2" t="s">
        <v>54</v>
      </c>
      <c r="J26" s="2" t="s">
        <v>54</v>
      </c>
      <c r="K26" s="2" t="s">
        <v>207</v>
      </c>
      <c r="L26" s="2" t="s">
        <v>208</v>
      </c>
      <c r="M26" s="2" t="s">
        <v>56</v>
      </c>
      <c r="N26" s="2" t="s">
        <v>72</v>
      </c>
      <c r="O26" s="3">
        <v>436</v>
      </c>
      <c r="P26" s="3">
        <v>436</v>
      </c>
      <c r="Q26" s="3">
        <v>436</v>
      </c>
      <c r="R26" s="3">
        <v>436</v>
      </c>
      <c r="S26" s="3">
        <v>436</v>
      </c>
      <c r="T26" s="3">
        <v>436</v>
      </c>
      <c r="U26" s="3">
        <v>436</v>
      </c>
      <c r="V26" s="3">
        <v>436</v>
      </c>
      <c r="W26" s="3">
        <v>436</v>
      </c>
      <c r="X26" s="3">
        <v>436</v>
      </c>
      <c r="Y26" s="3">
        <v>436</v>
      </c>
      <c r="Z26" s="3">
        <v>436</v>
      </c>
      <c r="AA26" s="3">
        <v>5232</v>
      </c>
      <c r="AB26" s="8">
        <f>IF(N26="EUR",AA26,IF(N26="GBP",AA26/Rate!$C$3,AA26/Rate!$C$5))</f>
        <v>6013.7931034482763</v>
      </c>
      <c r="AC26" s="43">
        <f>IFERROR(VLOOKUP(K26,'4.2 Simplify Savings'!K:AB,18,0),0)</f>
        <v>0</v>
      </c>
      <c r="AD26" s="44">
        <f t="shared" si="1"/>
        <v>6013.7931034482763</v>
      </c>
    </row>
    <row r="27" spans="1:30" x14ac:dyDescent="0.3">
      <c r="A27" t="str">
        <f>_xlfn.XLOOKUP(B27*1,'Reference '!I:I,'Reference '!K:K)</f>
        <v>Mael Delmas</v>
      </c>
      <c r="B27" s="2" t="str">
        <f t="shared" si="0"/>
        <v>604</v>
      </c>
      <c r="C27" s="2" t="s">
        <v>274</v>
      </c>
      <c r="D27" s="2" t="s">
        <v>274</v>
      </c>
      <c r="E27" s="2" t="s">
        <v>135</v>
      </c>
      <c r="F27" s="2" t="s">
        <v>135</v>
      </c>
      <c r="G27" s="2" t="s">
        <v>53</v>
      </c>
      <c r="H27" s="2" t="s">
        <v>53</v>
      </c>
      <c r="I27" s="2" t="s">
        <v>54</v>
      </c>
      <c r="J27" s="2" t="s">
        <v>54</v>
      </c>
      <c r="K27" s="2" t="s">
        <v>279</v>
      </c>
      <c r="L27" s="2" t="s">
        <v>280</v>
      </c>
      <c r="M27" s="2" t="s">
        <v>56</v>
      </c>
      <c r="N27" s="2" t="s">
        <v>72</v>
      </c>
      <c r="O27" s="3">
        <v>13000</v>
      </c>
      <c r="P27" s="3">
        <v>13000</v>
      </c>
      <c r="Q27" s="3">
        <v>13000</v>
      </c>
      <c r="R27" s="3">
        <v>13000</v>
      </c>
      <c r="S27" s="3">
        <v>13000</v>
      </c>
      <c r="T27" s="3">
        <v>13000</v>
      </c>
      <c r="U27" s="3">
        <v>13000</v>
      </c>
      <c r="V27" s="3">
        <v>13000</v>
      </c>
      <c r="W27" s="3">
        <v>13000</v>
      </c>
      <c r="X27" s="3">
        <v>13000</v>
      </c>
      <c r="Y27" s="3">
        <v>13000</v>
      </c>
      <c r="Z27" s="3">
        <v>13000</v>
      </c>
      <c r="AA27" s="3">
        <v>156000</v>
      </c>
      <c r="AB27" s="8">
        <f>IF(N27="EUR",AA27,IF(N27="GBP",AA27/Rate!$C$3,AA27/Rate!$C$5))</f>
        <v>179310.3448275862</v>
      </c>
      <c r="AC27" s="43">
        <f>IFERROR(VLOOKUP(K27,'4.2 Simplify Savings'!K:AB,18,0),0)</f>
        <v>0</v>
      </c>
      <c r="AD27" s="44">
        <f t="shared" si="1"/>
        <v>179310.3448275862</v>
      </c>
    </row>
    <row r="28" spans="1:30" x14ac:dyDescent="0.3">
      <c r="A28" t="str">
        <f>_xlfn.XLOOKUP(B28*1,'Reference '!I:I,'Reference '!K:K)</f>
        <v>Mael Delmas</v>
      </c>
      <c r="B28" s="2" t="str">
        <f t="shared" si="0"/>
        <v>604</v>
      </c>
      <c r="C28" s="2" t="s">
        <v>274</v>
      </c>
      <c r="D28" s="2" t="s">
        <v>274</v>
      </c>
      <c r="E28" s="2" t="s">
        <v>135</v>
      </c>
      <c r="F28" s="2" t="s">
        <v>135</v>
      </c>
      <c r="G28" s="2" t="s">
        <v>53</v>
      </c>
      <c r="H28" s="2" t="s">
        <v>53</v>
      </c>
      <c r="I28" s="2" t="s">
        <v>54</v>
      </c>
      <c r="J28" s="2" t="s">
        <v>54</v>
      </c>
      <c r="K28" s="2" t="s">
        <v>303</v>
      </c>
      <c r="L28" s="2" t="s">
        <v>304</v>
      </c>
      <c r="M28" s="2" t="s">
        <v>56</v>
      </c>
      <c r="N28" s="2" t="s">
        <v>72</v>
      </c>
      <c r="O28" s="3">
        <v>2600</v>
      </c>
      <c r="P28" s="3">
        <v>2600</v>
      </c>
      <c r="Q28" s="3">
        <v>2600</v>
      </c>
      <c r="R28" s="3">
        <v>2600</v>
      </c>
      <c r="S28" s="3">
        <v>2600</v>
      </c>
      <c r="T28" s="3">
        <v>2600</v>
      </c>
      <c r="U28" s="3">
        <v>2600</v>
      </c>
      <c r="V28" s="3">
        <v>2600</v>
      </c>
      <c r="W28" s="3">
        <v>2600</v>
      </c>
      <c r="X28" s="3">
        <v>2600</v>
      </c>
      <c r="Y28" s="3">
        <v>2600</v>
      </c>
      <c r="Z28" s="3">
        <v>2600</v>
      </c>
      <c r="AA28" s="3">
        <v>31200</v>
      </c>
      <c r="AB28" s="8">
        <f>IF(N28="EUR",AA28,IF(N28="GBP",AA28/Rate!$C$3,AA28/Rate!$C$5))</f>
        <v>35862.068965517239</v>
      </c>
      <c r="AC28" s="43">
        <f>IFERROR(VLOOKUP(K28,'4.2 Simplify Savings'!K:AB,18,0),0)</f>
        <v>0</v>
      </c>
      <c r="AD28" s="44">
        <f t="shared" si="1"/>
        <v>35862.068965517239</v>
      </c>
    </row>
    <row r="29" spans="1:30" x14ac:dyDescent="0.3">
      <c r="A29" t="str">
        <f>_xlfn.XLOOKUP(B29*1,'Reference '!I:I,'Reference '!K:K)</f>
        <v>Ben Gbeve</v>
      </c>
      <c r="B29" s="2" t="str">
        <f t="shared" si="0"/>
        <v>601</v>
      </c>
      <c r="C29" s="2" t="s">
        <v>75</v>
      </c>
      <c r="D29" s="2" t="s">
        <v>75</v>
      </c>
      <c r="E29" s="2" t="s">
        <v>104</v>
      </c>
      <c r="F29" s="2" t="s">
        <v>104</v>
      </c>
      <c r="G29" s="2" t="s">
        <v>53</v>
      </c>
      <c r="H29" s="2" t="s">
        <v>53</v>
      </c>
      <c r="I29" s="2" t="s">
        <v>54</v>
      </c>
      <c r="J29" s="2" t="s">
        <v>54</v>
      </c>
      <c r="K29" s="2" t="s">
        <v>105</v>
      </c>
      <c r="L29" s="2" t="s">
        <v>106</v>
      </c>
      <c r="M29" s="2" t="s">
        <v>56</v>
      </c>
      <c r="N29" s="2" t="s">
        <v>57</v>
      </c>
      <c r="O29" s="3">
        <v>4356.25</v>
      </c>
      <c r="P29" s="3">
        <v>4356.25</v>
      </c>
      <c r="Q29" s="3">
        <v>4356.25</v>
      </c>
      <c r="R29" s="3">
        <v>4356.25</v>
      </c>
      <c r="S29" s="3">
        <v>4356.25</v>
      </c>
      <c r="T29" s="3">
        <v>4356.25</v>
      </c>
      <c r="U29" s="3">
        <v>4356.25</v>
      </c>
      <c r="V29" s="3">
        <v>4356.25</v>
      </c>
      <c r="W29" s="3">
        <v>4356.25</v>
      </c>
      <c r="X29" s="3">
        <v>4356.25</v>
      </c>
      <c r="Y29" s="3">
        <v>4356.25</v>
      </c>
      <c r="Z29" s="3">
        <v>4356.25</v>
      </c>
      <c r="AA29" s="3">
        <v>52275</v>
      </c>
      <c r="AB29" s="8">
        <f>IF(N29="EUR",AA29,IF(N29="GBP",AA29/Rate!$C$3,AA29/Rate!$C$5))</f>
        <v>52275</v>
      </c>
      <c r="AC29" s="43">
        <f>IFERROR(VLOOKUP(K29,'4.2 Simplify Savings'!K:AB,18,0),0)</f>
        <v>0</v>
      </c>
      <c r="AD29" s="44">
        <f t="shared" si="1"/>
        <v>52275</v>
      </c>
    </row>
    <row r="30" spans="1:30" x14ac:dyDescent="0.3">
      <c r="A30" t="str">
        <f>_xlfn.XLOOKUP(B30*1,'Reference '!I:I,'Reference '!K:K)</f>
        <v>Ben Gbeve</v>
      </c>
      <c r="B30" s="2" t="str">
        <f t="shared" si="0"/>
        <v>601</v>
      </c>
      <c r="C30" s="2" t="s">
        <v>110</v>
      </c>
      <c r="D30" s="2" t="s">
        <v>110</v>
      </c>
      <c r="E30" s="2" t="s">
        <v>104</v>
      </c>
      <c r="F30" s="2" t="s">
        <v>104</v>
      </c>
      <c r="G30" s="2" t="s">
        <v>53</v>
      </c>
      <c r="H30" s="2" t="s">
        <v>53</v>
      </c>
      <c r="I30" s="2" t="s">
        <v>54</v>
      </c>
      <c r="J30" s="2" t="s">
        <v>54</v>
      </c>
      <c r="K30" s="2" t="s">
        <v>156</v>
      </c>
      <c r="L30" s="2" t="s">
        <v>157</v>
      </c>
      <c r="M30" s="2" t="s">
        <v>56</v>
      </c>
      <c r="N30" s="2" t="s">
        <v>72</v>
      </c>
      <c r="O30" s="3">
        <v>48085</v>
      </c>
      <c r="P30" s="3">
        <v>48085</v>
      </c>
      <c r="Q30" s="3">
        <v>48085</v>
      </c>
      <c r="R30" s="3">
        <v>48085</v>
      </c>
      <c r="S30" s="3">
        <v>48085</v>
      </c>
      <c r="T30" s="3">
        <v>48085</v>
      </c>
      <c r="U30" s="3">
        <v>48085</v>
      </c>
      <c r="V30" s="3">
        <v>48085</v>
      </c>
      <c r="W30" s="3">
        <v>48085</v>
      </c>
      <c r="X30" s="3">
        <v>48085</v>
      </c>
      <c r="Y30" s="3">
        <v>48085</v>
      </c>
      <c r="Z30" s="3">
        <v>48085</v>
      </c>
      <c r="AA30" s="3">
        <v>577020</v>
      </c>
      <c r="AB30" s="8">
        <f>IF(N30="EUR",AA30,IF(N30="GBP",AA30/Rate!$C$3,AA30/Rate!$C$5))</f>
        <v>663241.37931034481</v>
      </c>
      <c r="AC30" s="43">
        <f>IFERROR(VLOOKUP(K30,'4.2 Simplify Savings'!K:AB,18,0),0)</f>
        <v>-289425</v>
      </c>
      <c r="AD30" s="44">
        <f t="shared" si="1"/>
        <v>373816.37931034481</v>
      </c>
    </row>
    <row r="31" spans="1:30" x14ac:dyDescent="0.3">
      <c r="A31" t="str">
        <f>_xlfn.XLOOKUP(B31*1,'Reference '!I:I,'Reference '!K:K)</f>
        <v>Ben Gbeve</v>
      </c>
      <c r="B31" s="2" t="str">
        <f t="shared" si="0"/>
        <v>601</v>
      </c>
      <c r="C31" s="2" t="s">
        <v>210</v>
      </c>
      <c r="D31" s="2" t="s">
        <v>210</v>
      </c>
      <c r="E31" s="2" t="s">
        <v>104</v>
      </c>
      <c r="F31" s="2" t="s">
        <v>104</v>
      </c>
      <c r="G31" s="2" t="s">
        <v>53</v>
      </c>
      <c r="H31" s="2" t="s">
        <v>53</v>
      </c>
      <c r="I31" s="2" t="s">
        <v>54</v>
      </c>
      <c r="J31" s="2" t="s">
        <v>54</v>
      </c>
      <c r="K31" s="2" t="s">
        <v>214</v>
      </c>
      <c r="L31" s="2" t="s">
        <v>215</v>
      </c>
      <c r="M31" s="2" t="s">
        <v>56</v>
      </c>
      <c r="N31" s="2" t="s">
        <v>213</v>
      </c>
      <c r="O31" s="3"/>
      <c r="P31" s="3"/>
      <c r="Q31" s="3"/>
      <c r="R31" s="3">
        <v>35000</v>
      </c>
      <c r="S31" s="3">
        <v>35000</v>
      </c>
      <c r="T31" s="3">
        <v>35000</v>
      </c>
      <c r="U31" s="3">
        <v>35000</v>
      </c>
      <c r="V31" s="3">
        <v>35000</v>
      </c>
      <c r="W31" s="3">
        <v>35000</v>
      </c>
      <c r="X31" s="3">
        <v>35000</v>
      </c>
      <c r="Y31" s="3">
        <v>35000</v>
      </c>
      <c r="Z31" s="3">
        <v>35000</v>
      </c>
      <c r="AA31" s="3">
        <v>315000</v>
      </c>
      <c r="AB31" s="8">
        <f>IF(N31="EUR",AA31,IF(N31="GBP",AA31/Rate!$C$3,AA31/Rate!$C$5))</f>
        <v>269230.76923076925</v>
      </c>
      <c r="AC31" s="43">
        <f>IFERROR(VLOOKUP(K31,'4.2 Simplify Savings'!K:AB,18,0),0)</f>
        <v>0</v>
      </c>
      <c r="AD31" s="44">
        <f t="shared" si="1"/>
        <v>269230.76923076925</v>
      </c>
    </row>
    <row r="32" spans="1:30" x14ac:dyDescent="0.3">
      <c r="A32" t="str">
        <f>_xlfn.XLOOKUP(B32*1,'Reference '!I:I,'Reference '!K:K)</f>
        <v>Ben Gbeve</v>
      </c>
      <c r="B32" s="2" t="str">
        <f t="shared" si="0"/>
        <v>601</v>
      </c>
      <c r="C32" s="2" t="s">
        <v>75</v>
      </c>
      <c r="D32" s="2" t="s">
        <v>75</v>
      </c>
      <c r="E32" s="2" t="s">
        <v>107</v>
      </c>
      <c r="F32" s="2" t="s">
        <v>107</v>
      </c>
      <c r="G32" s="2" t="s">
        <v>53</v>
      </c>
      <c r="H32" s="2" t="s">
        <v>53</v>
      </c>
      <c r="I32" s="2" t="s">
        <v>54</v>
      </c>
      <c r="J32" s="2" t="s">
        <v>54</v>
      </c>
      <c r="K32" s="2" t="s">
        <v>108</v>
      </c>
      <c r="L32" s="2" t="s">
        <v>109</v>
      </c>
      <c r="M32" s="2" t="s">
        <v>56</v>
      </c>
      <c r="N32" s="2" t="s">
        <v>57</v>
      </c>
      <c r="O32" s="3">
        <v>385</v>
      </c>
      <c r="P32" s="3">
        <v>385</v>
      </c>
      <c r="Q32" s="3">
        <v>385</v>
      </c>
      <c r="R32" s="3">
        <v>385</v>
      </c>
      <c r="S32" s="3">
        <v>385</v>
      </c>
      <c r="T32" s="3">
        <v>385</v>
      </c>
      <c r="U32" s="3">
        <v>385</v>
      </c>
      <c r="V32" s="3">
        <v>385</v>
      </c>
      <c r="W32" s="3">
        <v>385</v>
      </c>
      <c r="X32" s="3">
        <v>385</v>
      </c>
      <c r="Y32" s="3">
        <v>385</v>
      </c>
      <c r="Z32" s="3">
        <v>385</v>
      </c>
      <c r="AA32" s="3">
        <v>4620</v>
      </c>
      <c r="AB32" s="8">
        <f>IF(N32="EUR",AA32,IF(N32="GBP",AA32/Rate!$C$3,AA32/Rate!$C$5))</f>
        <v>4620</v>
      </c>
      <c r="AC32" s="43">
        <f>IFERROR(VLOOKUP(K32,'4.2 Simplify Savings'!K:AB,18,0),0)</f>
        <v>-2310</v>
      </c>
      <c r="AD32" s="44">
        <f t="shared" si="1"/>
        <v>2310</v>
      </c>
    </row>
    <row r="33" spans="1:30" x14ac:dyDescent="0.3">
      <c r="A33" t="str">
        <f>_xlfn.XLOOKUP(B33*1,'Reference '!I:I,'Reference '!K:K)</f>
        <v>Ben Gbeve</v>
      </c>
      <c r="B33" s="2" t="str">
        <f t="shared" si="0"/>
        <v>601</v>
      </c>
      <c r="C33" s="2" t="s">
        <v>110</v>
      </c>
      <c r="D33" s="2" t="s">
        <v>110</v>
      </c>
      <c r="E33" s="2" t="s">
        <v>107</v>
      </c>
      <c r="F33" s="2" t="s">
        <v>107</v>
      </c>
      <c r="G33" s="2" t="s">
        <v>53</v>
      </c>
      <c r="H33" s="2" t="s">
        <v>53</v>
      </c>
      <c r="I33" s="2" t="s">
        <v>54</v>
      </c>
      <c r="J33" s="2" t="s">
        <v>54</v>
      </c>
      <c r="K33" s="2" t="s">
        <v>198</v>
      </c>
      <c r="L33" s="2" t="s">
        <v>199</v>
      </c>
      <c r="M33" s="2" t="s">
        <v>56</v>
      </c>
      <c r="N33" s="2" t="s">
        <v>72</v>
      </c>
      <c r="O33" s="3">
        <v>3470</v>
      </c>
      <c r="P33" s="3">
        <v>3470</v>
      </c>
      <c r="Q33" s="3">
        <v>3470</v>
      </c>
      <c r="R33" s="3">
        <v>3470</v>
      </c>
      <c r="S33" s="3">
        <v>3470</v>
      </c>
      <c r="T33" s="3">
        <v>3470</v>
      </c>
      <c r="U33" s="3">
        <v>3470</v>
      </c>
      <c r="V33" s="3">
        <v>3470</v>
      </c>
      <c r="W33" s="3">
        <v>3470</v>
      </c>
      <c r="X33" s="3">
        <v>3470</v>
      </c>
      <c r="Y33" s="3">
        <v>3470</v>
      </c>
      <c r="Z33" s="3">
        <v>3470</v>
      </c>
      <c r="AA33" s="3">
        <v>41640</v>
      </c>
      <c r="AB33" s="8">
        <f>IF(N33="EUR",AA33,IF(N33="GBP",AA33/Rate!$C$3,AA33/Rate!$C$5))</f>
        <v>47862.068965517239</v>
      </c>
      <c r="AC33" s="43">
        <f>IFERROR(VLOOKUP(K33,'4.2 Simplify Savings'!K:AB,18,0),0)</f>
        <v>0</v>
      </c>
      <c r="AD33" s="44">
        <f t="shared" si="1"/>
        <v>47862.068965517239</v>
      </c>
    </row>
    <row r="34" spans="1:30" x14ac:dyDescent="0.3">
      <c r="A34" t="str">
        <f>_xlfn.XLOOKUP(B34*1,'Reference '!I:I,'Reference '!K:K)</f>
        <v>Ben Gbeve</v>
      </c>
      <c r="B34" s="2" t="str">
        <f t="shared" si="0"/>
        <v>601</v>
      </c>
      <c r="C34" s="2" t="s">
        <v>110</v>
      </c>
      <c r="D34" s="2" t="s">
        <v>110</v>
      </c>
      <c r="E34" s="2" t="s">
        <v>107</v>
      </c>
      <c r="F34" s="2" t="s">
        <v>107</v>
      </c>
      <c r="G34" s="2" t="s">
        <v>53</v>
      </c>
      <c r="H34" s="2" t="s">
        <v>53</v>
      </c>
      <c r="I34" s="2" t="s">
        <v>54</v>
      </c>
      <c r="J34" s="2" t="s">
        <v>54</v>
      </c>
      <c r="K34" s="2" t="s">
        <v>204</v>
      </c>
      <c r="L34" s="2" t="s">
        <v>199</v>
      </c>
      <c r="M34" s="2" t="s">
        <v>56</v>
      </c>
      <c r="N34" s="2" t="s">
        <v>72</v>
      </c>
      <c r="O34" s="3">
        <v>930</v>
      </c>
      <c r="P34" s="3">
        <v>930</v>
      </c>
      <c r="Q34" s="3">
        <v>930</v>
      </c>
      <c r="R34" s="3">
        <v>930</v>
      </c>
      <c r="S34" s="3">
        <v>930</v>
      </c>
      <c r="T34" s="3">
        <v>930</v>
      </c>
      <c r="U34" s="3">
        <v>930</v>
      </c>
      <c r="V34" s="3">
        <v>930</v>
      </c>
      <c r="W34" s="3">
        <v>930</v>
      </c>
      <c r="X34" s="3">
        <v>930</v>
      </c>
      <c r="Y34" s="3">
        <v>930</v>
      </c>
      <c r="Z34" s="3">
        <v>930</v>
      </c>
      <c r="AA34" s="3">
        <v>11160</v>
      </c>
      <c r="AB34" s="8">
        <f>IF(N34="EUR",AA34,IF(N34="GBP",AA34/Rate!$C$3,AA34/Rate!$C$5))</f>
        <v>12827.586206896553</v>
      </c>
      <c r="AC34" s="43">
        <f>IFERROR(VLOOKUP(K34,'4.2 Simplify Savings'!K:AB,18,0),0)</f>
        <v>-9499.9499999999989</v>
      </c>
      <c r="AD34" s="44">
        <f t="shared" si="1"/>
        <v>3327.6362068965536</v>
      </c>
    </row>
    <row r="35" spans="1:30" x14ac:dyDescent="0.3">
      <c r="A35" t="str">
        <f>_xlfn.XLOOKUP(B35*1,'Reference '!I:I,'Reference '!K:K)</f>
        <v>Ben Gbeve</v>
      </c>
      <c r="B35" s="2" t="str">
        <f t="shared" si="0"/>
        <v>601</v>
      </c>
      <c r="C35" s="2" t="s">
        <v>75</v>
      </c>
      <c r="D35" s="2" t="s">
        <v>75</v>
      </c>
      <c r="E35" s="2" t="s">
        <v>98</v>
      </c>
      <c r="F35" s="2" t="s">
        <v>98</v>
      </c>
      <c r="G35" s="2" t="s">
        <v>53</v>
      </c>
      <c r="H35" s="2" t="s">
        <v>53</v>
      </c>
      <c r="I35" s="2" t="s">
        <v>99</v>
      </c>
      <c r="J35" s="2" t="s">
        <v>99</v>
      </c>
      <c r="K35" s="2" t="s">
        <v>100</v>
      </c>
      <c r="L35" s="2" t="s">
        <v>97</v>
      </c>
      <c r="M35" s="2" t="s">
        <v>56</v>
      </c>
      <c r="N35" s="2" t="s">
        <v>57</v>
      </c>
      <c r="O35" s="3">
        <v>617</v>
      </c>
      <c r="P35" s="3">
        <v>617</v>
      </c>
      <c r="Q35" s="3">
        <v>617</v>
      </c>
      <c r="R35" s="3">
        <v>617</v>
      </c>
      <c r="S35" s="3">
        <v>617</v>
      </c>
      <c r="T35" s="3">
        <v>617</v>
      </c>
      <c r="U35" s="3">
        <v>617</v>
      </c>
      <c r="V35" s="3">
        <v>617</v>
      </c>
      <c r="W35" s="3">
        <v>617</v>
      </c>
      <c r="X35" s="3">
        <v>617</v>
      </c>
      <c r="Y35" s="3">
        <v>617</v>
      </c>
      <c r="Z35" s="3">
        <v>617</v>
      </c>
      <c r="AA35" s="3">
        <v>7404</v>
      </c>
      <c r="AB35" s="8">
        <f>IF(N35="EUR",AA35,IF(N35="GBP",AA35/Rate!$C$3,AA35/Rate!$C$5))</f>
        <v>7404</v>
      </c>
      <c r="AC35" s="43">
        <f>IFERROR(VLOOKUP(K35,'4.2 Simplify Savings'!K:AB,18,0),0)</f>
        <v>0</v>
      </c>
      <c r="AD35" s="44">
        <f t="shared" si="1"/>
        <v>7404</v>
      </c>
    </row>
    <row r="36" spans="1:30" x14ac:dyDescent="0.3">
      <c r="A36" t="str">
        <f>_xlfn.XLOOKUP(B36*1,'Reference '!I:I,'Reference '!K:K)</f>
        <v>Ben Gbeve</v>
      </c>
      <c r="B36" s="2" t="str">
        <f t="shared" si="0"/>
        <v>601</v>
      </c>
      <c r="C36" s="2" t="s">
        <v>75</v>
      </c>
      <c r="D36" s="2" t="s">
        <v>75</v>
      </c>
      <c r="E36" s="2" t="s">
        <v>98</v>
      </c>
      <c r="F36" s="2" t="s">
        <v>98</v>
      </c>
      <c r="G36" s="2" t="s">
        <v>53</v>
      </c>
      <c r="H36" s="2" t="s">
        <v>53</v>
      </c>
      <c r="I36" s="2" t="s">
        <v>99</v>
      </c>
      <c r="J36" s="2" t="s">
        <v>99</v>
      </c>
      <c r="K36" s="2" t="s">
        <v>102</v>
      </c>
      <c r="L36" s="2" t="s">
        <v>103</v>
      </c>
      <c r="M36" s="2" t="s">
        <v>56</v>
      </c>
      <c r="N36" s="2" t="s">
        <v>57</v>
      </c>
      <c r="O36" s="3">
        <v>145537</v>
      </c>
      <c r="P36" s="3">
        <v>145537</v>
      </c>
      <c r="Q36" s="3">
        <v>145537</v>
      </c>
      <c r="R36" s="3">
        <v>145537</v>
      </c>
      <c r="S36" s="3">
        <v>145537</v>
      </c>
      <c r="T36" s="3">
        <v>145537</v>
      </c>
      <c r="U36" s="3">
        <v>145537</v>
      </c>
      <c r="V36" s="3">
        <v>145537</v>
      </c>
      <c r="W36" s="3">
        <v>145537</v>
      </c>
      <c r="X36" s="3">
        <v>145537</v>
      </c>
      <c r="Y36" s="3">
        <v>145537</v>
      </c>
      <c r="Z36" s="3">
        <v>145537</v>
      </c>
      <c r="AA36" s="3">
        <v>1746444</v>
      </c>
      <c r="AB36" s="8">
        <f>IF(N36="EUR",AA36,IF(N36="GBP",AA36/Rate!$C$3,AA36/Rate!$C$5))</f>
        <v>1746444</v>
      </c>
      <c r="AC36" s="43">
        <f>IFERROR(VLOOKUP(K36,'4.2 Simplify Savings'!K:AB,18,0),0)</f>
        <v>-246444</v>
      </c>
      <c r="AD36" s="44">
        <f t="shared" si="1"/>
        <v>1500000</v>
      </c>
    </row>
    <row r="37" spans="1:30" x14ac:dyDescent="0.3">
      <c r="A37" t="str">
        <f>_xlfn.XLOOKUP(B37*1,'Reference '!I:I,'Reference '!K:K)</f>
        <v>Ben Gbeve</v>
      </c>
      <c r="B37" s="2" t="str">
        <f t="shared" ref="B37:B66" si="2">LEFT(C37,3)</f>
        <v>601</v>
      </c>
      <c r="C37" s="2" t="s">
        <v>110</v>
      </c>
      <c r="D37" s="2" t="s">
        <v>110</v>
      </c>
      <c r="E37" s="2" t="s">
        <v>98</v>
      </c>
      <c r="F37" s="2" t="s">
        <v>98</v>
      </c>
      <c r="G37" s="2" t="s">
        <v>53</v>
      </c>
      <c r="H37" s="2" t="s">
        <v>53</v>
      </c>
      <c r="I37" s="2" t="s">
        <v>54</v>
      </c>
      <c r="J37" s="2" t="s">
        <v>54</v>
      </c>
      <c r="K37" s="2" t="s">
        <v>128</v>
      </c>
      <c r="L37" s="2" t="s">
        <v>129</v>
      </c>
      <c r="M37" s="2" t="s">
        <v>56</v>
      </c>
      <c r="N37" s="2" t="s">
        <v>72</v>
      </c>
      <c r="O37" s="3">
        <v>2768</v>
      </c>
      <c r="P37" s="3">
        <v>2768</v>
      </c>
      <c r="Q37" s="3">
        <v>2768</v>
      </c>
      <c r="R37" s="3">
        <v>2768</v>
      </c>
      <c r="S37" s="3">
        <v>2768</v>
      </c>
      <c r="T37" s="3">
        <v>2768</v>
      </c>
      <c r="U37" s="3">
        <v>2768</v>
      </c>
      <c r="V37" s="3">
        <v>2768</v>
      </c>
      <c r="W37" s="3">
        <v>2768</v>
      </c>
      <c r="X37" s="3">
        <v>2768</v>
      </c>
      <c r="Y37" s="3">
        <v>2768</v>
      </c>
      <c r="Z37" s="3">
        <v>2768</v>
      </c>
      <c r="AA37" s="3">
        <v>33216</v>
      </c>
      <c r="AB37" s="8">
        <f>IF(N37="EUR",AA37,IF(N37="GBP",AA37/Rate!$C$3,AA37/Rate!$C$5))</f>
        <v>38179.310344827587</v>
      </c>
      <c r="AC37" s="43">
        <f>IFERROR(VLOOKUP(K37,'4.2 Simplify Savings'!K:AB,18,0),0)</f>
        <v>-28275.119999999999</v>
      </c>
      <c r="AD37" s="44">
        <f t="shared" ref="AD37:AD68" si="3">SUM(AB37:AC37)</f>
        <v>9904.190344827588</v>
      </c>
    </row>
    <row r="38" spans="1:30" x14ac:dyDescent="0.3">
      <c r="A38" t="str">
        <f>_xlfn.XLOOKUP(B38*1,'Reference '!I:I,'Reference '!K:K)</f>
        <v>Ben Gbeve</v>
      </c>
      <c r="B38" s="2" t="str">
        <f t="shared" si="2"/>
        <v>601</v>
      </c>
      <c r="C38" s="2" t="s">
        <v>110</v>
      </c>
      <c r="D38" s="2" t="s">
        <v>110</v>
      </c>
      <c r="E38" s="2" t="s">
        <v>98</v>
      </c>
      <c r="F38" s="2" t="s">
        <v>98</v>
      </c>
      <c r="G38" s="2" t="s">
        <v>53</v>
      </c>
      <c r="H38" s="2" t="s">
        <v>53</v>
      </c>
      <c r="I38" s="2" t="s">
        <v>99</v>
      </c>
      <c r="J38" s="2" t="s">
        <v>99</v>
      </c>
      <c r="K38" s="2" t="s">
        <v>130</v>
      </c>
      <c r="L38" s="2" t="s">
        <v>131</v>
      </c>
      <c r="M38" s="2" t="s">
        <v>56</v>
      </c>
      <c r="N38" s="2" t="s">
        <v>72</v>
      </c>
      <c r="O38" s="3">
        <v>5416.67</v>
      </c>
      <c r="P38" s="3">
        <v>5416.67</v>
      </c>
      <c r="Q38" s="3">
        <v>5416.67</v>
      </c>
      <c r="R38" s="3">
        <v>5416.67</v>
      </c>
      <c r="S38" s="3">
        <v>5416.67</v>
      </c>
      <c r="T38" s="3">
        <v>5416.67</v>
      </c>
      <c r="U38" s="3">
        <v>5416.67</v>
      </c>
      <c r="V38" s="3">
        <v>5416.67</v>
      </c>
      <c r="W38" s="3">
        <v>5416.67</v>
      </c>
      <c r="X38" s="3">
        <v>5416.67</v>
      </c>
      <c r="Y38" s="3">
        <v>5416.67</v>
      </c>
      <c r="Z38" s="3">
        <v>5416.67</v>
      </c>
      <c r="AA38" s="3">
        <v>65000.039999999986</v>
      </c>
      <c r="AB38" s="8">
        <f>IF(N38="EUR",AA38,IF(N38="GBP",AA38/Rate!$C$3,AA38/Rate!$C$5))</f>
        <v>74712.689655172391</v>
      </c>
      <c r="AC38" s="43">
        <f>IFERROR(VLOOKUP(K38,'4.2 Simplify Savings'!K:AB,18,0),0)</f>
        <v>0</v>
      </c>
      <c r="AD38" s="44">
        <f t="shared" si="3"/>
        <v>74712.689655172391</v>
      </c>
    </row>
    <row r="39" spans="1:30" x14ac:dyDescent="0.3">
      <c r="A39" t="str">
        <f>_xlfn.XLOOKUP(B39*1,'Reference '!I:I,'Reference '!K:K)</f>
        <v>Ben Gbeve</v>
      </c>
      <c r="B39" s="2" t="str">
        <f t="shared" si="2"/>
        <v>601</v>
      </c>
      <c r="C39" s="2" t="s">
        <v>110</v>
      </c>
      <c r="D39" s="2" t="s">
        <v>110</v>
      </c>
      <c r="E39" s="2" t="s">
        <v>151</v>
      </c>
      <c r="F39" s="2" t="s">
        <v>151</v>
      </c>
      <c r="G39" s="2" t="s">
        <v>53</v>
      </c>
      <c r="H39" s="2" t="s">
        <v>53</v>
      </c>
      <c r="I39" s="2" t="s">
        <v>54</v>
      </c>
      <c r="J39" s="2" t="s">
        <v>54</v>
      </c>
      <c r="K39" s="2" t="s">
        <v>152</v>
      </c>
      <c r="L39" s="2" t="s">
        <v>153</v>
      </c>
      <c r="M39" s="2" t="s">
        <v>56</v>
      </c>
      <c r="N39" s="2" t="s">
        <v>72</v>
      </c>
      <c r="O39" s="3">
        <v>3750</v>
      </c>
      <c r="P39" s="3">
        <v>3750</v>
      </c>
      <c r="Q39" s="3">
        <v>3750</v>
      </c>
      <c r="R39" s="3">
        <v>3750</v>
      </c>
      <c r="S39" s="3">
        <v>3750</v>
      </c>
      <c r="T39" s="3">
        <v>3750</v>
      </c>
      <c r="U39" s="3">
        <v>3750</v>
      </c>
      <c r="V39" s="3">
        <v>3750</v>
      </c>
      <c r="W39" s="3">
        <v>3750</v>
      </c>
      <c r="X39" s="3">
        <v>3750</v>
      </c>
      <c r="Y39" s="3">
        <v>3750</v>
      </c>
      <c r="Z39" s="3">
        <v>3750</v>
      </c>
      <c r="AA39" s="3">
        <v>45000</v>
      </c>
      <c r="AB39" s="8">
        <f>IF(N39="EUR",AA39,IF(N39="GBP",AA39/Rate!$C$3,AA39/Rate!$C$5))</f>
        <v>51724.137931034486</v>
      </c>
      <c r="AC39" s="43">
        <f>IFERROR(VLOOKUP(K39,'4.2 Simplify Savings'!K:AB,18,0),0)</f>
        <v>0</v>
      </c>
      <c r="AD39" s="44">
        <f t="shared" si="3"/>
        <v>51724.137931034486</v>
      </c>
    </row>
    <row r="40" spans="1:30" x14ac:dyDescent="0.3">
      <c r="A40" t="str">
        <f>_xlfn.XLOOKUP(B40*1,'Reference '!I:I,'Reference '!K:K)</f>
        <v>Ben Gbeve</v>
      </c>
      <c r="B40" s="2" t="str">
        <f t="shared" si="2"/>
        <v>601</v>
      </c>
      <c r="C40" s="2" t="s">
        <v>110</v>
      </c>
      <c r="D40" s="2" t="s">
        <v>110</v>
      </c>
      <c r="E40" s="2" t="s">
        <v>151</v>
      </c>
      <c r="F40" s="2" t="s">
        <v>151</v>
      </c>
      <c r="G40" s="2" t="s">
        <v>53</v>
      </c>
      <c r="H40" s="2" t="s">
        <v>53</v>
      </c>
      <c r="I40" s="2" t="s">
        <v>54</v>
      </c>
      <c r="J40" s="2" t="s">
        <v>54</v>
      </c>
      <c r="K40" s="2" t="s">
        <v>160</v>
      </c>
      <c r="L40" s="2" t="s">
        <v>161</v>
      </c>
      <c r="M40" s="2" t="s">
        <v>56</v>
      </c>
      <c r="N40" s="2" t="s">
        <v>72</v>
      </c>
      <c r="O40" s="3">
        <v>7708.33</v>
      </c>
      <c r="P40" s="3">
        <v>7708.33</v>
      </c>
      <c r="Q40" s="3">
        <v>7708.33</v>
      </c>
      <c r="R40" s="3">
        <v>7708.33</v>
      </c>
      <c r="S40" s="3">
        <v>7708.33</v>
      </c>
      <c r="T40" s="3">
        <v>7708.33</v>
      </c>
      <c r="U40" s="3">
        <v>7708.33</v>
      </c>
      <c r="V40" s="3">
        <v>7708.33</v>
      </c>
      <c r="W40" s="3">
        <v>7708.33</v>
      </c>
      <c r="X40" s="3">
        <v>7708.33</v>
      </c>
      <c r="Y40" s="3">
        <v>7708.33</v>
      </c>
      <c r="Z40" s="3">
        <v>7708.33</v>
      </c>
      <c r="AA40" s="3">
        <v>92499.96</v>
      </c>
      <c r="AB40" s="8">
        <f>IF(N40="EUR",AA40,IF(N40="GBP",AA40/Rate!$C$3,AA40/Rate!$C$5))</f>
        <v>106321.79310344829</v>
      </c>
      <c r="AC40" s="43">
        <f>IFERROR(VLOOKUP(K40,'4.2 Simplify Savings'!K:AB,18,0),0)</f>
        <v>0</v>
      </c>
      <c r="AD40" s="44">
        <f t="shared" si="3"/>
        <v>106321.79310344829</v>
      </c>
    </row>
    <row r="41" spans="1:30" x14ac:dyDescent="0.3">
      <c r="A41" t="str">
        <f>_xlfn.XLOOKUP(B41*1,'Reference '!I:I,'Reference '!K:K)</f>
        <v>Valerie Veyt</v>
      </c>
      <c r="B41" s="2" t="str">
        <f t="shared" si="2"/>
        <v>602</v>
      </c>
      <c r="C41" s="2" t="s">
        <v>222</v>
      </c>
      <c r="D41" s="2" t="s">
        <v>222</v>
      </c>
      <c r="E41" s="2" t="s">
        <v>151</v>
      </c>
      <c r="F41" s="2" t="s">
        <v>151</v>
      </c>
      <c r="G41" s="2" t="s">
        <v>53</v>
      </c>
      <c r="H41" s="2" t="s">
        <v>53</v>
      </c>
      <c r="I41" s="2" t="s">
        <v>54</v>
      </c>
      <c r="J41" s="2" t="s">
        <v>54</v>
      </c>
      <c r="K41" s="2" t="s">
        <v>223</v>
      </c>
      <c r="L41" s="2" t="s">
        <v>224</v>
      </c>
      <c r="M41" s="2" t="s">
        <v>56</v>
      </c>
      <c r="N41" s="2" t="s">
        <v>57</v>
      </c>
      <c r="O41" s="3">
        <v>15000</v>
      </c>
      <c r="P41" s="3">
        <v>15000</v>
      </c>
      <c r="Q41" s="3">
        <v>15000</v>
      </c>
      <c r="R41" s="3">
        <v>15000</v>
      </c>
      <c r="S41" s="3">
        <v>15000</v>
      </c>
      <c r="T41" s="3">
        <v>15000</v>
      </c>
      <c r="U41" s="3">
        <v>15000</v>
      </c>
      <c r="V41" s="3">
        <v>15000</v>
      </c>
      <c r="W41" s="3">
        <v>15000</v>
      </c>
      <c r="X41" s="3">
        <v>15000</v>
      </c>
      <c r="Y41" s="3">
        <v>15000</v>
      </c>
      <c r="Z41" s="3">
        <v>15000</v>
      </c>
      <c r="AA41" s="3">
        <v>180000</v>
      </c>
      <c r="AB41" s="8">
        <f>IF(N41="EUR",AA41,IF(N41="GBP",AA41/Rate!$C$3,AA41/Rate!$C$5))</f>
        <v>180000</v>
      </c>
      <c r="AC41" s="43">
        <f>IFERROR(VLOOKUP(K41,'4.2 Simplify Savings'!K:AB,18,0),0)</f>
        <v>0</v>
      </c>
      <c r="AD41" s="44">
        <f t="shared" si="3"/>
        <v>180000</v>
      </c>
    </row>
    <row r="42" spans="1:30" x14ac:dyDescent="0.3">
      <c r="A42" t="str">
        <f>_xlfn.XLOOKUP(B42*1,'Reference '!I:I,'Reference '!K:K)</f>
        <v>Valerie Veyt</v>
      </c>
      <c r="B42" s="2" t="str">
        <f t="shared" si="2"/>
        <v>602</v>
      </c>
      <c r="C42" s="2" t="s">
        <v>222</v>
      </c>
      <c r="D42" s="2" t="s">
        <v>222</v>
      </c>
      <c r="E42" s="2" t="s">
        <v>151</v>
      </c>
      <c r="F42" s="2" t="s">
        <v>151</v>
      </c>
      <c r="G42" s="2" t="s">
        <v>53</v>
      </c>
      <c r="H42" s="2" t="s">
        <v>53</v>
      </c>
      <c r="I42" s="2" t="s">
        <v>54</v>
      </c>
      <c r="J42" s="2" t="s">
        <v>54</v>
      </c>
      <c r="K42" s="2" t="s">
        <v>227</v>
      </c>
      <c r="L42" s="2" t="s">
        <v>228</v>
      </c>
      <c r="M42" s="2" t="s">
        <v>56</v>
      </c>
      <c r="N42" s="2" t="s">
        <v>57</v>
      </c>
      <c r="O42" s="3">
        <v>10000</v>
      </c>
      <c r="P42" s="3">
        <v>10000</v>
      </c>
      <c r="Q42" s="3">
        <v>10000</v>
      </c>
      <c r="R42" s="3">
        <v>10000</v>
      </c>
      <c r="S42" s="3">
        <v>10000</v>
      </c>
      <c r="T42" s="3">
        <v>10000</v>
      </c>
      <c r="U42" s="3">
        <v>10000</v>
      </c>
      <c r="V42" s="3">
        <v>10000</v>
      </c>
      <c r="W42" s="3">
        <v>10000</v>
      </c>
      <c r="X42" s="3">
        <v>10000</v>
      </c>
      <c r="Y42" s="3">
        <v>10000</v>
      </c>
      <c r="Z42" s="3">
        <v>10000</v>
      </c>
      <c r="AA42" s="3">
        <v>120000</v>
      </c>
      <c r="AB42" s="8">
        <f>IF(N42="EUR",AA42,IF(N42="GBP",AA42/Rate!$C$3,AA42/Rate!$C$5))</f>
        <v>120000</v>
      </c>
      <c r="AC42" s="43">
        <f>IFERROR(VLOOKUP(K42,'4.2 Simplify Savings'!K:AB,18,0),0)</f>
        <v>0</v>
      </c>
      <c r="AD42" s="44">
        <f t="shared" si="3"/>
        <v>120000</v>
      </c>
    </row>
    <row r="43" spans="1:30" x14ac:dyDescent="0.3">
      <c r="A43" t="str">
        <f>_xlfn.XLOOKUP(B43*1,'Reference '!I:I,'Reference '!K:K)</f>
        <v>Valerie Veyt</v>
      </c>
      <c r="B43" s="2" t="str">
        <f t="shared" si="2"/>
        <v>602</v>
      </c>
      <c r="C43" s="2" t="s">
        <v>239</v>
      </c>
      <c r="D43" s="2" t="s">
        <v>239</v>
      </c>
      <c r="E43" s="2" t="s">
        <v>151</v>
      </c>
      <c r="F43" s="2" t="s">
        <v>151</v>
      </c>
      <c r="G43" s="2" t="s">
        <v>53</v>
      </c>
      <c r="H43" s="2" t="s">
        <v>53</v>
      </c>
      <c r="I43" s="2" t="s">
        <v>54</v>
      </c>
      <c r="J43" s="2" t="s">
        <v>54</v>
      </c>
      <c r="K43" s="2" t="s">
        <v>240</v>
      </c>
      <c r="L43" s="2" t="s">
        <v>241</v>
      </c>
      <c r="M43" s="2" t="s">
        <v>56</v>
      </c>
      <c r="N43" s="2" t="s">
        <v>72</v>
      </c>
      <c r="O43" s="3">
        <v>17916.37</v>
      </c>
      <c r="P43" s="3">
        <v>17916.37</v>
      </c>
      <c r="Q43" s="3">
        <v>17916.37</v>
      </c>
      <c r="R43" s="3">
        <v>17916.37</v>
      </c>
      <c r="S43" s="3">
        <v>17916.37</v>
      </c>
      <c r="T43" s="3">
        <v>17916.37</v>
      </c>
      <c r="U43" s="3">
        <v>17916.37</v>
      </c>
      <c r="V43" s="3">
        <v>17916.37</v>
      </c>
      <c r="W43" s="3">
        <v>17916.37</v>
      </c>
      <c r="X43" s="3">
        <v>17916.37</v>
      </c>
      <c r="Y43" s="3">
        <v>17916.37</v>
      </c>
      <c r="Z43" s="3">
        <v>17916.37</v>
      </c>
      <c r="AA43" s="3">
        <v>214996.43999999997</v>
      </c>
      <c r="AB43" s="8">
        <f>IF(N43="EUR",AA43,IF(N43="GBP",AA43/Rate!$C$3,AA43/Rate!$C$5))</f>
        <v>247122.34482758617</v>
      </c>
      <c r="AC43" s="43">
        <f>IFERROR(VLOOKUP(K43,'4.2 Simplify Savings'!K:AB,18,0),0)</f>
        <v>0</v>
      </c>
      <c r="AD43" s="44">
        <f t="shared" si="3"/>
        <v>247122.34482758617</v>
      </c>
    </row>
    <row r="44" spans="1:30" x14ac:dyDescent="0.3">
      <c r="A44" t="str">
        <f>_xlfn.XLOOKUP(B44*1,'Reference '!I:I,'Reference '!K:K)</f>
        <v>Valerie Veyt</v>
      </c>
      <c r="B44" s="2" t="str">
        <f t="shared" si="2"/>
        <v>602</v>
      </c>
      <c r="C44" s="2" t="s">
        <v>239</v>
      </c>
      <c r="D44" s="2" t="s">
        <v>239</v>
      </c>
      <c r="E44" s="2" t="s">
        <v>151</v>
      </c>
      <c r="F44" s="2" t="s">
        <v>151</v>
      </c>
      <c r="G44" s="2" t="s">
        <v>53</v>
      </c>
      <c r="H44" s="2" t="s">
        <v>53</v>
      </c>
      <c r="I44" s="2" t="s">
        <v>244</v>
      </c>
      <c r="J44" s="2" t="s">
        <v>244</v>
      </c>
      <c r="K44" s="2" t="s">
        <v>245</v>
      </c>
      <c r="L44" s="2" t="s">
        <v>246</v>
      </c>
      <c r="M44" s="2" t="s">
        <v>56</v>
      </c>
      <c r="N44" s="2" t="s">
        <v>72</v>
      </c>
      <c r="O44" s="3">
        <v>23649.61</v>
      </c>
      <c r="P44" s="3">
        <v>23649.61</v>
      </c>
      <c r="Q44" s="3">
        <v>23649.61</v>
      </c>
      <c r="R44" s="3">
        <v>23649.61</v>
      </c>
      <c r="S44" s="3">
        <v>23649.61</v>
      </c>
      <c r="T44" s="3">
        <v>23649.61</v>
      </c>
      <c r="U44" s="3">
        <v>23649.61</v>
      </c>
      <c r="V44" s="3">
        <v>23649.61</v>
      </c>
      <c r="W44" s="3">
        <v>23649.61</v>
      </c>
      <c r="X44" s="3">
        <v>23649.61</v>
      </c>
      <c r="Y44" s="3">
        <v>23649.61</v>
      </c>
      <c r="Z44" s="3">
        <v>23649.61</v>
      </c>
      <c r="AA44" s="3">
        <v>283795.31999999995</v>
      </c>
      <c r="AB44" s="8">
        <f>IF(N44="EUR",AA44,IF(N44="GBP",AA44/Rate!$C$3,AA44/Rate!$C$5))</f>
        <v>326201.51724137925</v>
      </c>
      <c r="AC44" s="43">
        <f>IFERROR(VLOOKUP(K44,'4.2 Simplify Savings'!K:AB,18,0),0)</f>
        <v>0</v>
      </c>
      <c r="AD44" s="44">
        <f t="shared" si="3"/>
        <v>326201.51724137925</v>
      </c>
    </row>
    <row r="45" spans="1:30" x14ac:dyDescent="0.3">
      <c r="A45" t="str">
        <f>_xlfn.XLOOKUP(B45*1,'Reference '!I:I,'Reference '!K:K)</f>
        <v>Valerie Veyt</v>
      </c>
      <c r="B45" s="2" t="str">
        <f t="shared" si="2"/>
        <v>602</v>
      </c>
      <c r="C45" s="2" t="s">
        <v>239</v>
      </c>
      <c r="D45" s="2" t="s">
        <v>239</v>
      </c>
      <c r="E45" s="2" t="s">
        <v>151</v>
      </c>
      <c r="F45" s="2" t="s">
        <v>151</v>
      </c>
      <c r="G45" s="2" t="s">
        <v>53</v>
      </c>
      <c r="H45" s="2" t="s">
        <v>53</v>
      </c>
      <c r="I45" s="2" t="s">
        <v>54</v>
      </c>
      <c r="J45" s="2" t="s">
        <v>54</v>
      </c>
      <c r="K45" s="2" t="s">
        <v>247</v>
      </c>
      <c r="L45" s="2" t="s">
        <v>248</v>
      </c>
      <c r="M45" s="2" t="s">
        <v>56</v>
      </c>
      <c r="N45" s="2" t="s">
        <v>72</v>
      </c>
      <c r="O45" s="3">
        <v>4013.27</v>
      </c>
      <c r="P45" s="3">
        <v>4013.27</v>
      </c>
      <c r="Q45" s="3">
        <v>4013.27</v>
      </c>
      <c r="R45" s="3">
        <v>4013.27</v>
      </c>
      <c r="S45" s="3">
        <v>4013.27</v>
      </c>
      <c r="T45" s="3">
        <v>4013.27</v>
      </c>
      <c r="U45" s="3">
        <v>4013.27</v>
      </c>
      <c r="V45" s="3">
        <v>4013.27</v>
      </c>
      <c r="W45" s="3">
        <v>4013.27</v>
      </c>
      <c r="X45" s="3">
        <v>4013.27</v>
      </c>
      <c r="Y45" s="3">
        <v>4013.27</v>
      </c>
      <c r="Z45" s="3">
        <v>4013.27</v>
      </c>
      <c r="AA45" s="3">
        <v>48159.239999999991</v>
      </c>
      <c r="AB45" s="8">
        <f>IF(N45="EUR",AA45,IF(N45="GBP",AA45/Rate!$C$3,AA45/Rate!$C$5))</f>
        <v>55355.448275862058</v>
      </c>
      <c r="AC45" s="43">
        <f>IFERROR(VLOOKUP(K45,'4.2 Simplify Savings'!K:AB,18,0),0)</f>
        <v>0</v>
      </c>
      <c r="AD45" s="44">
        <f t="shared" si="3"/>
        <v>55355.448275862058</v>
      </c>
    </row>
    <row r="46" spans="1:30" x14ac:dyDescent="0.3">
      <c r="A46" t="str">
        <f>_xlfn.XLOOKUP(B46*1,'Reference '!I:I,'Reference '!K:K)</f>
        <v>Valerie Veyt</v>
      </c>
      <c r="B46" s="2" t="str">
        <f t="shared" si="2"/>
        <v>602</v>
      </c>
      <c r="C46" s="2" t="s">
        <v>239</v>
      </c>
      <c r="D46" s="2" t="s">
        <v>239</v>
      </c>
      <c r="E46" s="2" t="s">
        <v>151</v>
      </c>
      <c r="F46" s="2" t="s">
        <v>151</v>
      </c>
      <c r="G46" s="2" t="s">
        <v>53</v>
      </c>
      <c r="H46" s="2" t="s">
        <v>53</v>
      </c>
      <c r="I46" s="2" t="s">
        <v>54</v>
      </c>
      <c r="J46" s="2" t="s">
        <v>54</v>
      </c>
      <c r="K46" s="2" t="s">
        <v>251</v>
      </c>
      <c r="L46" s="2" t="s">
        <v>252</v>
      </c>
      <c r="M46" s="2" t="s">
        <v>56</v>
      </c>
      <c r="N46" s="2" t="s">
        <v>72</v>
      </c>
      <c r="O46" s="3">
        <v>24366.26</v>
      </c>
      <c r="P46" s="3">
        <v>24366.26</v>
      </c>
      <c r="Q46" s="3">
        <v>24366.26</v>
      </c>
      <c r="R46" s="3">
        <v>24366.26</v>
      </c>
      <c r="S46" s="3">
        <v>24366.26</v>
      </c>
      <c r="T46" s="3">
        <v>24366.26</v>
      </c>
      <c r="U46" s="3">
        <v>24366.26</v>
      </c>
      <c r="V46" s="3">
        <v>24366.26</v>
      </c>
      <c r="W46" s="3">
        <v>24366.26</v>
      </c>
      <c r="X46" s="3">
        <v>24366.26</v>
      </c>
      <c r="Y46" s="3">
        <v>24366.26</v>
      </c>
      <c r="Z46" s="3">
        <v>24366.26</v>
      </c>
      <c r="AA46" s="3">
        <v>292395.12000000005</v>
      </c>
      <c r="AB46" s="8">
        <f>IF(N46="EUR",AA46,IF(N46="GBP",AA46/Rate!$C$3,AA46/Rate!$C$5))</f>
        <v>336086.34482758626</v>
      </c>
      <c r="AC46" s="43">
        <f>IFERROR(VLOOKUP(K46,'4.2 Simplify Savings'!K:AB,18,0),0)</f>
        <v>0</v>
      </c>
      <c r="AD46" s="44">
        <f t="shared" si="3"/>
        <v>336086.34482758626</v>
      </c>
    </row>
    <row r="47" spans="1:30" x14ac:dyDescent="0.3">
      <c r="A47" t="str">
        <f>_xlfn.XLOOKUP(B47*1,'Reference '!I:I,'Reference '!K:K)</f>
        <v>Valerie Veyt</v>
      </c>
      <c r="B47" s="2" t="str">
        <f t="shared" si="2"/>
        <v>602</v>
      </c>
      <c r="C47" s="2" t="s">
        <v>239</v>
      </c>
      <c r="D47" s="2" t="s">
        <v>239</v>
      </c>
      <c r="E47" s="2" t="s">
        <v>151</v>
      </c>
      <c r="F47" s="2" t="s">
        <v>151</v>
      </c>
      <c r="G47" s="2" t="s">
        <v>53</v>
      </c>
      <c r="H47" s="2" t="s">
        <v>53</v>
      </c>
      <c r="I47" s="2" t="s">
        <v>54</v>
      </c>
      <c r="J47" s="2" t="s">
        <v>54</v>
      </c>
      <c r="K47" s="2" t="s">
        <v>253</v>
      </c>
      <c r="L47" s="2" t="s">
        <v>254</v>
      </c>
      <c r="M47" s="2" t="s">
        <v>56</v>
      </c>
      <c r="N47" s="2" t="s">
        <v>72</v>
      </c>
      <c r="O47" s="3">
        <v>4299.93</v>
      </c>
      <c r="P47" s="3">
        <v>4299.93</v>
      </c>
      <c r="Q47" s="3">
        <v>4299.93</v>
      </c>
      <c r="R47" s="3">
        <v>4299.93</v>
      </c>
      <c r="S47" s="3">
        <v>4299.93</v>
      </c>
      <c r="T47" s="3">
        <v>4299.93</v>
      </c>
      <c r="U47" s="3">
        <v>4299.93</v>
      </c>
      <c r="V47" s="3">
        <v>4299.93</v>
      </c>
      <c r="W47" s="3">
        <v>4299.93</v>
      </c>
      <c r="X47" s="3">
        <v>4299.93</v>
      </c>
      <c r="Y47" s="3">
        <v>4299.93</v>
      </c>
      <c r="Z47" s="3">
        <v>4299.93</v>
      </c>
      <c r="AA47" s="3">
        <v>51599.16</v>
      </c>
      <c r="AB47" s="8">
        <f>IF(N47="EUR",AA47,IF(N47="GBP",AA47/Rate!$C$3,AA47/Rate!$C$5))</f>
        <v>59309.379310344833</v>
      </c>
      <c r="AC47" s="43">
        <f>IFERROR(VLOOKUP(K47,'4.2 Simplify Savings'!K:AB,18,0),0)</f>
        <v>0</v>
      </c>
      <c r="AD47" s="44">
        <f t="shared" si="3"/>
        <v>59309.379310344833</v>
      </c>
    </row>
    <row r="48" spans="1:30" x14ac:dyDescent="0.3">
      <c r="A48" t="str">
        <f>_xlfn.XLOOKUP(B48*1,'Reference '!I:I,'Reference '!K:K)</f>
        <v>Valerie Veyt</v>
      </c>
      <c r="B48" s="2" t="str">
        <f t="shared" si="2"/>
        <v>602</v>
      </c>
      <c r="C48" s="2" t="s">
        <v>239</v>
      </c>
      <c r="D48" s="2" t="s">
        <v>239</v>
      </c>
      <c r="E48" s="2" t="s">
        <v>151</v>
      </c>
      <c r="F48" s="2" t="s">
        <v>151</v>
      </c>
      <c r="G48" s="2" t="s">
        <v>53</v>
      </c>
      <c r="H48" s="2" t="s">
        <v>53</v>
      </c>
      <c r="I48" s="2" t="s">
        <v>54</v>
      </c>
      <c r="J48" s="2" t="s">
        <v>54</v>
      </c>
      <c r="K48" s="2" t="s">
        <v>257</v>
      </c>
      <c r="L48" s="2" t="s">
        <v>256</v>
      </c>
      <c r="M48" s="2" t="s">
        <v>56</v>
      </c>
      <c r="N48" s="2" t="s">
        <v>72</v>
      </c>
      <c r="O48" s="3">
        <v>7166.55</v>
      </c>
      <c r="P48" s="3">
        <v>7166.55</v>
      </c>
      <c r="Q48" s="3">
        <v>7166.55</v>
      </c>
      <c r="R48" s="3">
        <v>7166.55</v>
      </c>
      <c r="S48" s="3">
        <v>7166.55</v>
      </c>
      <c r="T48" s="3">
        <v>7166.55</v>
      </c>
      <c r="U48" s="3">
        <v>7166.55</v>
      </c>
      <c r="V48" s="3">
        <v>7166.55</v>
      </c>
      <c r="W48" s="3">
        <v>7166.55</v>
      </c>
      <c r="X48" s="3">
        <v>7166.55</v>
      </c>
      <c r="Y48" s="3">
        <v>7166.55</v>
      </c>
      <c r="Z48" s="3">
        <v>7166.55</v>
      </c>
      <c r="AA48" s="3">
        <v>85998.60000000002</v>
      </c>
      <c r="AB48" s="8">
        <f>IF(N48="EUR",AA48,IF(N48="GBP",AA48/Rate!$C$3,AA48/Rate!$C$5))</f>
        <v>98848.965517241406</v>
      </c>
      <c r="AC48" s="43">
        <f>IFERROR(VLOOKUP(K48,'4.2 Simplify Savings'!K:AB,18,0),0)</f>
        <v>0</v>
      </c>
      <c r="AD48" s="44">
        <f t="shared" si="3"/>
        <v>98848.965517241406</v>
      </c>
    </row>
    <row r="49" spans="1:30" x14ac:dyDescent="0.3">
      <c r="A49" t="str">
        <f>_xlfn.XLOOKUP(B49*1,'Reference '!I:I,'Reference '!K:K)</f>
        <v>Valerie Veyt</v>
      </c>
      <c r="B49" s="2" t="str">
        <f t="shared" si="2"/>
        <v>602</v>
      </c>
      <c r="C49" s="2" t="s">
        <v>239</v>
      </c>
      <c r="D49" s="2" t="s">
        <v>239</v>
      </c>
      <c r="E49" s="2" t="s">
        <v>151</v>
      </c>
      <c r="F49" s="2" t="s">
        <v>151</v>
      </c>
      <c r="G49" s="2" t="s">
        <v>53</v>
      </c>
      <c r="H49" s="2" t="s">
        <v>53</v>
      </c>
      <c r="I49" s="2" t="s">
        <v>54</v>
      </c>
      <c r="J49" s="2" t="s">
        <v>54</v>
      </c>
      <c r="K49" s="2" t="s">
        <v>264</v>
      </c>
      <c r="L49" s="2" t="s">
        <v>265</v>
      </c>
      <c r="M49" s="2" t="s">
        <v>56</v>
      </c>
      <c r="N49" s="2" t="s">
        <v>72</v>
      </c>
      <c r="O49" s="3">
        <v>11036.48</v>
      </c>
      <c r="P49" s="3">
        <v>11036.48</v>
      </c>
      <c r="Q49" s="3">
        <v>11036.48</v>
      </c>
      <c r="R49" s="3">
        <v>11036.48</v>
      </c>
      <c r="S49" s="3">
        <v>11036.48</v>
      </c>
      <c r="T49" s="3">
        <v>11036.48</v>
      </c>
      <c r="U49" s="3">
        <v>11036.48</v>
      </c>
      <c r="V49" s="3">
        <v>11036.48</v>
      </c>
      <c r="W49" s="3">
        <v>11036.48</v>
      </c>
      <c r="X49" s="3">
        <v>11036.48</v>
      </c>
      <c r="Y49" s="3">
        <v>11036.48</v>
      </c>
      <c r="Z49" s="3">
        <v>11036.48</v>
      </c>
      <c r="AA49" s="3">
        <v>132437.75999999998</v>
      </c>
      <c r="AB49" s="8">
        <f>IF(N49="EUR",AA49,IF(N49="GBP",AA49/Rate!$C$3,AA49/Rate!$C$5))</f>
        <v>152227.31034482757</v>
      </c>
      <c r="AC49" s="43">
        <f>IFERROR(VLOOKUP(K49,'4.2 Simplify Savings'!K:AB,18,0),0)</f>
        <v>0</v>
      </c>
      <c r="AD49" s="44">
        <f t="shared" si="3"/>
        <v>152227.31034482757</v>
      </c>
    </row>
    <row r="50" spans="1:30" x14ac:dyDescent="0.3">
      <c r="A50" t="str">
        <f>_xlfn.XLOOKUP(B50*1,'Reference '!I:I,'Reference '!K:K)</f>
        <v>Mael Delmas</v>
      </c>
      <c r="B50" s="2" t="str">
        <f t="shared" si="2"/>
        <v>604</v>
      </c>
      <c r="C50" s="2" t="s">
        <v>271</v>
      </c>
      <c r="D50" s="2" t="s">
        <v>271</v>
      </c>
      <c r="E50" s="2" t="s">
        <v>151</v>
      </c>
      <c r="F50" s="2" t="s">
        <v>151</v>
      </c>
      <c r="G50" s="2" t="s">
        <v>53</v>
      </c>
      <c r="H50" s="2" t="s">
        <v>53</v>
      </c>
      <c r="I50" s="2" t="s">
        <v>54</v>
      </c>
      <c r="J50" s="2" t="s">
        <v>54</v>
      </c>
      <c r="K50" s="2" t="s">
        <v>272</v>
      </c>
      <c r="L50" s="2" t="s">
        <v>273</v>
      </c>
      <c r="M50" s="2" t="s">
        <v>56</v>
      </c>
      <c r="N50" s="2" t="s">
        <v>57</v>
      </c>
      <c r="O50" s="3">
        <v>2316</v>
      </c>
      <c r="P50" s="3">
        <v>2316</v>
      </c>
      <c r="Q50" s="3">
        <v>2316</v>
      </c>
      <c r="R50" s="3">
        <v>2316</v>
      </c>
      <c r="S50" s="3">
        <v>2316</v>
      </c>
      <c r="T50" s="3">
        <v>2316</v>
      </c>
      <c r="U50" s="3">
        <v>2316</v>
      </c>
      <c r="V50" s="3">
        <v>2316</v>
      </c>
      <c r="W50" s="3">
        <v>2316</v>
      </c>
      <c r="X50" s="3">
        <v>2316</v>
      </c>
      <c r="Y50" s="3">
        <v>2316</v>
      </c>
      <c r="Z50" s="3">
        <v>2316</v>
      </c>
      <c r="AA50" s="3">
        <v>27792</v>
      </c>
      <c r="AB50" s="8">
        <f>IF(N50="EUR",AA50,IF(N50="GBP",AA50/Rate!$C$3,AA50/Rate!$C$5))</f>
        <v>27792</v>
      </c>
      <c r="AC50" s="43">
        <f>IFERROR(VLOOKUP(K50,'4.2 Simplify Savings'!K:AB,18,0),0)</f>
        <v>0</v>
      </c>
      <c r="AD50" s="44">
        <f t="shared" si="3"/>
        <v>27792</v>
      </c>
    </row>
    <row r="51" spans="1:30" x14ac:dyDescent="0.3">
      <c r="A51" t="str">
        <f>_xlfn.XLOOKUP(B51*1,'Reference '!I:I,'Reference '!K:K)</f>
        <v>Mael Delmas</v>
      </c>
      <c r="B51" s="2" t="str">
        <f t="shared" si="2"/>
        <v>604</v>
      </c>
      <c r="C51" s="2" t="s">
        <v>274</v>
      </c>
      <c r="D51" s="2" t="s">
        <v>274</v>
      </c>
      <c r="E51" s="2" t="s">
        <v>151</v>
      </c>
      <c r="F51" s="2" t="s">
        <v>151</v>
      </c>
      <c r="G51" s="2" t="s">
        <v>53</v>
      </c>
      <c r="H51" s="2" t="s">
        <v>53</v>
      </c>
      <c r="I51" s="2" t="s">
        <v>54</v>
      </c>
      <c r="J51" s="2" t="s">
        <v>54</v>
      </c>
      <c r="K51" s="2" t="s">
        <v>275</v>
      </c>
      <c r="L51" s="2" t="s">
        <v>276</v>
      </c>
      <c r="M51" s="2" t="s">
        <v>56</v>
      </c>
      <c r="N51" s="2" t="s">
        <v>72</v>
      </c>
      <c r="O51" s="3">
        <v>1820</v>
      </c>
      <c r="P51" s="3">
        <v>1820</v>
      </c>
      <c r="Q51" s="3">
        <v>1820</v>
      </c>
      <c r="R51" s="3">
        <v>1820</v>
      </c>
      <c r="S51" s="3">
        <v>1820</v>
      </c>
      <c r="T51" s="3">
        <v>1950</v>
      </c>
      <c r="U51" s="3">
        <v>1950</v>
      </c>
      <c r="V51" s="3">
        <v>1950</v>
      </c>
      <c r="W51" s="3">
        <v>1950</v>
      </c>
      <c r="X51" s="3">
        <v>1950</v>
      </c>
      <c r="Y51" s="3">
        <v>1950</v>
      </c>
      <c r="Z51" s="3">
        <v>1950</v>
      </c>
      <c r="AA51" s="3">
        <v>22750</v>
      </c>
      <c r="AB51" s="8">
        <f>IF(N51="EUR",AA51,IF(N51="GBP",AA51/Rate!$C$3,AA51/Rate!$C$5))</f>
        <v>26149.425287356324</v>
      </c>
      <c r="AC51" s="43">
        <f>IFERROR(VLOOKUP(K51,'4.2 Simplify Savings'!K:AB,18,0),0)</f>
        <v>0</v>
      </c>
      <c r="AD51" s="44">
        <f t="shared" si="3"/>
        <v>26149.425287356324</v>
      </c>
    </row>
    <row r="52" spans="1:30" x14ac:dyDescent="0.3">
      <c r="A52" t="str">
        <f>_xlfn.XLOOKUP(B52*1,'Reference '!I:I,'Reference '!K:K)</f>
        <v>Mael Delmas</v>
      </c>
      <c r="B52" s="2" t="str">
        <f t="shared" si="2"/>
        <v>604</v>
      </c>
      <c r="C52" s="2" t="s">
        <v>274</v>
      </c>
      <c r="D52" s="2" t="s">
        <v>274</v>
      </c>
      <c r="E52" s="2" t="s">
        <v>151</v>
      </c>
      <c r="F52" s="2" t="s">
        <v>151</v>
      </c>
      <c r="G52" s="2" t="s">
        <v>53</v>
      </c>
      <c r="H52" s="2" t="s">
        <v>53</v>
      </c>
      <c r="I52" s="2" t="s">
        <v>277</v>
      </c>
      <c r="J52" s="2" t="s">
        <v>277</v>
      </c>
      <c r="K52" s="2" t="s">
        <v>278</v>
      </c>
      <c r="L52" s="2" t="s">
        <v>273</v>
      </c>
      <c r="M52" s="2" t="s">
        <v>56</v>
      </c>
      <c r="N52" s="2" t="s">
        <v>72</v>
      </c>
      <c r="O52" s="3">
        <v>20500</v>
      </c>
      <c r="P52" s="3">
        <v>20500</v>
      </c>
      <c r="Q52" s="3">
        <v>20500</v>
      </c>
      <c r="R52" s="3">
        <v>20500</v>
      </c>
      <c r="S52" s="3">
        <v>20500</v>
      </c>
      <c r="T52" s="3">
        <v>20500</v>
      </c>
      <c r="U52" s="3">
        <v>20500</v>
      </c>
      <c r="V52" s="3">
        <v>20500</v>
      </c>
      <c r="W52" s="3">
        <v>20500</v>
      </c>
      <c r="X52" s="3">
        <v>20500</v>
      </c>
      <c r="Y52" s="3">
        <v>20500</v>
      </c>
      <c r="Z52" s="3">
        <v>20500</v>
      </c>
      <c r="AA52" s="3">
        <v>246000</v>
      </c>
      <c r="AB52" s="8">
        <f>IF(N52="EUR",AA52,IF(N52="GBP",AA52/Rate!$C$3,AA52/Rate!$C$5))</f>
        <v>282758.62068965519</v>
      </c>
      <c r="AC52" s="43">
        <f>IFERROR(VLOOKUP(K52,'4.2 Simplify Savings'!K:AB,18,0),0)</f>
        <v>-14302.560000000005</v>
      </c>
      <c r="AD52" s="44">
        <f t="shared" si="3"/>
        <v>268456.06068965519</v>
      </c>
    </row>
    <row r="53" spans="1:30" x14ac:dyDescent="0.3">
      <c r="A53" t="str">
        <f>_xlfn.XLOOKUP(B53*1,'Reference '!I:I,'Reference '!K:K)</f>
        <v>Mael Delmas</v>
      </c>
      <c r="B53" s="2" t="str">
        <f t="shared" si="2"/>
        <v>604</v>
      </c>
      <c r="C53" s="2" t="s">
        <v>274</v>
      </c>
      <c r="D53" s="2" t="s">
        <v>274</v>
      </c>
      <c r="E53" s="2" t="s">
        <v>151</v>
      </c>
      <c r="F53" s="2" t="s">
        <v>151</v>
      </c>
      <c r="G53" s="2" t="s">
        <v>53</v>
      </c>
      <c r="H53" s="2" t="s">
        <v>53</v>
      </c>
      <c r="I53" s="2" t="s">
        <v>290</v>
      </c>
      <c r="J53" s="2" t="s">
        <v>290</v>
      </c>
      <c r="K53" s="2" t="s">
        <v>307</v>
      </c>
      <c r="L53" s="2" t="s">
        <v>308</v>
      </c>
      <c r="M53" s="2" t="s">
        <v>56</v>
      </c>
      <c r="N53" s="2" t="s">
        <v>72</v>
      </c>
      <c r="O53" s="3">
        <v>17262.099999999999</v>
      </c>
      <c r="P53" s="3">
        <v>17262.099999999999</v>
      </c>
      <c r="Q53" s="3">
        <v>17262.099999999999</v>
      </c>
      <c r="R53" s="3">
        <v>17262.099999999999</v>
      </c>
      <c r="S53" s="3">
        <v>17262.099999999999</v>
      </c>
      <c r="T53" s="3">
        <v>17262.099999999999</v>
      </c>
      <c r="U53" s="3">
        <v>17262.099999999999</v>
      </c>
      <c r="V53" s="3">
        <v>17262.099999999999</v>
      </c>
      <c r="W53" s="3">
        <v>17262.63</v>
      </c>
      <c r="X53" s="3">
        <v>17263.16</v>
      </c>
      <c r="Y53" s="3">
        <v>17263.689999999999</v>
      </c>
      <c r="Z53" s="3">
        <v>17264.22</v>
      </c>
      <c r="AA53" s="3">
        <v>207150.50000000003</v>
      </c>
      <c r="AB53" s="8">
        <f>IF(N53="EUR",AA53,IF(N53="GBP",AA53/Rate!$C$3,AA53/Rate!$C$5))</f>
        <v>238104.02298850578</v>
      </c>
      <c r="AC53" s="43">
        <f>IFERROR(VLOOKUP(K53,'4.2 Simplify Savings'!K:AB,18,0),0)</f>
        <v>-37884.35</v>
      </c>
      <c r="AD53" s="44">
        <f t="shared" si="3"/>
        <v>200219.67298850577</v>
      </c>
    </row>
    <row r="54" spans="1:30" x14ac:dyDescent="0.3">
      <c r="A54" t="str">
        <f>_xlfn.XLOOKUP(B54*1,'Reference '!I:I,'Reference '!K:K)</f>
        <v>Mael Delmas</v>
      </c>
      <c r="B54" s="2" t="str">
        <f t="shared" si="2"/>
        <v>604</v>
      </c>
      <c r="C54" s="2" t="s">
        <v>274</v>
      </c>
      <c r="D54" s="2" t="s">
        <v>274</v>
      </c>
      <c r="E54" s="2" t="s">
        <v>151</v>
      </c>
      <c r="F54" s="2" t="s">
        <v>151</v>
      </c>
      <c r="G54" s="2" t="s">
        <v>53</v>
      </c>
      <c r="H54" s="2" t="s">
        <v>53</v>
      </c>
      <c r="I54" s="2" t="s">
        <v>309</v>
      </c>
      <c r="J54" s="2" t="s">
        <v>309</v>
      </c>
      <c r="K54" s="2" t="s">
        <v>310</v>
      </c>
      <c r="L54" s="2" t="s">
        <v>311</v>
      </c>
      <c r="M54" s="2" t="s">
        <v>56</v>
      </c>
      <c r="N54" s="2" t="s">
        <v>72</v>
      </c>
      <c r="O54" s="3">
        <v>10500</v>
      </c>
      <c r="P54" s="3">
        <v>10500</v>
      </c>
      <c r="Q54" s="3">
        <v>10500</v>
      </c>
      <c r="R54" s="3">
        <v>10500</v>
      </c>
      <c r="S54" s="3">
        <v>10500</v>
      </c>
      <c r="T54" s="3">
        <v>10500</v>
      </c>
      <c r="U54" s="3">
        <v>10500</v>
      </c>
      <c r="V54" s="3">
        <v>10500</v>
      </c>
      <c r="W54" s="3">
        <v>10500</v>
      </c>
      <c r="X54" s="3">
        <v>10500</v>
      </c>
      <c r="Y54" s="3">
        <v>10500</v>
      </c>
      <c r="Z54" s="3">
        <v>10500</v>
      </c>
      <c r="AA54" s="3">
        <v>126000</v>
      </c>
      <c r="AB54" s="8">
        <f>IF(N54="EUR",AA54,IF(N54="GBP",AA54/Rate!$C$3,AA54/Rate!$C$5))</f>
        <v>144827.58620689655</v>
      </c>
      <c r="AC54" s="43">
        <f>IFERROR(VLOOKUP(K54,'4.2 Simplify Savings'!K:AB,18,0),0)</f>
        <v>-21977.16</v>
      </c>
      <c r="AD54" s="44">
        <f t="shared" si="3"/>
        <v>122850.42620689655</v>
      </c>
    </row>
    <row r="55" spans="1:30" x14ac:dyDescent="0.3">
      <c r="A55" t="str">
        <f>_xlfn.XLOOKUP(B55*1,'Reference '!I:I,'Reference '!K:K)</f>
        <v>Mael Delmas</v>
      </c>
      <c r="B55" s="2" t="str">
        <f t="shared" si="2"/>
        <v>604</v>
      </c>
      <c r="C55" s="2" t="s">
        <v>274</v>
      </c>
      <c r="D55" s="2" t="s">
        <v>274</v>
      </c>
      <c r="E55" s="2" t="s">
        <v>151</v>
      </c>
      <c r="F55" s="2" t="s">
        <v>151</v>
      </c>
      <c r="G55" s="2" t="s">
        <v>53</v>
      </c>
      <c r="H55" s="2" t="s">
        <v>53</v>
      </c>
      <c r="I55" s="2" t="s">
        <v>54</v>
      </c>
      <c r="J55" s="2" t="s">
        <v>54</v>
      </c>
      <c r="K55" s="2" t="s">
        <v>312</v>
      </c>
      <c r="L55" s="2" t="s">
        <v>311</v>
      </c>
      <c r="M55" s="2" t="s">
        <v>56</v>
      </c>
      <c r="N55" s="2" t="s">
        <v>72</v>
      </c>
      <c r="O55" s="3">
        <v>4000</v>
      </c>
      <c r="P55" s="3">
        <v>4000</v>
      </c>
      <c r="Q55" s="3">
        <v>4000</v>
      </c>
      <c r="R55" s="3">
        <v>4000</v>
      </c>
      <c r="S55" s="3">
        <v>4000</v>
      </c>
      <c r="T55" s="3">
        <v>4000</v>
      </c>
      <c r="U55" s="3">
        <v>4000</v>
      </c>
      <c r="V55" s="3">
        <v>4000</v>
      </c>
      <c r="W55" s="3">
        <v>4000</v>
      </c>
      <c r="X55" s="3">
        <v>4000</v>
      </c>
      <c r="Y55" s="3">
        <v>4000</v>
      </c>
      <c r="Z55" s="3">
        <v>4000</v>
      </c>
      <c r="AA55" s="3">
        <v>48000</v>
      </c>
      <c r="AB55" s="8">
        <f>IF(N55="EUR",AA55,IF(N55="GBP",AA55/Rate!$C$3,AA55/Rate!$C$5))</f>
        <v>55172.413793103449</v>
      </c>
      <c r="AC55" s="43">
        <f>IFERROR(VLOOKUP(K55,'4.2 Simplify Savings'!K:AB,18,0),0)</f>
        <v>-8372.2800000000025</v>
      </c>
      <c r="AD55" s="44">
        <f t="shared" si="3"/>
        <v>46800.13379310345</v>
      </c>
    </row>
    <row r="56" spans="1:30" x14ac:dyDescent="0.3">
      <c r="A56" t="str">
        <f>_xlfn.XLOOKUP(B56*1,'Reference '!I:I,'Reference '!K:K)</f>
        <v>Mael Delmas</v>
      </c>
      <c r="B56" s="2" t="str">
        <f t="shared" si="2"/>
        <v>604</v>
      </c>
      <c r="C56" s="2" t="s">
        <v>274</v>
      </c>
      <c r="D56" s="2" t="s">
        <v>274</v>
      </c>
      <c r="E56" s="2" t="s">
        <v>151</v>
      </c>
      <c r="F56" s="2" t="s">
        <v>151</v>
      </c>
      <c r="G56" s="2" t="s">
        <v>53</v>
      </c>
      <c r="H56" s="2" t="s">
        <v>53</v>
      </c>
      <c r="I56" s="2" t="s">
        <v>54</v>
      </c>
      <c r="J56" s="2" t="s">
        <v>54</v>
      </c>
      <c r="K56" s="2" t="s">
        <v>314</v>
      </c>
      <c r="L56" s="2"/>
      <c r="M56" s="2" t="s">
        <v>56</v>
      </c>
      <c r="N56" s="2" t="s">
        <v>72</v>
      </c>
      <c r="O56" s="3">
        <v>5000</v>
      </c>
      <c r="P56" s="3">
        <v>5000</v>
      </c>
      <c r="Q56" s="3">
        <v>5000</v>
      </c>
      <c r="R56" s="3">
        <v>5000</v>
      </c>
      <c r="S56" s="3">
        <v>5000</v>
      </c>
      <c r="T56" s="3">
        <v>5000</v>
      </c>
      <c r="U56" s="3">
        <v>5000</v>
      </c>
      <c r="V56" s="3">
        <v>5000</v>
      </c>
      <c r="W56" s="3">
        <v>5000</v>
      </c>
      <c r="X56" s="3">
        <v>5000</v>
      </c>
      <c r="Y56" s="3">
        <v>5000</v>
      </c>
      <c r="Z56" s="3">
        <v>5000</v>
      </c>
      <c r="AA56" s="3">
        <v>60000</v>
      </c>
      <c r="AB56" s="8">
        <f>IF(N56="EUR",AA56,IF(N56="GBP",AA56/Rate!$C$3,AA56/Rate!$C$5))</f>
        <v>68965.517241379304</v>
      </c>
      <c r="AC56" s="43">
        <f>IFERROR(VLOOKUP(K56,'4.2 Simplify Savings'!K:AB,18,0),0)</f>
        <v>-13953.719999999996</v>
      </c>
      <c r="AD56" s="44">
        <f t="shared" si="3"/>
        <v>55011.79724137931</v>
      </c>
    </row>
    <row r="57" spans="1:30" x14ac:dyDescent="0.3">
      <c r="A57" t="str">
        <f>_xlfn.XLOOKUP(B57*1,'Reference '!I:I,'Reference '!K:K)</f>
        <v>Olivier Lepret</v>
      </c>
      <c r="B57" s="2" t="str">
        <f t="shared" si="2"/>
        <v>606</v>
      </c>
      <c r="C57" s="2" t="s">
        <v>325</v>
      </c>
      <c r="D57" s="2" t="s">
        <v>325</v>
      </c>
      <c r="E57" s="2" t="s">
        <v>151</v>
      </c>
      <c r="F57" s="2" t="s">
        <v>151</v>
      </c>
      <c r="G57" s="2" t="s">
        <v>53</v>
      </c>
      <c r="H57" s="2" t="s">
        <v>53</v>
      </c>
      <c r="I57" s="2" t="s">
        <v>54</v>
      </c>
      <c r="J57" s="2" t="s">
        <v>54</v>
      </c>
      <c r="K57" s="2" t="s">
        <v>326</v>
      </c>
      <c r="L57" s="2" t="s">
        <v>327</v>
      </c>
      <c r="M57" s="2" t="s">
        <v>56</v>
      </c>
      <c r="N57" s="2" t="s">
        <v>57</v>
      </c>
      <c r="O57" s="3">
        <v>3833</v>
      </c>
      <c r="P57" s="3">
        <v>3833</v>
      </c>
      <c r="Q57" s="3">
        <v>3833</v>
      </c>
      <c r="R57" s="3">
        <v>3833</v>
      </c>
      <c r="S57" s="3">
        <v>3833</v>
      </c>
      <c r="T57" s="3">
        <v>3833</v>
      </c>
      <c r="U57" s="3">
        <v>3833</v>
      </c>
      <c r="V57" s="3">
        <v>3833</v>
      </c>
      <c r="W57" s="3">
        <v>3833</v>
      </c>
      <c r="X57" s="3">
        <v>3833</v>
      </c>
      <c r="Y57" s="3">
        <v>3833</v>
      </c>
      <c r="Z57" s="3">
        <v>3833</v>
      </c>
      <c r="AA57" s="3">
        <v>45996</v>
      </c>
      <c r="AB57" s="8">
        <f>IF(N57="EUR",AA57,IF(N57="GBP",AA57/Rate!$C$3,AA57/Rate!$C$5))</f>
        <v>45996</v>
      </c>
      <c r="AC57" s="43">
        <f>IFERROR(VLOOKUP(K57,'4.2 Simplify Savings'!K:AB,18,0),0)</f>
        <v>0</v>
      </c>
      <c r="AD57" s="44">
        <f t="shared" si="3"/>
        <v>45996</v>
      </c>
    </row>
    <row r="58" spans="1:30" x14ac:dyDescent="0.3">
      <c r="A58" t="str">
        <f>_xlfn.XLOOKUP(B58*1,'Reference '!I:I,'Reference '!K:K)</f>
        <v>Olivier Lepret</v>
      </c>
      <c r="B58" s="2" t="str">
        <f t="shared" si="2"/>
        <v>606</v>
      </c>
      <c r="C58" s="2" t="s">
        <v>325</v>
      </c>
      <c r="D58" s="2" t="s">
        <v>325</v>
      </c>
      <c r="E58" s="2" t="s">
        <v>151</v>
      </c>
      <c r="F58" s="2" t="s">
        <v>151</v>
      </c>
      <c r="G58" s="2" t="s">
        <v>53</v>
      </c>
      <c r="H58" s="2" t="s">
        <v>53</v>
      </c>
      <c r="I58" s="2" t="s">
        <v>54</v>
      </c>
      <c r="J58" s="2" t="s">
        <v>54</v>
      </c>
      <c r="K58" s="2" t="s">
        <v>332</v>
      </c>
      <c r="L58" s="2" t="s">
        <v>333</v>
      </c>
      <c r="M58" s="2" t="s">
        <v>56</v>
      </c>
      <c r="N58" s="2" t="s">
        <v>57</v>
      </c>
      <c r="O58" s="3">
        <v>11667</v>
      </c>
      <c r="P58" s="3">
        <v>11667</v>
      </c>
      <c r="Q58" s="3">
        <v>11667</v>
      </c>
      <c r="R58" s="3">
        <v>11667</v>
      </c>
      <c r="S58" s="3">
        <v>11667</v>
      </c>
      <c r="T58" s="3">
        <v>11667</v>
      </c>
      <c r="U58" s="3">
        <v>11667</v>
      </c>
      <c r="V58" s="3">
        <v>11667</v>
      </c>
      <c r="W58" s="3">
        <v>11667</v>
      </c>
      <c r="X58" s="3">
        <v>11667</v>
      </c>
      <c r="Y58" s="3">
        <v>11667</v>
      </c>
      <c r="Z58" s="3">
        <v>11667</v>
      </c>
      <c r="AA58" s="3">
        <v>140004</v>
      </c>
      <c r="AB58" s="8">
        <f>IF(N58="EUR",AA58,IF(N58="GBP",AA58/Rate!$C$3,AA58/Rate!$C$5))</f>
        <v>140004</v>
      </c>
      <c r="AC58" s="43">
        <f>IFERROR(VLOOKUP(K58,'4.2 Simplify Savings'!K:AB,18,0),0)</f>
        <v>0</v>
      </c>
      <c r="AD58" s="44">
        <f t="shared" si="3"/>
        <v>140004</v>
      </c>
    </row>
    <row r="59" spans="1:30" x14ac:dyDescent="0.3">
      <c r="A59" t="str">
        <f>_xlfn.XLOOKUP(B59*1,'Reference '!I:I,'Reference '!K:K)</f>
        <v>Olivier Lepret</v>
      </c>
      <c r="B59" s="2" t="str">
        <f t="shared" si="2"/>
        <v>606</v>
      </c>
      <c r="C59" s="2" t="s">
        <v>325</v>
      </c>
      <c r="D59" s="2" t="s">
        <v>325</v>
      </c>
      <c r="E59" s="2" t="s">
        <v>151</v>
      </c>
      <c r="F59" s="2" t="s">
        <v>151</v>
      </c>
      <c r="G59" s="2" t="s">
        <v>53</v>
      </c>
      <c r="H59" s="2" t="s">
        <v>53</v>
      </c>
      <c r="I59" s="2" t="s">
        <v>54</v>
      </c>
      <c r="J59" s="2" t="s">
        <v>54</v>
      </c>
      <c r="K59" s="2" t="s">
        <v>340</v>
      </c>
      <c r="L59" s="2"/>
      <c r="M59" s="2" t="s">
        <v>56</v>
      </c>
      <c r="N59" s="2" t="s">
        <v>57</v>
      </c>
      <c r="O59" s="3">
        <v>425</v>
      </c>
      <c r="P59" s="3">
        <v>425</v>
      </c>
      <c r="Q59" s="3">
        <v>425</v>
      </c>
      <c r="R59" s="3">
        <v>425</v>
      </c>
      <c r="S59" s="3">
        <v>425</v>
      </c>
      <c r="T59" s="3">
        <v>425</v>
      </c>
      <c r="U59" s="3">
        <v>425</v>
      </c>
      <c r="V59" s="3">
        <v>425</v>
      </c>
      <c r="W59" s="3">
        <v>425</v>
      </c>
      <c r="X59" s="3">
        <v>425</v>
      </c>
      <c r="Y59" s="3">
        <v>425</v>
      </c>
      <c r="Z59" s="3">
        <v>425</v>
      </c>
      <c r="AA59" s="3">
        <v>5100</v>
      </c>
      <c r="AB59" s="8">
        <f>IF(N59="EUR",AA59,IF(N59="GBP",AA59/Rate!$C$3,AA59/Rate!$C$5))</f>
        <v>5100</v>
      </c>
      <c r="AC59" s="43">
        <f>IFERROR(VLOOKUP(K59,'4.2 Simplify Savings'!K:AB,18,0),0)</f>
        <v>0</v>
      </c>
      <c r="AD59" s="44">
        <f t="shared" si="3"/>
        <v>5100</v>
      </c>
    </row>
    <row r="60" spans="1:30" x14ac:dyDescent="0.3">
      <c r="A60" t="str">
        <f>_xlfn.XLOOKUP(B60*1,'Reference '!I:I,'Reference '!K:K)</f>
        <v>Roger Plummer</v>
      </c>
      <c r="B60" s="2" t="str">
        <f t="shared" si="2"/>
        <v>607</v>
      </c>
      <c r="C60" s="2" t="s">
        <v>359</v>
      </c>
      <c r="D60" s="2" t="s">
        <v>359</v>
      </c>
      <c r="E60" s="2" t="s">
        <v>151</v>
      </c>
      <c r="F60" s="2" t="s">
        <v>151</v>
      </c>
      <c r="G60" s="2" t="s">
        <v>53</v>
      </c>
      <c r="H60" s="2" t="s">
        <v>53</v>
      </c>
      <c r="I60" s="2" t="s">
        <v>54</v>
      </c>
      <c r="J60" s="2" t="s">
        <v>54</v>
      </c>
      <c r="K60" s="2" t="s">
        <v>362</v>
      </c>
      <c r="L60" s="2" t="s">
        <v>363</v>
      </c>
      <c r="M60" s="2" t="s">
        <v>56</v>
      </c>
      <c r="N60" s="2" t="s">
        <v>72</v>
      </c>
      <c r="O60" s="3">
        <v>3333</v>
      </c>
      <c r="P60" s="3">
        <v>3333</v>
      </c>
      <c r="Q60" s="3">
        <v>3333</v>
      </c>
      <c r="R60" s="3">
        <v>3333</v>
      </c>
      <c r="S60" s="3">
        <v>3333</v>
      </c>
      <c r="T60" s="3">
        <v>3333</v>
      </c>
      <c r="U60" s="3">
        <v>3333</v>
      </c>
      <c r="V60" s="3">
        <v>3333</v>
      </c>
      <c r="W60" s="3">
        <v>3333</v>
      </c>
      <c r="X60" s="3">
        <v>3333</v>
      </c>
      <c r="Y60" s="3">
        <v>3333</v>
      </c>
      <c r="Z60" s="3">
        <v>3333</v>
      </c>
      <c r="AA60" s="3">
        <v>39996</v>
      </c>
      <c r="AB60" s="8">
        <f>IF(N60="EUR",AA60,IF(N60="GBP",AA60/Rate!$C$3,AA60/Rate!$C$5))</f>
        <v>45972.413793103449</v>
      </c>
      <c r="AC60" s="43">
        <f>IFERROR(VLOOKUP(K60,'4.2 Simplify Savings'!K:AB,18,0),0)</f>
        <v>0</v>
      </c>
      <c r="AD60" s="44">
        <f t="shared" si="3"/>
        <v>45972.413793103449</v>
      </c>
    </row>
    <row r="61" spans="1:30" x14ac:dyDescent="0.3">
      <c r="A61" t="str">
        <f>_xlfn.XLOOKUP(B61*1,'Reference '!I:I,'Reference '!K:K)</f>
        <v>Roger Plummer</v>
      </c>
      <c r="B61" s="2" t="str">
        <f t="shared" si="2"/>
        <v>607</v>
      </c>
      <c r="C61" s="2" t="s">
        <v>359</v>
      </c>
      <c r="D61" s="2" t="s">
        <v>359</v>
      </c>
      <c r="E61" s="2" t="s">
        <v>151</v>
      </c>
      <c r="F61" s="2" t="s">
        <v>151</v>
      </c>
      <c r="G61" s="2" t="s">
        <v>53</v>
      </c>
      <c r="H61" s="2" t="s">
        <v>53</v>
      </c>
      <c r="I61" s="2" t="s">
        <v>54</v>
      </c>
      <c r="J61" s="2" t="s">
        <v>54</v>
      </c>
      <c r="K61" s="2" t="s">
        <v>364</v>
      </c>
      <c r="L61" s="2" t="s">
        <v>363</v>
      </c>
      <c r="M61" s="2" t="s">
        <v>56</v>
      </c>
      <c r="N61" s="2" t="s">
        <v>72</v>
      </c>
      <c r="O61" s="3">
        <v>10000</v>
      </c>
      <c r="P61" s="3">
        <v>10000</v>
      </c>
      <c r="Q61" s="3">
        <v>10000</v>
      </c>
      <c r="R61" s="3">
        <v>10000</v>
      </c>
      <c r="S61" s="3">
        <v>10000</v>
      </c>
      <c r="T61" s="3">
        <v>10000</v>
      </c>
      <c r="U61" s="3">
        <v>10000</v>
      </c>
      <c r="V61" s="3">
        <v>10000</v>
      </c>
      <c r="W61" s="3">
        <v>10000</v>
      </c>
      <c r="X61" s="3">
        <v>10000</v>
      </c>
      <c r="Y61" s="3">
        <v>10000</v>
      </c>
      <c r="Z61" s="3">
        <v>10000</v>
      </c>
      <c r="AA61" s="3">
        <v>120000</v>
      </c>
      <c r="AB61" s="8">
        <f>IF(N61="EUR",AA61,IF(N61="GBP",AA61/Rate!$C$3,AA61/Rate!$C$5))</f>
        <v>137931.03448275861</v>
      </c>
      <c r="AC61" s="43">
        <f>'4.2 Simplify Savings'!$AB$16</f>
        <v>-50004</v>
      </c>
      <c r="AD61" s="44">
        <f t="shared" si="3"/>
        <v>87927.034482758609</v>
      </c>
    </row>
    <row r="62" spans="1:30" x14ac:dyDescent="0.3">
      <c r="A62" t="str">
        <f>_xlfn.XLOOKUP(B62*1,'Reference '!I:I,'Reference '!K:K)</f>
        <v>Roger Plummer</v>
      </c>
      <c r="B62" s="2" t="str">
        <f t="shared" si="2"/>
        <v>607</v>
      </c>
      <c r="C62" s="2" t="s">
        <v>359</v>
      </c>
      <c r="D62" s="2" t="s">
        <v>359</v>
      </c>
      <c r="E62" s="2" t="s">
        <v>151</v>
      </c>
      <c r="F62" s="2" t="s">
        <v>151</v>
      </c>
      <c r="G62" s="2" t="s">
        <v>53</v>
      </c>
      <c r="H62" s="2" t="s">
        <v>53</v>
      </c>
      <c r="I62" s="2" t="s">
        <v>54</v>
      </c>
      <c r="J62" s="2" t="s">
        <v>54</v>
      </c>
      <c r="K62" s="2" t="s">
        <v>370</v>
      </c>
      <c r="L62" s="2" t="s">
        <v>371</v>
      </c>
      <c r="M62" s="2" t="s">
        <v>56</v>
      </c>
      <c r="N62" s="2" t="s">
        <v>72</v>
      </c>
      <c r="O62" s="3">
        <v>1750</v>
      </c>
      <c r="P62" s="3">
        <v>1750</v>
      </c>
      <c r="Q62" s="3">
        <v>1750</v>
      </c>
      <c r="R62" s="3">
        <v>1750</v>
      </c>
      <c r="S62" s="3">
        <v>1750</v>
      </c>
      <c r="T62" s="3">
        <v>1750</v>
      </c>
      <c r="U62" s="3">
        <v>1750</v>
      </c>
      <c r="V62" s="3">
        <v>1750</v>
      </c>
      <c r="W62" s="3">
        <v>1750</v>
      </c>
      <c r="X62" s="3">
        <v>1750</v>
      </c>
      <c r="Y62" s="3">
        <v>1750</v>
      </c>
      <c r="Z62" s="3">
        <v>1750</v>
      </c>
      <c r="AA62" s="3">
        <v>21000</v>
      </c>
      <c r="AB62" s="8">
        <f>IF(N62="EUR",AA62,IF(N62="GBP",AA62/Rate!$C$3,AA62/Rate!$C$5))</f>
        <v>24137.931034482757</v>
      </c>
      <c r="AC62" s="43">
        <f>IFERROR(VLOOKUP(K62,'4.2 Simplify Savings'!K:AB,18,0),0)</f>
        <v>0</v>
      </c>
      <c r="AD62" s="44">
        <f t="shared" si="3"/>
        <v>24137.931034482757</v>
      </c>
    </row>
    <row r="63" spans="1:30" x14ac:dyDescent="0.3">
      <c r="A63" t="str">
        <f>_xlfn.XLOOKUP(B63*1,'Reference '!I:I,'Reference '!K:K)</f>
        <v>Roger Plummer</v>
      </c>
      <c r="B63" s="2" t="str">
        <f t="shared" si="2"/>
        <v>607</v>
      </c>
      <c r="C63" s="2" t="s">
        <v>359</v>
      </c>
      <c r="D63" s="2" t="s">
        <v>359</v>
      </c>
      <c r="E63" s="2" t="s">
        <v>151</v>
      </c>
      <c r="F63" s="2" t="s">
        <v>151</v>
      </c>
      <c r="G63" s="2" t="s">
        <v>53</v>
      </c>
      <c r="H63" s="2" t="s">
        <v>53</v>
      </c>
      <c r="I63" s="2" t="s">
        <v>54</v>
      </c>
      <c r="J63" s="2" t="s">
        <v>54</v>
      </c>
      <c r="K63" s="2" t="s">
        <v>376</v>
      </c>
      <c r="L63" s="2" t="s">
        <v>377</v>
      </c>
      <c r="M63" s="2" t="s">
        <v>56</v>
      </c>
      <c r="N63" s="2" t="s">
        <v>72</v>
      </c>
      <c r="O63" s="3">
        <v>1083</v>
      </c>
      <c r="P63" s="3">
        <v>1083</v>
      </c>
      <c r="Q63" s="3">
        <v>1083</v>
      </c>
      <c r="R63" s="3">
        <v>1083</v>
      </c>
      <c r="S63" s="3">
        <v>1083</v>
      </c>
      <c r="T63" s="3">
        <v>1083</v>
      </c>
      <c r="U63" s="3">
        <v>1083</v>
      </c>
      <c r="V63" s="3">
        <v>1083</v>
      </c>
      <c r="W63" s="3">
        <v>1083</v>
      </c>
      <c r="X63" s="3">
        <v>1083</v>
      </c>
      <c r="Y63" s="3">
        <v>1083</v>
      </c>
      <c r="Z63" s="3">
        <v>1083</v>
      </c>
      <c r="AA63" s="3">
        <v>12996</v>
      </c>
      <c r="AB63" s="8">
        <f>IF(N63="EUR",AA63,IF(N63="GBP",AA63/Rate!$C$3,AA63/Rate!$C$5))</f>
        <v>14937.931034482759</v>
      </c>
      <c r="AC63" s="43">
        <f>IFERROR(VLOOKUP(K63,'4.2 Simplify Savings'!K:AB,18,0),0)</f>
        <v>0</v>
      </c>
      <c r="AD63" s="44">
        <f t="shared" si="3"/>
        <v>14937.931034482759</v>
      </c>
    </row>
    <row r="64" spans="1:30" x14ac:dyDescent="0.3">
      <c r="A64" t="str">
        <f>_xlfn.XLOOKUP(B64*1,'Reference '!I:I,'Reference '!K:K)</f>
        <v>Roger Plummer</v>
      </c>
      <c r="B64" s="2" t="str">
        <f t="shared" si="2"/>
        <v>607</v>
      </c>
      <c r="C64" s="2" t="s">
        <v>359</v>
      </c>
      <c r="D64" s="2" t="s">
        <v>359</v>
      </c>
      <c r="E64" s="2" t="s">
        <v>151</v>
      </c>
      <c r="F64" s="2" t="s">
        <v>151</v>
      </c>
      <c r="G64" s="2" t="s">
        <v>53</v>
      </c>
      <c r="H64" s="2" t="s">
        <v>53</v>
      </c>
      <c r="I64" s="2" t="s">
        <v>54</v>
      </c>
      <c r="J64" s="2" t="s">
        <v>54</v>
      </c>
      <c r="K64" s="2" t="s">
        <v>378</v>
      </c>
      <c r="L64" s="2" t="s">
        <v>379</v>
      </c>
      <c r="M64" s="2" t="s">
        <v>56</v>
      </c>
      <c r="N64" s="2" t="s">
        <v>72</v>
      </c>
      <c r="O64" s="3">
        <v>3333</v>
      </c>
      <c r="P64" s="3">
        <v>3333</v>
      </c>
      <c r="Q64" s="3">
        <v>3333</v>
      </c>
      <c r="R64" s="3">
        <v>3333</v>
      </c>
      <c r="S64" s="3">
        <v>3333</v>
      </c>
      <c r="T64" s="3">
        <v>3333</v>
      </c>
      <c r="U64" s="3">
        <v>3333</v>
      </c>
      <c r="V64" s="3">
        <v>3333</v>
      </c>
      <c r="W64" s="3">
        <v>3333</v>
      </c>
      <c r="X64" s="3">
        <v>3333</v>
      </c>
      <c r="Y64" s="3">
        <v>3333</v>
      </c>
      <c r="Z64" s="3">
        <v>3333</v>
      </c>
      <c r="AA64" s="3">
        <v>39996</v>
      </c>
      <c r="AB64" s="8">
        <f>IF(N64="EUR",AA64,IF(N64="GBP",AA64/Rate!$C$3,AA64/Rate!$C$5))</f>
        <v>45972.413793103449</v>
      </c>
      <c r="AC64" s="43">
        <f>IFERROR(VLOOKUP(K64,'4.2 Simplify Savings'!K:AB,18,0),0)</f>
        <v>0</v>
      </c>
      <c r="AD64" s="44">
        <f t="shared" si="3"/>
        <v>45972.413793103449</v>
      </c>
    </row>
    <row r="65" spans="1:30" x14ac:dyDescent="0.3">
      <c r="A65" t="str">
        <f>_xlfn.XLOOKUP(B65*1,'Reference '!I:I,'Reference '!K:K)</f>
        <v>Roger Plummer</v>
      </c>
      <c r="B65" s="2" t="str">
        <f t="shared" si="2"/>
        <v>607</v>
      </c>
      <c r="C65" s="2" t="s">
        <v>359</v>
      </c>
      <c r="D65" s="2" t="s">
        <v>359</v>
      </c>
      <c r="E65" s="2" t="s">
        <v>151</v>
      </c>
      <c r="F65" s="2" t="s">
        <v>151</v>
      </c>
      <c r="G65" s="2" t="s">
        <v>53</v>
      </c>
      <c r="H65" s="2" t="s">
        <v>53</v>
      </c>
      <c r="I65" s="2" t="s">
        <v>54</v>
      </c>
      <c r="J65" s="2" t="s">
        <v>54</v>
      </c>
      <c r="K65" s="2" t="s">
        <v>380</v>
      </c>
      <c r="L65" s="2" t="s">
        <v>381</v>
      </c>
      <c r="M65" s="2" t="s">
        <v>56</v>
      </c>
      <c r="N65" s="2" t="s">
        <v>72</v>
      </c>
      <c r="O65" s="3">
        <v>417</v>
      </c>
      <c r="P65" s="3">
        <v>417</v>
      </c>
      <c r="Q65" s="3">
        <v>417</v>
      </c>
      <c r="R65" s="3">
        <v>417</v>
      </c>
      <c r="S65" s="3">
        <v>417</v>
      </c>
      <c r="T65" s="3">
        <v>417</v>
      </c>
      <c r="U65" s="3">
        <v>417</v>
      </c>
      <c r="V65" s="3">
        <v>417</v>
      </c>
      <c r="W65" s="3">
        <v>417</v>
      </c>
      <c r="X65" s="3">
        <v>417</v>
      </c>
      <c r="Y65" s="3">
        <v>417</v>
      </c>
      <c r="Z65" s="3">
        <v>417</v>
      </c>
      <c r="AA65" s="3">
        <v>5004</v>
      </c>
      <c r="AB65" s="8">
        <f>IF(N65="EUR",AA65,IF(N65="GBP",AA65/Rate!$C$3,AA65/Rate!$C$5))</f>
        <v>5751.7241379310344</v>
      </c>
      <c r="AC65" s="43">
        <f>IFERROR(VLOOKUP(K65,'4.2 Simplify Savings'!K:AB,18,0),0)</f>
        <v>0</v>
      </c>
      <c r="AD65" s="44">
        <f t="shared" si="3"/>
        <v>5751.7241379310344</v>
      </c>
    </row>
    <row r="66" spans="1:30" x14ac:dyDescent="0.3">
      <c r="A66" t="str">
        <f>_xlfn.XLOOKUP(B66*1,'Reference '!I:I,'Reference '!K:K)</f>
        <v>Roger Plummer</v>
      </c>
      <c r="B66" s="2" t="str">
        <f t="shared" si="2"/>
        <v>607</v>
      </c>
      <c r="C66" s="2" t="s">
        <v>359</v>
      </c>
      <c r="D66" s="2" t="s">
        <v>359</v>
      </c>
      <c r="E66" s="2" t="s">
        <v>151</v>
      </c>
      <c r="F66" s="2" t="s">
        <v>151</v>
      </c>
      <c r="G66" s="2" t="s">
        <v>53</v>
      </c>
      <c r="H66" s="2" t="s">
        <v>53</v>
      </c>
      <c r="I66" s="2" t="s">
        <v>54</v>
      </c>
      <c r="J66" s="2" t="s">
        <v>54</v>
      </c>
      <c r="K66" s="2" t="s">
        <v>382</v>
      </c>
      <c r="L66" s="2" t="s">
        <v>383</v>
      </c>
      <c r="M66" s="2" t="s">
        <v>56</v>
      </c>
      <c r="N66" s="2" t="s">
        <v>72</v>
      </c>
      <c r="O66" s="3">
        <v>3333</v>
      </c>
      <c r="P66" s="3">
        <v>3333</v>
      </c>
      <c r="Q66" s="3">
        <v>3333</v>
      </c>
      <c r="R66" s="3">
        <v>3333</v>
      </c>
      <c r="S66" s="3">
        <v>3333</v>
      </c>
      <c r="T66" s="3">
        <v>3333</v>
      </c>
      <c r="U66" s="3">
        <v>3333</v>
      </c>
      <c r="V66" s="3">
        <v>3333</v>
      </c>
      <c r="W66" s="3">
        <v>3333</v>
      </c>
      <c r="X66" s="3">
        <v>3333</v>
      </c>
      <c r="Y66" s="3">
        <v>3333</v>
      </c>
      <c r="Z66" s="3">
        <v>3333</v>
      </c>
      <c r="AA66" s="3">
        <v>39996</v>
      </c>
      <c r="AB66" s="8">
        <f>IF(N66="EUR",AA66,IF(N66="GBP",AA66/Rate!$C$3,AA66/Rate!$C$5))</f>
        <v>45972.413793103449</v>
      </c>
      <c r="AC66" s="43">
        <f>IFERROR(VLOOKUP(K66,'4.2 Simplify Savings'!K:AB,18,0),0)</f>
        <v>0</v>
      </c>
      <c r="AD66" s="44">
        <f t="shared" si="3"/>
        <v>45972.413793103449</v>
      </c>
    </row>
    <row r="67" spans="1:30" x14ac:dyDescent="0.3">
      <c r="A67" t="str">
        <f>_xlfn.XLOOKUP(B67*1,'Reference '!I:I,'Reference '!K:K)</f>
        <v>Roger Plummer</v>
      </c>
      <c r="B67" s="2" t="str">
        <f t="shared" ref="B67:B98" si="4">LEFT(C67,3)</f>
        <v>607</v>
      </c>
      <c r="C67" s="2" t="s">
        <v>359</v>
      </c>
      <c r="D67" s="2" t="s">
        <v>359</v>
      </c>
      <c r="E67" s="2" t="s">
        <v>151</v>
      </c>
      <c r="F67" s="2" t="s">
        <v>151</v>
      </c>
      <c r="G67" s="2" t="s">
        <v>53</v>
      </c>
      <c r="H67" s="2" t="s">
        <v>53</v>
      </c>
      <c r="I67" s="2" t="s">
        <v>54</v>
      </c>
      <c r="J67" s="2" t="s">
        <v>54</v>
      </c>
      <c r="K67" s="2" t="s">
        <v>390</v>
      </c>
      <c r="L67" s="2" t="s">
        <v>391</v>
      </c>
      <c r="M67" s="2" t="s">
        <v>56</v>
      </c>
      <c r="N67" s="2" t="s">
        <v>72</v>
      </c>
      <c r="O67" s="3">
        <v>1667</v>
      </c>
      <c r="P67" s="3">
        <v>1667</v>
      </c>
      <c r="Q67" s="3">
        <v>1667</v>
      </c>
      <c r="R67" s="3">
        <v>1667</v>
      </c>
      <c r="S67" s="3">
        <v>1667</v>
      </c>
      <c r="T67" s="3">
        <v>1667</v>
      </c>
      <c r="U67" s="3">
        <v>1667</v>
      </c>
      <c r="V67" s="3">
        <v>1667</v>
      </c>
      <c r="W67" s="3">
        <v>1667</v>
      </c>
      <c r="X67" s="3">
        <v>1667</v>
      </c>
      <c r="Y67" s="3">
        <v>1667</v>
      </c>
      <c r="Z67" s="3">
        <v>1667</v>
      </c>
      <c r="AA67" s="3">
        <v>20004</v>
      </c>
      <c r="AB67" s="8">
        <f>IF(N67="EUR",AA67,IF(N67="GBP",AA67/Rate!$C$3,AA67/Rate!$C$5))</f>
        <v>22993.103448275862</v>
      </c>
      <c r="AC67" s="43">
        <f>IFERROR(VLOOKUP(K67,'4.2 Simplify Savings'!K:AB,18,0),0)</f>
        <v>0</v>
      </c>
      <c r="AD67" s="44">
        <f t="shared" si="3"/>
        <v>22993.103448275862</v>
      </c>
    </row>
    <row r="68" spans="1:30" x14ac:dyDescent="0.3">
      <c r="A68" t="str">
        <f>_xlfn.XLOOKUP(B68*1,'Reference '!I:I,'Reference '!K:K)</f>
        <v>Roger Plummer</v>
      </c>
      <c r="B68" s="2" t="str">
        <f t="shared" si="4"/>
        <v>607</v>
      </c>
      <c r="C68" s="2" t="s">
        <v>392</v>
      </c>
      <c r="D68" s="2" t="s">
        <v>392</v>
      </c>
      <c r="E68" s="2" t="s">
        <v>151</v>
      </c>
      <c r="F68" s="2" t="s">
        <v>151</v>
      </c>
      <c r="G68" s="2" t="s">
        <v>53</v>
      </c>
      <c r="H68" s="2" t="s">
        <v>53</v>
      </c>
      <c r="I68" s="2" t="s">
        <v>54</v>
      </c>
      <c r="J68" s="2" t="s">
        <v>54</v>
      </c>
      <c r="K68" s="2" t="s">
        <v>395</v>
      </c>
      <c r="L68" s="2" t="s">
        <v>391</v>
      </c>
      <c r="M68" s="2" t="s">
        <v>56</v>
      </c>
      <c r="N68" s="2" t="s">
        <v>213</v>
      </c>
      <c r="O68" s="3">
        <v>1667</v>
      </c>
      <c r="P68" s="3">
        <v>1667</v>
      </c>
      <c r="Q68" s="3">
        <v>1667</v>
      </c>
      <c r="R68" s="3">
        <v>1667</v>
      </c>
      <c r="S68" s="3">
        <v>1667</v>
      </c>
      <c r="T68" s="3">
        <v>1667</v>
      </c>
      <c r="U68" s="3">
        <v>1667</v>
      </c>
      <c r="V68" s="3">
        <v>1667</v>
      </c>
      <c r="W68" s="3">
        <v>1667</v>
      </c>
      <c r="X68" s="3">
        <v>1667</v>
      </c>
      <c r="Y68" s="3">
        <v>1667</v>
      </c>
      <c r="Z68" s="3">
        <v>1667</v>
      </c>
      <c r="AA68" s="3">
        <v>20004</v>
      </c>
      <c r="AB68" s="8">
        <f>IF(N68="EUR",AA68,IF(N68="GBP",AA68/Rate!$C$3,AA68/Rate!$C$5))</f>
        <v>17097.435897435898</v>
      </c>
      <c r="AC68" s="43">
        <f>IFERROR(VLOOKUP(K68,'4.2 Simplify Savings'!K:AB,18,0),0)</f>
        <v>0</v>
      </c>
      <c r="AD68" s="44">
        <f t="shared" si="3"/>
        <v>17097.435897435898</v>
      </c>
    </row>
    <row r="69" spans="1:30" x14ac:dyDescent="0.3">
      <c r="A69" t="str">
        <f>_xlfn.XLOOKUP(B69*1,'Reference '!I:I,'Reference '!K:K)</f>
        <v>Ben Gbeve</v>
      </c>
      <c r="B69" s="2" t="str">
        <f t="shared" si="4"/>
        <v>601</v>
      </c>
      <c r="C69" s="2" t="s">
        <v>110</v>
      </c>
      <c r="D69" s="2" t="s">
        <v>110</v>
      </c>
      <c r="E69" s="2" t="s">
        <v>200</v>
      </c>
      <c r="F69" s="2" t="s">
        <v>200</v>
      </c>
      <c r="G69" s="2" t="s">
        <v>53</v>
      </c>
      <c r="H69" s="2" t="s">
        <v>53</v>
      </c>
      <c r="I69" s="2" t="s">
        <v>54</v>
      </c>
      <c r="J69" s="2" t="s">
        <v>54</v>
      </c>
      <c r="K69" s="2" t="s">
        <v>201</v>
      </c>
      <c r="L69" s="2" t="s">
        <v>199</v>
      </c>
      <c r="M69" s="2" t="s">
        <v>56</v>
      </c>
      <c r="N69" s="2" t="s">
        <v>72</v>
      </c>
      <c r="O69" s="3">
        <v>500</v>
      </c>
      <c r="P69" s="3">
        <v>500</v>
      </c>
      <c r="Q69" s="3">
        <v>500</v>
      </c>
      <c r="R69" s="3">
        <v>500</v>
      </c>
      <c r="S69" s="3">
        <v>500</v>
      </c>
      <c r="T69" s="3">
        <v>500</v>
      </c>
      <c r="U69" s="3">
        <v>500</v>
      </c>
      <c r="V69" s="3">
        <v>500</v>
      </c>
      <c r="W69" s="3">
        <v>500</v>
      </c>
      <c r="X69" s="3">
        <v>500</v>
      </c>
      <c r="Y69" s="3">
        <v>500</v>
      </c>
      <c r="Z69" s="3">
        <v>500</v>
      </c>
      <c r="AA69" s="3">
        <v>6000</v>
      </c>
      <c r="AB69" s="8">
        <f>IF(N69="EUR",AA69,IF(N69="GBP",AA69/Rate!$C$3,AA69/Rate!$C$5))</f>
        <v>6896.5517241379312</v>
      </c>
      <c r="AC69" s="43">
        <f>IFERROR(VLOOKUP(K69,'4.2 Simplify Savings'!K:AB,18,0),0)</f>
        <v>0</v>
      </c>
      <c r="AD69" s="44">
        <f t="shared" ref="AD69:AD100" si="5">SUM(AB69:AC69)</f>
        <v>6896.5517241379312</v>
      </c>
    </row>
    <row r="70" spans="1:30" x14ac:dyDescent="0.3">
      <c r="A70" t="str">
        <f>_xlfn.XLOOKUP(B70*1,'Reference '!I:I,'Reference '!K:K)</f>
        <v>Ben Gbeve</v>
      </c>
      <c r="B70" s="2" t="str">
        <f t="shared" si="4"/>
        <v>601</v>
      </c>
      <c r="C70" s="2" t="s">
        <v>110</v>
      </c>
      <c r="D70" s="2" t="s">
        <v>110</v>
      </c>
      <c r="E70" s="2" t="s">
        <v>200</v>
      </c>
      <c r="F70" s="2" t="s">
        <v>200</v>
      </c>
      <c r="G70" s="2" t="s">
        <v>53</v>
      </c>
      <c r="H70" s="2" t="s">
        <v>53</v>
      </c>
      <c r="I70" s="2" t="s">
        <v>54</v>
      </c>
      <c r="J70" s="2" t="s">
        <v>54</v>
      </c>
      <c r="K70" s="2" t="s">
        <v>202</v>
      </c>
      <c r="L70" s="2" t="s">
        <v>199</v>
      </c>
      <c r="M70" s="2" t="s">
        <v>56</v>
      </c>
      <c r="N70" s="2" t="s">
        <v>72</v>
      </c>
      <c r="O70" s="3">
        <v>500</v>
      </c>
      <c r="P70" s="3">
        <v>500</v>
      </c>
      <c r="Q70" s="3">
        <v>500</v>
      </c>
      <c r="R70" s="3">
        <v>500</v>
      </c>
      <c r="S70" s="3">
        <v>500</v>
      </c>
      <c r="T70" s="3">
        <v>500</v>
      </c>
      <c r="U70" s="3">
        <v>500</v>
      </c>
      <c r="V70" s="3">
        <v>500</v>
      </c>
      <c r="W70" s="3">
        <v>500</v>
      </c>
      <c r="X70" s="3">
        <v>500</v>
      </c>
      <c r="Y70" s="3">
        <v>500</v>
      </c>
      <c r="Z70" s="3">
        <v>500</v>
      </c>
      <c r="AA70" s="3">
        <v>6000</v>
      </c>
      <c r="AB70" s="8">
        <f>IF(N70="EUR",AA70,IF(N70="GBP",AA70/Rate!$C$3,AA70/Rate!$C$5))</f>
        <v>6896.5517241379312</v>
      </c>
      <c r="AC70" s="43">
        <f>IFERROR(VLOOKUP(K70,'4.2 Simplify Savings'!K:AB,18,0),0)</f>
        <v>0</v>
      </c>
      <c r="AD70" s="44">
        <f t="shared" si="5"/>
        <v>6896.5517241379312</v>
      </c>
    </row>
    <row r="71" spans="1:30" x14ac:dyDescent="0.3">
      <c r="A71" t="str">
        <f>_xlfn.XLOOKUP(B71*1,'Reference '!I:I,'Reference '!K:K)</f>
        <v>Valerie Veyt</v>
      </c>
      <c r="B71" s="2" t="str">
        <f t="shared" si="4"/>
        <v>602</v>
      </c>
      <c r="C71" s="2" t="s">
        <v>239</v>
      </c>
      <c r="D71" s="2" t="s">
        <v>239</v>
      </c>
      <c r="E71" s="2" t="s">
        <v>200</v>
      </c>
      <c r="F71" s="2" t="s">
        <v>200</v>
      </c>
      <c r="G71" s="2" t="s">
        <v>53</v>
      </c>
      <c r="H71" s="2" t="s">
        <v>53</v>
      </c>
      <c r="I71" s="2" t="s">
        <v>54</v>
      </c>
      <c r="J71" s="2" t="s">
        <v>54</v>
      </c>
      <c r="K71" s="2" t="s">
        <v>242</v>
      </c>
      <c r="L71" s="2" t="s">
        <v>243</v>
      </c>
      <c r="M71" s="2" t="s">
        <v>56</v>
      </c>
      <c r="N71" s="2" t="s">
        <v>72</v>
      </c>
      <c r="O71" s="3">
        <v>14333.1</v>
      </c>
      <c r="P71" s="3">
        <v>14333.1</v>
      </c>
      <c r="Q71" s="3">
        <v>14333.1</v>
      </c>
      <c r="R71" s="3">
        <v>14333.1</v>
      </c>
      <c r="S71" s="3">
        <v>14333.1</v>
      </c>
      <c r="T71" s="3">
        <v>14333.1</v>
      </c>
      <c r="U71" s="3">
        <v>14333.1</v>
      </c>
      <c r="V71" s="3">
        <v>14333.1</v>
      </c>
      <c r="W71" s="3">
        <v>14333.1</v>
      </c>
      <c r="X71" s="3">
        <v>14333.1</v>
      </c>
      <c r="Y71" s="3">
        <v>14333.1</v>
      </c>
      <c r="Z71" s="3">
        <v>14333.1</v>
      </c>
      <c r="AA71" s="3">
        <v>171997.20000000004</v>
      </c>
      <c r="AB71" s="8">
        <f>IF(N71="EUR",AA71,IF(N71="GBP",AA71/Rate!$C$3,AA71/Rate!$C$5))</f>
        <v>197697.93103448281</v>
      </c>
      <c r="AC71" s="43">
        <f>IFERROR(VLOOKUP(K71,'4.2 Simplify Savings'!K:AB,18,0),0)</f>
        <v>0</v>
      </c>
      <c r="AD71" s="44">
        <f t="shared" si="5"/>
        <v>197697.93103448281</v>
      </c>
    </row>
    <row r="72" spans="1:30" x14ac:dyDescent="0.3">
      <c r="A72" t="str">
        <f>_xlfn.XLOOKUP(B72*1,'Reference '!I:I,'Reference '!K:K)</f>
        <v>Mael Delmas</v>
      </c>
      <c r="B72" s="2" t="str">
        <f t="shared" si="4"/>
        <v>604</v>
      </c>
      <c r="C72" s="2" t="s">
        <v>274</v>
      </c>
      <c r="D72" s="2" t="s">
        <v>274</v>
      </c>
      <c r="E72" s="2" t="s">
        <v>200</v>
      </c>
      <c r="F72" s="2" t="s">
        <v>200</v>
      </c>
      <c r="G72" s="2" t="s">
        <v>53</v>
      </c>
      <c r="H72" s="2" t="s">
        <v>53</v>
      </c>
      <c r="I72" s="2" t="s">
        <v>54</v>
      </c>
      <c r="J72" s="2" t="s">
        <v>54</v>
      </c>
      <c r="K72" s="2" t="s">
        <v>295</v>
      </c>
      <c r="L72" s="2" t="s">
        <v>285</v>
      </c>
      <c r="M72" s="2" t="s">
        <v>56</v>
      </c>
      <c r="N72" s="2" t="s">
        <v>72</v>
      </c>
      <c r="O72" s="3">
        <v>7900</v>
      </c>
      <c r="P72" s="3">
        <v>7900</v>
      </c>
      <c r="Q72" s="3">
        <v>7900</v>
      </c>
      <c r="R72" s="3">
        <v>7900</v>
      </c>
      <c r="S72" s="3">
        <v>7900</v>
      </c>
      <c r="T72" s="3">
        <v>7900</v>
      </c>
      <c r="U72" s="3">
        <v>7900</v>
      </c>
      <c r="V72" s="3">
        <v>7900</v>
      </c>
      <c r="W72" s="3">
        <v>7900</v>
      </c>
      <c r="X72" s="3">
        <v>7900</v>
      </c>
      <c r="Y72" s="3">
        <v>7900</v>
      </c>
      <c r="Z72" s="3">
        <v>7900</v>
      </c>
      <c r="AA72" s="3">
        <v>94800</v>
      </c>
      <c r="AB72" s="8">
        <f>IF(N72="EUR",AA72,IF(N72="GBP",AA72/Rate!$C$3,AA72/Rate!$C$5))</f>
        <v>108965.5172413793</v>
      </c>
      <c r="AC72" s="43">
        <f>IFERROR(VLOOKUP(K72,'4.2 Simplify Savings'!K:AB,18,0),0)</f>
        <v>-11023.440000000002</v>
      </c>
      <c r="AD72" s="44">
        <f t="shared" si="5"/>
        <v>97942.077241379302</v>
      </c>
    </row>
    <row r="73" spans="1:30" x14ac:dyDescent="0.3">
      <c r="A73" t="str">
        <f>_xlfn.XLOOKUP(B73*1,'Reference '!I:I,'Reference '!K:K)</f>
        <v>Mael Delmas</v>
      </c>
      <c r="B73" s="2" t="str">
        <f t="shared" si="4"/>
        <v>604</v>
      </c>
      <c r="C73" s="2" t="s">
        <v>274</v>
      </c>
      <c r="D73" s="2" t="s">
        <v>274</v>
      </c>
      <c r="E73" s="2" t="s">
        <v>200</v>
      </c>
      <c r="F73" s="2" t="s">
        <v>200</v>
      </c>
      <c r="G73" s="2" t="s">
        <v>53</v>
      </c>
      <c r="H73" s="2" t="s">
        <v>53</v>
      </c>
      <c r="I73" s="2" t="s">
        <v>54</v>
      </c>
      <c r="J73" s="2" t="s">
        <v>54</v>
      </c>
      <c r="K73" s="2" t="s">
        <v>313</v>
      </c>
      <c r="L73" s="2"/>
      <c r="M73" s="2" t="s">
        <v>56</v>
      </c>
      <c r="N73" s="2" t="s">
        <v>72</v>
      </c>
      <c r="O73" s="3">
        <v>19746</v>
      </c>
      <c r="P73" s="3">
        <v>19746</v>
      </c>
      <c r="Q73" s="3">
        <v>19746</v>
      </c>
      <c r="R73" s="3">
        <v>19746</v>
      </c>
      <c r="S73" s="3">
        <v>19746</v>
      </c>
      <c r="T73" s="3">
        <v>19746</v>
      </c>
      <c r="U73" s="3">
        <v>19746</v>
      </c>
      <c r="V73" s="3">
        <v>19746</v>
      </c>
      <c r="W73" s="3">
        <v>19746</v>
      </c>
      <c r="X73" s="3">
        <v>19746</v>
      </c>
      <c r="Y73" s="3">
        <v>19746</v>
      </c>
      <c r="Z73" s="3">
        <v>19746</v>
      </c>
      <c r="AA73" s="3">
        <v>236952</v>
      </c>
      <c r="AB73" s="8">
        <f>IF(N73="EUR",AA73,IF(N73="GBP",AA73/Rate!$C$3,AA73/Rate!$C$5))</f>
        <v>272358.62068965519</v>
      </c>
      <c r="AC73" s="43">
        <f>IFERROR(VLOOKUP(K73,'4.2 Simplify Savings'!K:AB,18,0),0)</f>
        <v>0</v>
      </c>
      <c r="AD73" s="44">
        <f t="shared" si="5"/>
        <v>272358.62068965519</v>
      </c>
    </row>
    <row r="74" spans="1:30" x14ac:dyDescent="0.3">
      <c r="A74" t="str">
        <f>_xlfn.XLOOKUP(B74*1,'Reference '!I:I,'Reference '!K:K)</f>
        <v>Mael Delmas</v>
      </c>
      <c r="B74" s="2" t="str">
        <f t="shared" si="4"/>
        <v>604</v>
      </c>
      <c r="C74" s="2" t="s">
        <v>274</v>
      </c>
      <c r="D74" s="2" t="s">
        <v>274</v>
      </c>
      <c r="E74" s="2" t="s">
        <v>200</v>
      </c>
      <c r="F74" s="2" t="s">
        <v>200</v>
      </c>
      <c r="G74" s="2" t="s">
        <v>53</v>
      </c>
      <c r="H74" s="2" t="s">
        <v>53</v>
      </c>
      <c r="I74" s="2" t="s">
        <v>54</v>
      </c>
      <c r="J74" s="2" t="s">
        <v>54</v>
      </c>
      <c r="K74" s="2" t="s">
        <v>315</v>
      </c>
      <c r="L74" s="2"/>
      <c r="M74" s="2" t="s">
        <v>56</v>
      </c>
      <c r="N74" s="2" t="s">
        <v>72</v>
      </c>
      <c r="O74" s="3">
        <v>16000</v>
      </c>
      <c r="P74" s="3">
        <v>16000</v>
      </c>
      <c r="Q74" s="3">
        <v>16000</v>
      </c>
      <c r="R74" s="3">
        <v>16000</v>
      </c>
      <c r="S74" s="3">
        <v>16000</v>
      </c>
      <c r="T74" s="3">
        <v>16000</v>
      </c>
      <c r="U74" s="3">
        <v>16000</v>
      </c>
      <c r="V74" s="3">
        <v>16000</v>
      </c>
      <c r="W74" s="3">
        <v>16000</v>
      </c>
      <c r="X74" s="3">
        <v>16000</v>
      </c>
      <c r="Y74" s="3">
        <v>16000</v>
      </c>
      <c r="Z74" s="3">
        <v>16000</v>
      </c>
      <c r="AA74" s="3">
        <v>192000</v>
      </c>
      <c r="AB74" s="8">
        <f>IF(N74="EUR",AA74,IF(N74="GBP",AA74/Rate!$C$3,AA74/Rate!$C$5))</f>
        <v>220689.6551724138</v>
      </c>
      <c r="AC74" s="43">
        <f>IFERROR(VLOOKUP(K74,'4.2 Simplify Savings'!K:AB,18,0),0)</f>
        <v>-78140.87999999999</v>
      </c>
      <c r="AD74" s="44">
        <f t="shared" si="5"/>
        <v>142548.77517241379</v>
      </c>
    </row>
    <row r="75" spans="1:30" x14ac:dyDescent="0.3">
      <c r="A75" t="str">
        <f>_xlfn.XLOOKUP(B75*1,'Reference '!I:I,'Reference '!K:K)</f>
        <v>Mael Delmas</v>
      </c>
      <c r="B75" s="2" t="str">
        <f t="shared" si="4"/>
        <v>604</v>
      </c>
      <c r="C75" s="2" t="s">
        <v>274</v>
      </c>
      <c r="D75" s="2" t="s">
        <v>274</v>
      </c>
      <c r="E75" s="2" t="s">
        <v>200</v>
      </c>
      <c r="F75" s="2" t="s">
        <v>200</v>
      </c>
      <c r="G75" s="2" t="s">
        <v>53</v>
      </c>
      <c r="H75" s="2" t="s">
        <v>53</v>
      </c>
      <c r="I75" s="2" t="s">
        <v>54</v>
      </c>
      <c r="J75" s="2" t="s">
        <v>54</v>
      </c>
      <c r="K75" s="2" t="s">
        <v>316</v>
      </c>
      <c r="L75" s="2"/>
      <c r="M75" s="2" t="s">
        <v>56</v>
      </c>
      <c r="N75" s="2" t="s">
        <v>72</v>
      </c>
      <c r="O75" s="3">
        <v>7000</v>
      </c>
      <c r="P75" s="3">
        <v>7000</v>
      </c>
      <c r="Q75" s="3">
        <v>7000</v>
      </c>
      <c r="R75" s="3">
        <v>7000</v>
      </c>
      <c r="S75" s="3">
        <v>7000</v>
      </c>
      <c r="T75" s="3">
        <v>7000</v>
      </c>
      <c r="U75" s="3">
        <v>7000</v>
      </c>
      <c r="V75" s="3">
        <v>7000</v>
      </c>
      <c r="W75" s="3">
        <v>7000</v>
      </c>
      <c r="X75" s="3">
        <v>7000</v>
      </c>
      <c r="Y75" s="3">
        <v>7000</v>
      </c>
      <c r="Z75" s="3">
        <v>7000</v>
      </c>
      <c r="AA75" s="3">
        <v>84000</v>
      </c>
      <c r="AB75" s="8">
        <f>IF(N75="EUR",AA75,IF(N75="GBP",AA75/Rate!$C$3,AA75/Rate!$C$5))</f>
        <v>96551.724137931029</v>
      </c>
      <c r="AC75" s="43">
        <f>IFERROR(VLOOKUP(K75,'4.2 Simplify Savings'!K:AB,18,0),0)</f>
        <v>-97680</v>
      </c>
      <c r="AD75" s="44">
        <f t="shared" si="5"/>
        <v>-1128.275862068971</v>
      </c>
    </row>
    <row r="76" spans="1:30" x14ac:dyDescent="0.3">
      <c r="A76" t="str">
        <f>_xlfn.XLOOKUP(B76*1,'Reference '!I:I,'Reference '!K:K)</f>
        <v>Mael Delmas</v>
      </c>
      <c r="B76" s="2" t="str">
        <f t="shared" si="4"/>
        <v>604</v>
      </c>
      <c r="C76" s="2" t="s">
        <v>274</v>
      </c>
      <c r="D76" s="2" t="s">
        <v>274</v>
      </c>
      <c r="E76" s="2" t="s">
        <v>200</v>
      </c>
      <c r="F76" s="2" t="s">
        <v>200</v>
      </c>
      <c r="G76" s="2" t="s">
        <v>53</v>
      </c>
      <c r="H76" s="2" t="s">
        <v>53</v>
      </c>
      <c r="I76" s="2" t="s">
        <v>54</v>
      </c>
      <c r="J76" s="2" t="s">
        <v>54</v>
      </c>
      <c r="K76" s="2" t="s">
        <v>317</v>
      </c>
      <c r="L76" s="2"/>
      <c r="M76" s="2" t="s">
        <v>56</v>
      </c>
      <c r="N76" s="2" t="s">
        <v>72</v>
      </c>
      <c r="O76" s="3">
        <v>8333.33</v>
      </c>
      <c r="P76" s="3">
        <v>8333.33</v>
      </c>
      <c r="Q76" s="3">
        <v>8333.33</v>
      </c>
      <c r="R76" s="3">
        <v>8333.33</v>
      </c>
      <c r="S76" s="3">
        <v>8333.33</v>
      </c>
      <c r="T76" s="3">
        <v>8333.33</v>
      </c>
      <c r="U76" s="3">
        <v>8333.33</v>
      </c>
      <c r="V76" s="3">
        <v>8333.33</v>
      </c>
      <c r="W76" s="3">
        <v>8333.33</v>
      </c>
      <c r="X76" s="3">
        <v>8333.33</v>
      </c>
      <c r="Y76" s="3">
        <v>8333.33</v>
      </c>
      <c r="Z76" s="3">
        <v>8333.33</v>
      </c>
      <c r="AA76" s="3">
        <v>99999.96</v>
      </c>
      <c r="AB76" s="8">
        <f>IF(N76="EUR",AA76,IF(N76="GBP",AA76/Rate!$C$3,AA76/Rate!$C$5))</f>
        <v>114942.4827586207</v>
      </c>
      <c r="AC76" s="43">
        <f>IFERROR(VLOOKUP(K76,'4.2 Simplify Savings'!K:AB,18,0),0)</f>
        <v>-116280</v>
      </c>
      <c r="AD76" s="44">
        <f t="shared" si="5"/>
        <v>-1337.5172413793043</v>
      </c>
    </row>
    <row r="77" spans="1:30" x14ac:dyDescent="0.3">
      <c r="A77" t="str">
        <f>_xlfn.XLOOKUP(B77*1,'Reference '!I:I,'Reference '!K:K)</f>
        <v>Mael Delmas</v>
      </c>
      <c r="B77" s="2" t="str">
        <f t="shared" si="4"/>
        <v>604</v>
      </c>
      <c r="C77" s="2" t="s">
        <v>274</v>
      </c>
      <c r="D77" s="2" t="s">
        <v>274</v>
      </c>
      <c r="E77" s="2" t="s">
        <v>200</v>
      </c>
      <c r="F77" s="2" t="s">
        <v>200</v>
      </c>
      <c r="G77" s="2" t="s">
        <v>53</v>
      </c>
      <c r="H77" s="2" t="s">
        <v>53</v>
      </c>
      <c r="I77" s="2" t="s">
        <v>54</v>
      </c>
      <c r="J77" s="2" t="s">
        <v>54</v>
      </c>
      <c r="K77" s="2" t="s">
        <v>318</v>
      </c>
      <c r="L77" s="2"/>
      <c r="M77" s="2" t="s">
        <v>56</v>
      </c>
      <c r="N77" s="2" t="s">
        <v>72</v>
      </c>
      <c r="O77" s="3">
        <v>0</v>
      </c>
      <c r="P77" s="3">
        <v>0</v>
      </c>
      <c r="Q77" s="3">
        <v>0</v>
      </c>
      <c r="R77" s="3">
        <v>0</v>
      </c>
      <c r="S77" s="3">
        <v>10000</v>
      </c>
      <c r="T77" s="3">
        <v>20000</v>
      </c>
      <c r="U77" s="3">
        <v>20000</v>
      </c>
      <c r="V77" s="3">
        <v>20000</v>
      </c>
      <c r="W77" s="3">
        <v>30000</v>
      </c>
      <c r="X77" s="3">
        <v>10000</v>
      </c>
      <c r="Y77" s="3">
        <v>10000</v>
      </c>
      <c r="Z77" s="3">
        <v>0</v>
      </c>
      <c r="AA77" s="3">
        <v>120000</v>
      </c>
      <c r="AB77" s="8">
        <f>IF(N77="EUR",AA77,IF(N77="GBP",AA77/Rate!$C$3,AA77/Rate!$C$5))</f>
        <v>137931.03448275861</v>
      </c>
      <c r="AC77" s="43">
        <f>IFERROR(VLOOKUP(K77,'4.2 Simplify Savings'!K:AB,18,0),0)</f>
        <v>-34884.300000000003</v>
      </c>
      <c r="AD77" s="44">
        <f t="shared" si="5"/>
        <v>103046.73448275861</v>
      </c>
    </row>
    <row r="78" spans="1:30" x14ac:dyDescent="0.3">
      <c r="A78" t="str">
        <f>_xlfn.XLOOKUP(B78*1,'Reference '!I:I,'Reference '!K:K)</f>
        <v>Mael Delmas</v>
      </c>
      <c r="B78" s="2" t="str">
        <f t="shared" si="4"/>
        <v>604</v>
      </c>
      <c r="C78" s="2" t="s">
        <v>274</v>
      </c>
      <c r="D78" s="2" t="s">
        <v>274</v>
      </c>
      <c r="E78" s="2" t="s">
        <v>200</v>
      </c>
      <c r="F78" s="2" t="s">
        <v>200</v>
      </c>
      <c r="G78" s="2" t="s">
        <v>53</v>
      </c>
      <c r="H78" s="2" t="s">
        <v>53</v>
      </c>
      <c r="I78" s="2" t="s">
        <v>54</v>
      </c>
      <c r="J78" s="2" t="s">
        <v>54</v>
      </c>
      <c r="K78" s="2" t="s">
        <v>319</v>
      </c>
      <c r="L78" s="2"/>
      <c r="M78" s="2" t="s">
        <v>56</v>
      </c>
      <c r="N78" s="2" t="s">
        <v>72</v>
      </c>
      <c r="O78" s="3">
        <v>0</v>
      </c>
      <c r="P78" s="3">
        <v>0</v>
      </c>
      <c r="Q78" s="3">
        <v>0</v>
      </c>
      <c r="R78" s="3">
        <v>10000</v>
      </c>
      <c r="S78" s="3">
        <v>15000</v>
      </c>
      <c r="T78" s="3">
        <v>20000</v>
      </c>
      <c r="U78" s="3">
        <v>20000</v>
      </c>
      <c r="V78" s="3">
        <v>25000</v>
      </c>
      <c r="W78" s="3">
        <v>10000</v>
      </c>
      <c r="X78" s="3">
        <v>0</v>
      </c>
      <c r="Y78" s="3">
        <v>0</v>
      </c>
      <c r="Z78" s="3">
        <v>0</v>
      </c>
      <c r="AA78" s="3">
        <v>100000</v>
      </c>
      <c r="AB78" s="8">
        <f>IF(N78="EUR",AA78,IF(N78="GBP",AA78/Rate!$C$3,AA78/Rate!$C$5))</f>
        <v>114942.52873563218</v>
      </c>
      <c r="AC78" s="43">
        <f>IFERROR(VLOOKUP(K78,'4.2 Simplify Savings'!K:AB,18,0),0)</f>
        <v>-29070.25</v>
      </c>
      <c r="AD78" s="44">
        <f t="shared" si="5"/>
        <v>85872.278735632179</v>
      </c>
    </row>
    <row r="79" spans="1:30" x14ac:dyDescent="0.3">
      <c r="A79" t="str">
        <f>_xlfn.XLOOKUP(B79*1,'Reference '!I:I,'Reference '!K:K)</f>
        <v>Mael Delmas</v>
      </c>
      <c r="B79" s="2" t="str">
        <f t="shared" si="4"/>
        <v>604</v>
      </c>
      <c r="C79" s="2" t="s">
        <v>274</v>
      </c>
      <c r="D79" s="2" t="s">
        <v>274</v>
      </c>
      <c r="E79" s="2" t="s">
        <v>200</v>
      </c>
      <c r="F79" s="2" t="s">
        <v>200</v>
      </c>
      <c r="G79" s="2" t="s">
        <v>53</v>
      </c>
      <c r="H79" s="2" t="s">
        <v>53</v>
      </c>
      <c r="I79" s="2" t="s">
        <v>54</v>
      </c>
      <c r="J79" s="2" t="s">
        <v>54</v>
      </c>
      <c r="K79" s="2" t="s">
        <v>320</v>
      </c>
      <c r="L79" s="2"/>
      <c r="M79" s="2" t="s">
        <v>56</v>
      </c>
      <c r="N79" s="2" t="s">
        <v>72</v>
      </c>
      <c r="O79" s="3"/>
      <c r="P79" s="3"/>
      <c r="Q79" s="3"/>
      <c r="R79" s="3"/>
      <c r="S79" s="3">
        <v>20000</v>
      </c>
      <c r="T79" s="3">
        <v>10000</v>
      </c>
      <c r="U79" s="3">
        <v>26000</v>
      </c>
      <c r="V79" s="3"/>
      <c r="W79" s="3"/>
      <c r="X79" s="3"/>
      <c r="Y79" s="3"/>
      <c r="Z79" s="3"/>
      <c r="AA79" s="3">
        <v>56000</v>
      </c>
      <c r="AB79" s="8">
        <f>IF(N79="EUR",AA79,IF(N79="GBP",AA79/Rate!$C$3,AA79/Rate!$C$5))</f>
        <v>64367.816091954024</v>
      </c>
      <c r="AC79" s="43">
        <f>IFERROR(VLOOKUP(K79,'4.2 Simplify Savings'!K:AB,18,0),0)</f>
        <v>0</v>
      </c>
      <c r="AD79" s="44">
        <f t="shared" si="5"/>
        <v>64367.816091954024</v>
      </c>
    </row>
    <row r="80" spans="1:30" x14ac:dyDescent="0.3">
      <c r="A80" t="str">
        <f>_xlfn.XLOOKUP(B80*1,'Reference '!I:I,'Reference '!K:K)</f>
        <v>Mael Delmas</v>
      </c>
      <c r="B80" s="2" t="str">
        <f t="shared" si="4"/>
        <v>604</v>
      </c>
      <c r="C80" s="2" t="s">
        <v>274</v>
      </c>
      <c r="D80" s="2" t="s">
        <v>274</v>
      </c>
      <c r="E80" s="2" t="s">
        <v>200</v>
      </c>
      <c r="F80" s="2" t="s">
        <v>200</v>
      </c>
      <c r="G80" s="2" t="s">
        <v>53</v>
      </c>
      <c r="H80" s="2" t="s">
        <v>53</v>
      </c>
      <c r="I80" s="2" t="s">
        <v>54</v>
      </c>
      <c r="J80" s="2" t="s">
        <v>54</v>
      </c>
      <c r="K80" s="2" t="s">
        <v>321</v>
      </c>
      <c r="L80" s="2"/>
      <c r="M80" s="2" t="s">
        <v>56</v>
      </c>
      <c r="N80" s="2" t="s">
        <v>72</v>
      </c>
      <c r="O80" s="3"/>
      <c r="P80" s="3"/>
      <c r="Q80" s="3">
        <v>30000</v>
      </c>
      <c r="R80" s="3">
        <v>20000</v>
      </c>
      <c r="S80" s="3">
        <v>17500</v>
      </c>
      <c r="T80" s="3"/>
      <c r="U80" s="3"/>
      <c r="V80" s="3"/>
      <c r="W80" s="3"/>
      <c r="X80" s="3"/>
      <c r="Y80" s="3"/>
      <c r="Z80" s="3"/>
      <c r="AA80" s="3">
        <v>67500</v>
      </c>
      <c r="AB80" s="8">
        <f>IF(N80="EUR",AA80,IF(N80="GBP",AA80/Rate!$C$3,AA80/Rate!$C$5))</f>
        <v>77586.206896551725</v>
      </c>
      <c r="AC80" s="43">
        <f>IFERROR(VLOOKUP(K80,'4.2 Simplify Savings'!K:AB,18,0),0)</f>
        <v>0</v>
      </c>
      <c r="AD80" s="44">
        <f t="shared" si="5"/>
        <v>77586.206896551725</v>
      </c>
    </row>
    <row r="81" spans="1:30" x14ac:dyDescent="0.3">
      <c r="A81" t="str">
        <f>_xlfn.XLOOKUP(B81*1,'Reference '!I:I,'Reference '!K:K)</f>
        <v>Mael Delmas</v>
      </c>
      <c r="B81" s="2" t="str">
        <f t="shared" si="4"/>
        <v>604</v>
      </c>
      <c r="C81" s="2" t="s">
        <v>274</v>
      </c>
      <c r="D81" s="2" t="s">
        <v>274</v>
      </c>
      <c r="E81" s="2" t="s">
        <v>200</v>
      </c>
      <c r="F81" s="2" t="s">
        <v>200</v>
      </c>
      <c r="G81" s="2" t="s">
        <v>53</v>
      </c>
      <c r="H81" s="2" t="s">
        <v>53</v>
      </c>
      <c r="I81" s="2" t="s">
        <v>54</v>
      </c>
      <c r="J81" s="2" t="s">
        <v>54</v>
      </c>
      <c r="K81" s="2" t="s">
        <v>322</v>
      </c>
      <c r="L81" s="2"/>
      <c r="M81" s="2" t="s">
        <v>56</v>
      </c>
      <c r="N81" s="2" t="s">
        <v>72</v>
      </c>
      <c r="O81" s="3"/>
      <c r="P81" s="3"/>
      <c r="Q81" s="3"/>
      <c r="R81" s="3"/>
      <c r="S81" s="3"/>
      <c r="T81" s="3"/>
      <c r="U81" s="3">
        <v>10000</v>
      </c>
      <c r="V81" s="3">
        <v>10000</v>
      </c>
      <c r="W81" s="3">
        <v>25000</v>
      </c>
      <c r="X81" s="3"/>
      <c r="Y81" s="3"/>
      <c r="Z81" s="3"/>
      <c r="AA81" s="3">
        <v>45000</v>
      </c>
      <c r="AB81" s="8">
        <f>IF(N81="EUR",AA81,IF(N81="GBP",AA81/Rate!$C$3,AA81/Rate!$C$5))</f>
        <v>51724.137931034486</v>
      </c>
      <c r="AC81" s="43">
        <f>IFERROR(VLOOKUP(K81,'4.2 Simplify Savings'!K:AB,18,0),0)</f>
        <v>0</v>
      </c>
      <c r="AD81" s="44">
        <f t="shared" si="5"/>
        <v>51724.137931034486</v>
      </c>
    </row>
    <row r="82" spans="1:30" x14ac:dyDescent="0.3">
      <c r="A82" t="str">
        <f>_xlfn.XLOOKUP(B82*1,'Reference '!I:I,'Reference '!K:K)</f>
        <v>Mael Delmas</v>
      </c>
      <c r="B82" s="2" t="str">
        <f t="shared" si="4"/>
        <v>604</v>
      </c>
      <c r="C82" s="2" t="s">
        <v>274</v>
      </c>
      <c r="D82" s="2" t="s">
        <v>274</v>
      </c>
      <c r="E82" s="2" t="s">
        <v>200</v>
      </c>
      <c r="F82" s="2" t="s">
        <v>200</v>
      </c>
      <c r="G82" s="2" t="s">
        <v>53</v>
      </c>
      <c r="H82" s="2" t="s">
        <v>53</v>
      </c>
      <c r="I82" s="2" t="s">
        <v>54</v>
      </c>
      <c r="J82" s="2" t="s">
        <v>54</v>
      </c>
      <c r="K82" s="2" t="s">
        <v>323</v>
      </c>
      <c r="L82" s="2"/>
      <c r="M82" s="2" t="s">
        <v>56</v>
      </c>
      <c r="N82" s="2" t="s">
        <v>72</v>
      </c>
      <c r="O82" s="3">
        <v>0</v>
      </c>
      <c r="P82" s="3">
        <v>0</v>
      </c>
      <c r="Q82" s="3">
        <v>0</v>
      </c>
      <c r="R82" s="3">
        <v>0</v>
      </c>
      <c r="S82" s="3">
        <v>0</v>
      </c>
      <c r="T82" s="3">
        <v>0</v>
      </c>
      <c r="U82" s="3">
        <v>0</v>
      </c>
      <c r="V82" s="3">
        <v>50000</v>
      </c>
      <c r="W82" s="3">
        <v>0</v>
      </c>
      <c r="X82" s="3">
        <v>0</v>
      </c>
      <c r="Y82" s="3">
        <v>0</v>
      </c>
      <c r="Z82" s="3">
        <v>0</v>
      </c>
      <c r="AA82" s="3">
        <v>50000</v>
      </c>
      <c r="AB82" s="8">
        <f>IF(N82="EUR",AA82,IF(N82="GBP",AA82/Rate!$C$3,AA82/Rate!$C$5))</f>
        <v>57471.264367816089</v>
      </c>
      <c r="AC82" s="43">
        <f>IFERROR(VLOOKUP(K82,'4.2 Simplify Savings'!K:AB,18,0),0)</f>
        <v>-14535.13</v>
      </c>
      <c r="AD82" s="44">
        <f t="shared" si="5"/>
        <v>42936.134367816092</v>
      </c>
    </row>
    <row r="83" spans="1:30" x14ac:dyDescent="0.3">
      <c r="A83" t="str">
        <f>_xlfn.XLOOKUP(B83*1,'Reference '!I:I,'Reference '!K:K)</f>
        <v>Roger Plummer</v>
      </c>
      <c r="B83" s="2" t="str">
        <f t="shared" si="4"/>
        <v>607</v>
      </c>
      <c r="C83" s="2" t="s">
        <v>342</v>
      </c>
      <c r="D83" s="2" t="s">
        <v>342</v>
      </c>
      <c r="E83" s="2" t="s">
        <v>200</v>
      </c>
      <c r="F83" s="2" t="s">
        <v>200</v>
      </c>
      <c r="G83" s="2" t="s">
        <v>53</v>
      </c>
      <c r="H83" s="2" t="s">
        <v>53</v>
      </c>
      <c r="I83" s="2" t="s">
        <v>54</v>
      </c>
      <c r="J83" s="2" t="s">
        <v>54</v>
      </c>
      <c r="K83" s="2" t="s">
        <v>358</v>
      </c>
      <c r="L83" s="2"/>
      <c r="M83" s="2" t="s">
        <v>56</v>
      </c>
      <c r="N83" s="2" t="s">
        <v>57</v>
      </c>
      <c r="O83" s="3">
        <v>29167</v>
      </c>
      <c r="P83" s="3">
        <v>29167</v>
      </c>
      <c r="Q83" s="3">
        <v>29167</v>
      </c>
      <c r="R83" s="3">
        <v>29167</v>
      </c>
      <c r="S83" s="3">
        <v>29167</v>
      </c>
      <c r="T83" s="3">
        <v>29167</v>
      </c>
      <c r="U83" s="3">
        <v>29167</v>
      </c>
      <c r="V83" s="3">
        <v>29167</v>
      </c>
      <c r="W83" s="3">
        <v>29167</v>
      </c>
      <c r="X83" s="3">
        <v>29167</v>
      </c>
      <c r="Y83" s="3">
        <v>29167</v>
      </c>
      <c r="Z83" s="3">
        <v>29167</v>
      </c>
      <c r="AA83" s="3">
        <v>350004</v>
      </c>
      <c r="AB83" s="8">
        <f>IF(N83="EUR",AA83,IF(N83="GBP",AA83/Rate!$C$3,AA83/Rate!$C$5))</f>
        <v>350004</v>
      </c>
      <c r="AC83" s="43">
        <f>IFERROR(VLOOKUP(K83,'4.2 Simplify Savings'!K:AB,18,0),0)</f>
        <v>-350004</v>
      </c>
      <c r="AD83" s="44">
        <f t="shared" si="5"/>
        <v>0</v>
      </c>
    </row>
    <row r="84" spans="1:30" x14ac:dyDescent="0.3">
      <c r="A84" t="str">
        <f>_xlfn.XLOOKUP(B84*1,'Reference '!I:I,'Reference '!K:K)</f>
        <v>Xavier Romanet</v>
      </c>
      <c r="B84" s="2" t="str">
        <f t="shared" si="4"/>
        <v>605</v>
      </c>
      <c r="C84" s="2" t="s">
        <v>324</v>
      </c>
      <c r="D84" s="2" t="s">
        <v>324</v>
      </c>
      <c r="E84" s="2" t="s">
        <v>200</v>
      </c>
      <c r="F84" s="2" t="s">
        <v>200</v>
      </c>
      <c r="G84" s="2" t="s">
        <v>53</v>
      </c>
      <c r="H84" s="2" t="s">
        <v>53</v>
      </c>
      <c r="I84" s="2" t="s">
        <v>54</v>
      </c>
      <c r="J84" s="2" t="s">
        <v>54</v>
      </c>
      <c r="K84" s="2" t="s">
        <v>409</v>
      </c>
      <c r="L84" s="2" t="s">
        <v>121</v>
      </c>
      <c r="M84" s="2" t="s">
        <v>410</v>
      </c>
      <c r="N84" s="2" t="s">
        <v>72</v>
      </c>
      <c r="O84" s="3">
        <v>8333.3333333333321</v>
      </c>
      <c r="P84" s="3">
        <v>8333.3333333333321</v>
      </c>
      <c r="Q84" s="3">
        <v>8333.3333333333321</v>
      </c>
      <c r="R84" s="3">
        <v>8333.3333333333321</v>
      </c>
      <c r="S84" s="3">
        <v>8333.3333333333321</v>
      </c>
      <c r="T84" s="3">
        <v>8333.3333333333321</v>
      </c>
      <c r="U84" s="3">
        <v>8333.3333333333321</v>
      </c>
      <c r="V84" s="3">
        <v>8333.3333333333321</v>
      </c>
      <c r="W84" s="3">
        <v>8333.3333333333321</v>
      </c>
      <c r="X84" s="3">
        <v>8333.3333333333321</v>
      </c>
      <c r="Y84" s="3">
        <v>8333.3333333333321</v>
      </c>
      <c r="Z84" s="3">
        <v>8333.3333333333321</v>
      </c>
      <c r="AA84" s="3">
        <v>99999.999999999956</v>
      </c>
      <c r="AB84" s="8">
        <f>IF(N84="EUR",AA84,IF(N84="GBP",AA84/Rate!$C$3,AA84/Rate!$C$5))</f>
        <v>114942.52873563214</v>
      </c>
      <c r="AC84" s="43">
        <f>IFERROR(VLOOKUP(K84,'4.2 Simplify Savings'!K:AB,18,0),0)</f>
        <v>0</v>
      </c>
      <c r="AD84" s="44">
        <f t="shared" si="5"/>
        <v>114942.52873563214</v>
      </c>
    </row>
    <row r="85" spans="1:30" x14ac:dyDescent="0.3">
      <c r="A85" t="str">
        <f>_xlfn.XLOOKUP(B85*1,'Reference '!I:I,'Reference '!K:K)</f>
        <v>Ben Gbeve</v>
      </c>
      <c r="B85" s="2" t="str">
        <f t="shared" si="4"/>
        <v>601</v>
      </c>
      <c r="C85" s="2" t="s">
        <v>210</v>
      </c>
      <c r="D85" s="2" t="s">
        <v>210</v>
      </c>
      <c r="E85" s="2" t="s">
        <v>217</v>
      </c>
      <c r="F85" s="2" t="s">
        <v>217</v>
      </c>
      <c r="G85" s="2" t="s">
        <v>53</v>
      </c>
      <c r="H85" s="2" t="s">
        <v>53</v>
      </c>
      <c r="I85" s="2" t="s">
        <v>54</v>
      </c>
      <c r="J85" s="2" t="s">
        <v>54</v>
      </c>
      <c r="K85" s="2" t="s">
        <v>218</v>
      </c>
      <c r="L85" s="2" t="s">
        <v>219</v>
      </c>
      <c r="M85" s="2" t="s">
        <v>56</v>
      </c>
      <c r="N85" s="2" t="s">
        <v>213</v>
      </c>
      <c r="O85" s="3">
        <v>9200</v>
      </c>
      <c r="P85" s="3">
        <v>9200</v>
      </c>
      <c r="Q85" s="3">
        <v>9200</v>
      </c>
      <c r="R85" s="3">
        <v>9200</v>
      </c>
      <c r="S85" s="3">
        <v>9200</v>
      </c>
      <c r="T85" s="3">
        <v>9200</v>
      </c>
      <c r="U85" s="3">
        <v>9200</v>
      </c>
      <c r="V85" s="3">
        <v>9200</v>
      </c>
      <c r="W85" s="3">
        <v>9200</v>
      </c>
      <c r="X85" s="3">
        <v>9200</v>
      </c>
      <c r="Y85" s="3">
        <v>9200</v>
      </c>
      <c r="Z85" s="3">
        <v>9200</v>
      </c>
      <c r="AA85" s="3">
        <v>110400</v>
      </c>
      <c r="AB85" s="8">
        <f>IF(N85="EUR",AA85,IF(N85="GBP",AA85/Rate!$C$3,AA85/Rate!$C$5))</f>
        <v>94358.974358974359</v>
      </c>
      <c r="AC85" s="43">
        <f>IFERROR(VLOOKUP(K85,'4.2 Simplify Savings'!K:AB,18,0),0)</f>
        <v>0</v>
      </c>
      <c r="AD85" s="44">
        <f t="shared" si="5"/>
        <v>94358.974358974359</v>
      </c>
    </row>
    <row r="86" spans="1:30" x14ac:dyDescent="0.3">
      <c r="A86" t="str">
        <f>_xlfn.XLOOKUP(B86*1,'Reference '!I:I,'Reference '!K:K)</f>
        <v>Ben Gbeve</v>
      </c>
      <c r="B86" s="2" t="str">
        <f t="shared" si="4"/>
        <v>601</v>
      </c>
      <c r="C86" s="2" t="s">
        <v>210</v>
      </c>
      <c r="D86" s="2" t="s">
        <v>210</v>
      </c>
      <c r="E86" s="2" t="s">
        <v>217</v>
      </c>
      <c r="F86" s="2" t="s">
        <v>217</v>
      </c>
      <c r="G86" s="2" t="s">
        <v>53</v>
      </c>
      <c r="H86" s="2" t="s">
        <v>53</v>
      </c>
      <c r="I86" s="2" t="s">
        <v>54</v>
      </c>
      <c r="J86" s="2" t="s">
        <v>54</v>
      </c>
      <c r="K86" s="2" t="s">
        <v>220</v>
      </c>
      <c r="L86" s="2" t="s">
        <v>221</v>
      </c>
      <c r="M86" s="2" t="s">
        <v>56</v>
      </c>
      <c r="N86" s="2" t="s">
        <v>213</v>
      </c>
      <c r="O86" s="3">
        <v>89583.33</v>
      </c>
      <c r="P86" s="3">
        <v>89583.33</v>
      </c>
      <c r="Q86" s="3">
        <v>89583.33</v>
      </c>
      <c r="R86" s="3">
        <v>89583.33</v>
      </c>
      <c r="S86" s="3">
        <v>89583.33</v>
      </c>
      <c r="T86" s="3">
        <v>89583.33</v>
      </c>
      <c r="U86" s="3">
        <v>89583.33</v>
      </c>
      <c r="V86" s="3">
        <v>89583.33</v>
      </c>
      <c r="W86" s="3">
        <v>89583.33</v>
      </c>
      <c r="X86" s="3">
        <v>89583.33</v>
      </c>
      <c r="Y86" s="3">
        <v>89583.33</v>
      </c>
      <c r="Z86" s="3">
        <v>89583.33</v>
      </c>
      <c r="AA86" s="3">
        <v>1074999.9599999997</v>
      </c>
      <c r="AB86" s="8">
        <f>IF(N86="EUR",AA86,IF(N86="GBP",AA86/Rate!$C$3,AA86/Rate!$C$5))</f>
        <v>918803.38461538439</v>
      </c>
      <c r="AC86" s="43">
        <f>SUM('4.2 Simplify Savings'!$AB$25,'4.2 Simplify Savings'!$AB$26)</f>
        <v>-127968</v>
      </c>
      <c r="AD86" s="44">
        <f t="shared" si="5"/>
        <v>790835.38461538439</v>
      </c>
    </row>
    <row r="87" spans="1:30" x14ac:dyDescent="0.3">
      <c r="A87" t="str">
        <f>_xlfn.XLOOKUP(B87*1,'Reference '!I:I,'Reference '!K:K)</f>
        <v>Valerie Veyt</v>
      </c>
      <c r="B87" s="2" t="str">
        <f t="shared" si="4"/>
        <v>602</v>
      </c>
      <c r="C87" s="2" t="s">
        <v>239</v>
      </c>
      <c r="D87" s="2" t="s">
        <v>239</v>
      </c>
      <c r="E87" s="2" t="s">
        <v>217</v>
      </c>
      <c r="F87" s="2" t="s">
        <v>217</v>
      </c>
      <c r="G87" s="2" t="s">
        <v>53</v>
      </c>
      <c r="H87" s="2" t="s">
        <v>53</v>
      </c>
      <c r="I87" s="2" t="s">
        <v>54</v>
      </c>
      <c r="J87" s="2" t="s">
        <v>54</v>
      </c>
      <c r="K87" s="2" t="s">
        <v>266</v>
      </c>
      <c r="L87" s="2" t="s">
        <v>267</v>
      </c>
      <c r="M87" s="2" t="s">
        <v>56</v>
      </c>
      <c r="N87" s="2" t="s">
        <v>72</v>
      </c>
      <c r="O87" s="3">
        <v>3153.28</v>
      </c>
      <c r="P87" s="3">
        <v>3153.28</v>
      </c>
      <c r="Q87" s="3">
        <v>3153.28</v>
      </c>
      <c r="R87" s="3">
        <v>3153.28</v>
      </c>
      <c r="S87" s="3">
        <v>3153.28</v>
      </c>
      <c r="T87" s="3">
        <v>3153.28</v>
      </c>
      <c r="U87" s="3">
        <v>3153.28</v>
      </c>
      <c r="V87" s="3">
        <v>3153.28</v>
      </c>
      <c r="W87" s="3">
        <v>3153.28</v>
      </c>
      <c r="X87" s="3">
        <v>3153.28</v>
      </c>
      <c r="Y87" s="3">
        <v>3153.28</v>
      </c>
      <c r="Z87" s="3">
        <v>3153.28</v>
      </c>
      <c r="AA87" s="3">
        <v>37839.359999999993</v>
      </c>
      <c r="AB87" s="8">
        <f>IF(N87="EUR",AA87,IF(N87="GBP",AA87/Rate!$C$3,AA87/Rate!$C$5))</f>
        <v>43493.517241379304</v>
      </c>
      <c r="AC87" s="43">
        <f>IFERROR(VLOOKUP(K87,'4.2 Simplify Savings'!K:AB,18,0),0)</f>
        <v>0</v>
      </c>
      <c r="AD87" s="44">
        <f t="shared" si="5"/>
        <v>43493.517241379304</v>
      </c>
    </row>
    <row r="88" spans="1:30" x14ac:dyDescent="0.3">
      <c r="A88" t="str">
        <f>_xlfn.XLOOKUP(B88*1,'Reference '!I:I,'Reference '!K:K)</f>
        <v>Valerie Veyt</v>
      </c>
      <c r="B88" s="2" t="str">
        <f t="shared" si="4"/>
        <v>602</v>
      </c>
      <c r="C88" s="2" t="s">
        <v>239</v>
      </c>
      <c r="D88" s="2" t="s">
        <v>239</v>
      </c>
      <c r="E88" s="2" t="s">
        <v>217</v>
      </c>
      <c r="F88" s="2" t="s">
        <v>217</v>
      </c>
      <c r="G88" s="2" t="s">
        <v>53</v>
      </c>
      <c r="H88" s="2" t="s">
        <v>53</v>
      </c>
      <c r="I88" s="2" t="s">
        <v>54</v>
      </c>
      <c r="J88" s="2" t="s">
        <v>54</v>
      </c>
      <c r="K88" s="2" t="s">
        <v>268</v>
      </c>
      <c r="L88" s="2" t="s">
        <v>237</v>
      </c>
      <c r="M88" s="2" t="s">
        <v>56</v>
      </c>
      <c r="N88" s="2" t="s">
        <v>72</v>
      </c>
      <c r="O88" s="3">
        <v>20782.990000000002</v>
      </c>
      <c r="P88" s="3">
        <v>20782.990000000002</v>
      </c>
      <c r="Q88" s="3">
        <v>20782.990000000002</v>
      </c>
      <c r="R88" s="3">
        <v>20782.990000000002</v>
      </c>
      <c r="S88" s="3">
        <v>20782.990000000002</v>
      </c>
      <c r="T88" s="3">
        <v>20782.990000000002</v>
      </c>
      <c r="U88" s="3">
        <v>20782.990000000002</v>
      </c>
      <c r="V88" s="3">
        <v>20782.990000000002</v>
      </c>
      <c r="W88" s="3">
        <v>20782.990000000002</v>
      </c>
      <c r="X88" s="3">
        <v>20782.990000000002</v>
      </c>
      <c r="Y88" s="3">
        <v>20782.990000000002</v>
      </c>
      <c r="Z88" s="3">
        <v>20782.990000000002</v>
      </c>
      <c r="AA88" s="3">
        <v>249395.87999999998</v>
      </c>
      <c r="AB88" s="8">
        <f>IF(N88="EUR",AA88,IF(N88="GBP",AA88/Rate!$C$3,AA88/Rate!$C$5))</f>
        <v>286661.93103448272</v>
      </c>
      <c r="AC88" s="43">
        <f>IFERROR(VLOOKUP(K88,'4.2 Simplify Savings'!K:AB,18,0),0)</f>
        <v>0</v>
      </c>
      <c r="AD88" s="44">
        <f t="shared" si="5"/>
        <v>286661.93103448272</v>
      </c>
    </row>
    <row r="89" spans="1:30" x14ac:dyDescent="0.3">
      <c r="A89" t="str">
        <f>_xlfn.XLOOKUP(B89*1,'Reference '!I:I,'Reference '!K:K)</f>
        <v>Ben Gbeve</v>
      </c>
      <c r="B89" s="2" t="str">
        <f t="shared" si="4"/>
        <v>601</v>
      </c>
      <c r="C89" s="2" t="s">
        <v>75</v>
      </c>
      <c r="D89" s="2" t="s">
        <v>75</v>
      </c>
      <c r="E89" s="2" t="s">
        <v>82</v>
      </c>
      <c r="F89" s="2" t="s">
        <v>82</v>
      </c>
      <c r="G89" s="2" t="s">
        <v>53</v>
      </c>
      <c r="H89" s="2" t="s">
        <v>53</v>
      </c>
      <c r="I89" s="2" t="s">
        <v>54</v>
      </c>
      <c r="J89" s="2" t="s">
        <v>54</v>
      </c>
      <c r="K89" s="2" t="s">
        <v>83</v>
      </c>
      <c r="L89" s="2" t="s">
        <v>84</v>
      </c>
      <c r="M89" s="2" t="s">
        <v>56</v>
      </c>
      <c r="N89" s="2" t="s">
        <v>57</v>
      </c>
      <c r="O89" s="3">
        <v>58598.5</v>
      </c>
      <c r="P89" s="3">
        <v>58598.5</v>
      </c>
      <c r="Q89" s="3">
        <v>58598.5</v>
      </c>
      <c r="R89" s="3">
        <v>58598.5</v>
      </c>
      <c r="S89" s="3">
        <v>58598.5</v>
      </c>
      <c r="T89" s="3">
        <v>58598.5</v>
      </c>
      <c r="U89" s="3">
        <v>58598.5</v>
      </c>
      <c r="V89" s="3">
        <v>58598.5</v>
      </c>
      <c r="W89" s="3">
        <v>58598.5</v>
      </c>
      <c r="X89" s="3">
        <v>58598.5</v>
      </c>
      <c r="Y89" s="3">
        <v>58598.5</v>
      </c>
      <c r="Z89" s="3">
        <v>58598.5</v>
      </c>
      <c r="AA89" s="3">
        <v>703182</v>
      </c>
      <c r="AB89" s="8">
        <f>IF(N89="EUR",AA89,IF(N89="GBP",AA89/Rate!$C$3,AA89/Rate!$C$5))</f>
        <v>703182</v>
      </c>
      <c r="AC89" s="43">
        <f>IFERROR(VLOOKUP(K89,'4.2 Simplify Savings'!K:AB,18,0),0)</f>
        <v>0</v>
      </c>
      <c r="AD89" s="44">
        <f t="shared" si="5"/>
        <v>703182</v>
      </c>
    </row>
    <row r="90" spans="1:30" x14ac:dyDescent="0.3">
      <c r="A90" t="str">
        <f>_xlfn.XLOOKUP(B90*1,'Reference '!I:I,'Reference '!K:K)</f>
        <v>Ben Gbeve</v>
      </c>
      <c r="B90" s="2" t="str">
        <f t="shared" si="4"/>
        <v>601</v>
      </c>
      <c r="C90" s="2" t="s">
        <v>110</v>
      </c>
      <c r="D90" s="2" t="s">
        <v>110</v>
      </c>
      <c r="E90" s="2" t="s">
        <v>82</v>
      </c>
      <c r="F90" s="2" t="s">
        <v>82</v>
      </c>
      <c r="G90" s="2" t="s">
        <v>53</v>
      </c>
      <c r="H90" s="2" t="s">
        <v>53</v>
      </c>
      <c r="I90" s="2" t="s">
        <v>54</v>
      </c>
      <c r="J90" s="2" t="s">
        <v>54</v>
      </c>
      <c r="K90" s="2" t="s">
        <v>117</v>
      </c>
      <c r="L90" s="2" t="s">
        <v>118</v>
      </c>
      <c r="M90" s="2" t="s">
        <v>56</v>
      </c>
      <c r="N90" s="2" t="s">
        <v>72</v>
      </c>
      <c r="O90" s="3">
        <v>8116</v>
      </c>
      <c r="P90" s="3">
        <v>8116</v>
      </c>
      <c r="Q90" s="3">
        <v>8116</v>
      </c>
      <c r="R90" s="3">
        <v>8116</v>
      </c>
      <c r="S90" s="3">
        <v>8117</v>
      </c>
      <c r="T90" s="3">
        <v>8117</v>
      </c>
      <c r="U90" s="3">
        <v>8117</v>
      </c>
      <c r="V90" s="3">
        <v>8117</v>
      </c>
      <c r="W90" s="3">
        <v>8117</v>
      </c>
      <c r="X90" s="3">
        <v>8117</v>
      </c>
      <c r="Y90" s="3">
        <v>8117</v>
      </c>
      <c r="Z90" s="3">
        <v>8117</v>
      </c>
      <c r="AA90" s="3">
        <v>97400</v>
      </c>
      <c r="AB90" s="8">
        <f>IF(N90="EUR",AA90,IF(N90="GBP",AA90/Rate!$C$3,AA90/Rate!$C$5))</f>
        <v>111954.02298850575</v>
      </c>
      <c r="AC90" s="43">
        <f>IFERROR(VLOOKUP(K90,'4.2 Simplify Savings'!K:AB,18,0),0)</f>
        <v>0</v>
      </c>
      <c r="AD90" s="44">
        <f t="shared" si="5"/>
        <v>111954.02298850575</v>
      </c>
    </row>
    <row r="91" spans="1:30" x14ac:dyDescent="0.3">
      <c r="A91" t="str">
        <f>_xlfn.XLOOKUP(B91*1,'Reference '!I:I,'Reference '!K:K)</f>
        <v>Ben Gbeve</v>
      </c>
      <c r="B91" s="2" t="str">
        <f t="shared" si="4"/>
        <v>601</v>
      </c>
      <c r="C91" s="2" t="s">
        <v>110</v>
      </c>
      <c r="D91" s="2" t="s">
        <v>110</v>
      </c>
      <c r="E91" s="2" t="s">
        <v>82</v>
      </c>
      <c r="F91" s="2" t="s">
        <v>82</v>
      </c>
      <c r="G91" s="2" t="s">
        <v>53</v>
      </c>
      <c r="H91" s="2" t="s">
        <v>53</v>
      </c>
      <c r="I91" s="2" t="s">
        <v>54</v>
      </c>
      <c r="J91" s="2" t="s">
        <v>54</v>
      </c>
      <c r="K91" s="2" t="s">
        <v>138</v>
      </c>
      <c r="L91" s="2" t="s">
        <v>137</v>
      </c>
      <c r="M91" s="2" t="s">
        <v>56</v>
      </c>
      <c r="N91" s="2" t="s">
        <v>72</v>
      </c>
      <c r="O91" s="3">
        <v>880</v>
      </c>
      <c r="P91" s="3">
        <v>880</v>
      </c>
      <c r="Q91" s="3">
        <v>880</v>
      </c>
      <c r="R91" s="3">
        <v>880</v>
      </c>
      <c r="S91" s="3">
        <v>880</v>
      </c>
      <c r="T91" s="3">
        <v>880</v>
      </c>
      <c r="U91" s="3">
        <v>880</v>
      </c>
      <c r="V91" s="3">
        <v>880</v>
      </c>
      <c r="W91" s="3">
        <v>880</v>
      </c>
      <c r="X91" s="3">
        <v>880</v>
      </c>
      <c r="Y91" s="3">
        <v>880</v>
      </c>
      <c r="Z91" s="3">
        <v>880</v>
      </c>
      <c r="AA91" s="3">
        <v>10560</v>
      </c>
      <c r="AB91" s="8">
        <f>IF(N91="EUR",AA91,IF(N91="GBP",AA91/Rate!$C$3,AA91/Rate!$C$5))</f>
        <v>12137.931034482759</v>
      </c>
      <c r="AC91" s="43">
        <f>IFERROR(VLOOKUP(K91,'4.2 Simplify Savings'!K:AB,18,0),0)</f>
        <v>0</v>
      </c>
      <c r="AD91" s="44">
        <f t="shared" si="5"/>
        <v>12137.931034482759</v>
      </c>
    </row>
    <row r="92" spans="1:30" x14ac:dyDescent="0.3">
      <c r="A92" t="str">
        <f>_xlfn.XLOOKUP(B92*1,'Reference '!I:I,'Reference '!K:K)</f>
        <v>Ben Gbeve</v>
      </c>
      <c r="B92" s="2" t="str">
        <f t="shared" si="4"/>
        <v>601</v>
      </c>
      <c r="C92" s="2" t="s">
        <v>110</v>
      </c>
      <c r="D92" s="2" t="s">
        <v>110</v>
      </c>
      <c r="E92" s="2" t="s">
        <v>82</v>
      </c>
      <c r="F92" s="2" t="s">
        <v>82</v>
      </c>
      <c r="G92" s="2" t="s">
        <v>53</v>
      </c>
      <c r="H92" s="2" t="s">
        <v>53</v>
      </c>
      <c r="I92" s="2" t="s">
        <v>54</v>
      </c>
      <c r="J92" s="2" t="s">
        <v>54</v>
      </c>
      <c r="K92" s="2" t="s">
        <v>142</v>
      </c>
      <c r="L92" s="2" t="s">
        <v>143</v>
      </c>
      <c r="M92" s="2" t="s">
        <v>56</v>
      </c>
      <c r="N92" s="2" t="s">
        <v>72</v>
      </c>
      <c r="O92" s="3">
        <v>667</v>
      </c>
      <c r="P92" s="3">
        <v>667</v>
      </c>
      <c r="Q92" s="3">
        <v>667</v>
      </c>
      <c r="R92" s="3">
        <v>667</v>
      </c>
      <c r="S92" s="3">
        <v>667</v>
      </c>
      <c r="T92" s="3">
        <v>667</v>
      </c>
      <c r="U92" s="3">
        <v>667</v>
      </c>
      <c r="V92" s="3">
        <v>667</v>
      </c>
      <c r="W92" s="3">
        <v>667</v>
      </c>
      <c r="X92" s="3">
        <v>667</v>
      </c>
      <c r="Y92" s="3">
        <v>667</v>
      </c>
      <c r="Z92" s="3">
        <v>667</v>
      </c>
      <c r="AA92" s="3">
        <v>8004</v>
      </c>
      <c r="AB92" s="8">
        <f>IF(N92="EUR",AA92,IF(N92="GBP",AA92/Rate!$C$3,AA92/Rate!$C$5))</f>
        <v>9200</v>
      </c>
      <c r="AC92" s="43">
        <f>IFERROR(VLOOKUP(K92,'4.2 Simplify Savings'!K:AB,18,0),0)</f>
        <v>0</v>
      </c>
      <c r="AD92" s="44">
        <f t="shared" si="5"/>
        <v>9200</v>
      </c>
    </row>
    <row r="93" spans="1:30" x14ac:dyDescent="0.3">
      <c r="A93" t="str">
        <f>_xlfn.XLOOKUP(B93*1,'Reference '!I:I,'Reference '!K:K)</f>
        <v>Ben Gbeve</v>
      </c>
      <c r="B93" s="2" t="str">
        <f t="shared" si="4"/>
        <v>601</v>
      </c>
      <c r="C93" s="2" t="s">
        <v>110</v>
      </c>
      <c r="D93" s="2" t="s">
        <v>110</v>
      </c>
      <c r="E93" s="2" t="s">
        <v>82</v>
      </c>
      <c r="F93" s="2" t="s">
        <v>82</v>
      </c>
      <c r="G93" s="2" t="s">
        <v>53</v>
      </c>
      <c r="H93" s="2" t="s">
        <v>53</v>
      </c>
      <c r="I93" s="2" t="s">
        <v>54</v>
      </c>
      <c r="J93" s="2" t="s">
        <v>54</v>
      </c>
      <c r="K93" s="2" t="s">
        <v>164</v>
      </c>
      <c r="L93" s="2" t="s">
        <v>165</v>
      </c>
      <c r="M93" s="2" t="s">
        <v>56</v>
      </c>
      <c r="N93" s="2" t="s">
        <v>72</v>
      </c>
      <c r="O93" s="3">
        <v>2666.67</v>
      </c>
      <c r="P93" s="3">
        <v>2666.67</v>
      </c>
      <c r="Q93" s="3">
        <v>2666.67</v>
      </c>
      <c r="R93" s="3">
        <v>2666.67</v>
      </c>
      <c r="S93" s="3">
        <v>2666.67</v>
      </c>
      <c r="T93" s="3">
        <v>2666.67</v>
      </c>
      <c r="U93" s="3">
        <v>2666.67</v>
      </c>
      <c r="V93" s="3">
        <v>2666.67</v>
      </c>
      <c r="W93" s="3">
        <v>2666.67</v>
      </c>
      <c r="X93" s="3">
        <v>2666.67</v>
      </c>
      <c r="Y93" s="3">
        <v>2666.67</v>
      </c>
      <c r="Z93" s="3">
        <v>2666.67</v>
      </c>
      <c r="AA93" s="3">
        <v>32000.039999999994</v>
      </c>
      <c r="AB93" s="8">
        <f>IF(N93="EUR",AA93,IF(N93="GBP",AA93/Rate!$C$3,AA93/Rate!$C$5))</f>
        <v>36781.655172413783</v>
      </c>
      <c r="AC93" s="43">
        <f>IFERROR(VLOOKUP(K93,'4.2 Simplify Savings'!K:AB,18,0),0)</f>
        <v>0</v>
      </c>
      <c r="AD93" s="44">
        <f t="shared" si="5"/>
        <v>36781.655172413783</v>
      </c>
    </row>
    <row r="94" spans="1:30" x14ac:dyDescent="0.3">
      <c r="A94" t="str">
        <f>_xlfn.XLOOKUP(B94*1,'Reference '!I:I,'Reference '!K:K)</f>
        <v>Ben Gbeve</v>
      </c>
      <c r="B94" s="2" t="str">
        <f t="shared" si="4"/>
        <v>601</v>
      </c>
      <c r="C94" s="2" t="s">
        <v>110</v>
      </c>
      <c r="D94" s="2" t="s">
        <v>110</v>
      </c>
      <c r="E94" s="2" t="s">
        <v>82</v>
      </c>
      <c r="F94" s="2" t="s">
        <v>82</v>
      </c>
      <c r="G94" s="2" t="s">
        <v>53</v>
      </c>
      <c r="H94" s="2" t="s">
        <v>53</v>
      </c>
      <c r="I94" s="2" t="s">
        <v>54</v>
      </c>
      <c r="J94" s="2" t="s">
        <v>54</v>
      </c>
      <c r="K94" s="2"/>
      <c r="L94" s="2" t="s">
        <v>166</v>
      </c>
      <c r="M94" s="2" t="s">
        <v>56</v>
      </c>
      <c r="N94" s="2" t="s">
        <v>72</v>
      </c>
      <c r="O94" s="3">
        <v>10416.67</v>
      </c>
      <c r="P94" s="3">
        <v>10416.67</v>
      </c>
      <c r="Q94" s="3">
        <v>10416.67</v>
      </c>
      <c r="R94" s="3">
        <v>10416.67</v>
      </c>
      <c r="S94" s="3">
        <v>10416.67</v>
      </c>
      <c r="T94" s="3">
        <v>10416.67</v>
      </c>
      <c r="U94" s="3">
        <v>10416.67</v>
      </c>
      <c r="V94" s="3">
        <v>10416.67</v>
      </c>
      <c r="W94" s="3">
        <v>10416.67</v>
      </c>
      <c r="X94" s="3">
        <v>10416.67</v>
      </c>
      <c r="Y94" s="3">
        <v>10416.67</v>
      </c>
      <c r="Z94" s="3">
        <v>10416.67</v>
      </c>
      <c r="AA94" s="3">
        <v>125000.04</v>
      </c>
      <c r="AB94" s="8">
        <f>IF(N94="EUR",AA94,IF(N94="GBP",AA94/Rate!$C$3,AA94/Rate!$C$5))</f>
        <v>143678.20689655171</v>
      </c>
      <c r="AC94" s="43">
        <f>IFERROR(VLOOKUP(K94,'4.2 Simplify Savings'!K:AB,18,0),0)</f>
        <v>0</v>
      </c>
      <c r="AD94" s="44">
        <f t="shared" si="5"/>
        <v>143678.20689655171</v>
      </c>
    </row>
    <row r="95" spans="1:30" x14ac:dyDescent="0.3">
      <c r="A95" t="str">
        <f>_xlfn.XLOOKUP(B95*1,'Reference '!I:I,'Reference '!K:K)</f>
        <v>Ben Gbeve</v>
      </c>
      <c r="B95" s="2" t="str">
        <f t="shared" si="4"/>
        <v>601</v>
      </c>
      <c r="C95" s="2" t="s">
        <v>110</v>
      </c>
      <c r="D95" s="2" t="s">
        <v>110</v>
      </c>
      <c r="E95" s="2" t="s">
        <v>82</v>
      </c>
      <c r="F95" s="2" t="s">
        <v>82</v>
      </c>
      <c r="G95" s="2" t="s">
        <v>53</v>
      </c>
      <c r="H95" s="2" t="s">
        <v>53</v>
      </c>
      <c r="I95" s="2" t="s">
        <v>54</v>
      </c>
      <c r="J95" s="2" t="s">
        <v>54</v>
      </c>
      <c r="K95" s="2" t="s">
        <v>175</v>
      </c>
      <c r="L95" s="2" t="s">
        <v>176</v>
      </c>
      <c r="M95" s="2" t="s">
        <v>56</v>
      </c>
      <c r="N95" s="2" t="s">
        <v>72</v>
      </c>
      <c r="O95" s="3">
        <v>250</v>
      </c>
      <c r="P95" s="3">
        <v>250</v>
      </c>
      <c r="Q95" s="3">
        <v>250</v>
      </c>
      <c r="R95" s="3">
        <v>250</v>
      </c>
      <c r="S95" s="3">
        <v>250</v>
      </c>
      <c r="T95" s="3">
        <v>250</v>
      </c>
      <c r="U95" s="3">
        <v>250</v>
      </c>
      <c r="V95" s="3">
        <v>250</v>
      </c>
      <c r="W95" s="3">
        <v>250</v>
      </c>
      <c r="X95" s="3">
        <v>250</v>
      </c>
      <c r="Y95" s="3">
        <v>250</v>
      </c>
      <c r="Z95" s="3">
        <v>250</v>
      </c>
      <c r="AA95" s="3">
        <v>3000</v>
      </c>
      <c r="AB95" s="8">
        <f>IF(N95="EUR",AA95,IF(N95="GBP",AA95/Rate!$C$3,AA95/Rate!$C$5))</f>
        <v>3448.2758620689656</v>
      </c>
      <c r="AC95" s="43">
        <f>'4.2 Simplify Savings'!$AB$27</f>
        <v>-3405</v>
      </c>
      <c r="AD95" s="44">
        <f t="shared" si="5"/>
        <v>43.27586206896558</v>
      </c>
    </row>
    <row r="96" spans="1:30" x14ac:dyDescent="0.3">
      <c r="A96" t="str">
        <f>_xlfn.XLOOKUP(B96*1,'Reference '!I:I,'Reference '!K:K)</f>
        <v>Ben Gbeve</v>
      </c>
      <c r="B96" s="2" t="str">
        <f t="shared" si="4"/>
        <v>601</v>
      </c>
      <c r="C96" s="2" t="s">
        <v>110</v>
      </c>
      <c r="D96" s="2" t="s">
        <v>110</v>
      </c>
      <c r="E96" s="2" t="s">
        <v>82</v>
      </c>
      <c r="F96" s="2" t="s">
        <v>82</v>
      </c>
      <c r="G96" s="2" t="s">
        <v>53</v>
      </c>
      <c r="H96" s="2" t="s">
        <v>53</v>
      </c>
      <c r="I96" s="2" t="s">
        <v>54</v>
      </c>
      <c r="J96" s="2" t="s">
        <v>54</v>
      </c>
      <c r="K96" s="2" t="s">
        <v>186</v>
      </c>
      <c r="L96" s="2" t="s">
        <v>187</v>
      </c>
      <c r="M96" s="2" t="s">
        <v>56</v>
      </c>
      <c r="N96" s="2" t="s">
        <v>72</v>
      </c>
      <c r="O96" s="3">
        <v>4384</v>
      </c>
      <c r="P96" s="3">
        <v>4384</v>
      </c>
      <c r="Q96" s="3">
        <v>4384</v>
      </c>
      <c r="R96" s="3">
        <v>4384</v>
      </c>
      <c r="S96" s="3">
        <v>4383</v>
      </c>
      <c r="T96" s="3">
        <v>4383</v>
      </c>
      <c r="U96" s="3">
        <v>4383</v>
      </c>
      <c r="V96" s="3">
        <v>4383</v>
      </c>
      <c r="W96" s="3">
        <v>4383</v>
      </c>
      <c r="X96" s="3">
        <v>4383</v>
      </c>
      <c r="Y96" s="3">
        <v>4383</v>
      </c>
      <c r="Z96" s="3">
        <v>4383</v>
      </c>
      <c r="AA96" s="3">
        <v>52600</v>
      </c>
      <c r="AB96" s="8">
        <f>IF(N96="EUR",AA96,IF(N96="GBP",AA96/Rate!$C$3,AA96/Rate!$C$5))</f>
        <v>60459.770114942527</v>
      </c>
      <c r="AC96" s="43">
        <f>IFERROR(VLOOKUP(K96,'4.2 Simplify Savings'!K:AB,18,0),0)</f>
        <v>0</v>
      </c>
      <c r="AD96" s="44">
        <f t="shared" si="5"/>
        <v>60459.770114942527</v>
      </c>
    </row>
    <row r="97" spans="1:30" x14ac:dyDescent="0.3">
      <c r="A97" t="str">
        <f>_xlfn.XLOOKUP(B97*1,'Reference '!I:I,'Reference '!K:K)</f>
        <v>Ben Gbeve</v>
      </c>
      <c r="B97" s="2" t="str">
        <f t="shared" si="4"/>
        <v>601</v>
      </c>
      <c r="C97" s="2" t="s">
        <v>110</v>
      </c>
      <c r="D97" s="2" t="s">
        <v>110</v>
      </c>
      <c r="E97" s="2" t="s">
        <v>82</v>
      </c>
      <c r="F97" s="2" t="s">
        <v>82</v>
      </c>
      <c r="G97" s="2" t="s">
        <v>53</v>
      </c>
      <c r="H97" s="2" t="s">
        <v>53</v>
      </c>
      <c r="I97" s="2" t="s">
        <v>54</v>
      </c>
      <c r="J97" s="2" t="s">
        <v>54</v>
      </c>
      <c r="K97" s="2" t="s">
        <v>188</v>
      </c>
      <c r="L97" s="2" t="s">
        <v>189</v>
      </c>
      <c r="M97" s="2" t="s">
        <v>56</v>
      </c>
      <c r="N97" s="2" t="s">
        <v>72</v>
      </c>
      <c r="O97" s="3">
        <v>3850</v>
      </c>
      <c r="P97" s="3">
        <v>3850</v>
      </c>
      <c r="Q97" s="3">
        <v>3850</v>
      </c>
      <c r="R97" s="3">
        <v>3850</v>
      </c>
      <c r="S97" s="3">
        <v>3850</v>
      </c>
      <c r="T97" s="3">
        <v>3850</v>
      </c>
      <c r="U97" s="3">
        <v>3850</v>
      </c>
      <c r="V97" s="3">
        <v>3850</v>
      </c>
      <c r="W97" s="3">
        <v>3850</v>
      </c>
      <c r="X97" s="3">
        <v>3850</v>
      </c>
      <c r="Y97" s="3">
        <v>3850</v>
      </c>
      <c r="Z97" s="3">
        <v>3850</v>
      </c>
      <c r="AA97" s="3">
        <v>46200</v>
      </c>
      <c r="AB97" s="8">
        <f>IF(N97="EUR",AA97,IF(N97="GBP",AA97/Rate!$C$3,AA97/Rate!$C$5))</f>
        <v>53103.448275862072</v>
      </c>
      <c r="AC97" s="43">
        <f>IFERROR(VLOOKUP(K97,'4.2 Simplify Savings'!K:AB,18,0),0)</f>
        <v>0</v>
      </c>
      <c r="AD97" s="44">
        <f t="shared" si="5"/>
        <v>53103.448275862072</v>
      </c>
    </row>
    <row r="98" spans="1:30" x14ac:dyDescent="0.3">
      <c r="A98" t="str">
        <f>_xlfn.XLOOKUP(B98*1,'Reference '!I:I,'Reference '!K:K)</f>
        <v>Ben Gbeve</v>
      </c>
      <c r="B98" s="2" t="str">
        <f t="shared" si="4"/>
        <v>601</v>
      </c>
      <c r="C98" s="2" t="s">
        <v>110</v>
      </c>
      <c r="D98" s="2" t="s">
        <v>110</v>
      </c>
      <c r="E98" s="2" t="s">
        <v>82</v>
      </c>
      <c r="F98" s="2" t="s">
        <v>82</v>
      </c>
      <c r="G98" s="2" t="s">
        <v>53</v>
      </c>
      <c r="H98" s="2" t="s">
        <v>53</v>
      </c>
      <c r="I98" s="2" t="s">
        <v>54</v>
      </c>
      <c r="J98" s="2" t="s">
        <v>54</v>
      </c>
      <c r="K98" s="2" t="s">
        <v>190</v>
      </c>
      <c r="L98" s="2" t="s">
        <v>191</v>
      </c>
      <c r="M98" s="2" t="s">
        <v>56</v>
      </c>
      <c r="N98" s="2" t="s">
        <v>72</v>
      </c>
      <c r="O98" s="3">
        <v>3083.33</v>
      </c>
      <c r="P98" s="3">
        <v>3083.33</v>
      </c>
      <c r="Q98" s="3">
        <v>3083.33</v>
      </c>
      <c r="R98" s="3">
        <v>3083.33</v>
      </c>
      <c r="S98" s="3">
        <v>3083.33</v>
      </c>
      <c r="T98" s="3">
        <v>3083.33</v>
      </c>
      <c r="U98" s="3">
        <v>3083.33</v>
      </c>
      <c r="V98" s="3">
        <v>3083.33</v>
      </c>
      <c r="W98" s="3">
        <v>3083.33</v>
      </c>
      <c r="X98" s="3">
        <v>3083.33</v>
      </c>
      <c r="Y98" s="3">
        <v>3083.33</v>
      </c>
      <c r="Z98" s="3">
        <v>3083.33</v>
      </c>
      <c r="AA98" s="3">
        <v>36999.960000000006</v>
      </c>
      <c r="AB98" s="8">
        <f>IF(N98="EUR",AA98,IF(N98="GBP",AA98/Rate!$C$3,AA98/Rate!$C$5))</f>
        <v>42528.68965517242</v>
      </c>
      <c r="AC98" s="43">
        <f>IFERROR(VLOOKUP(K98,'4.2 Simplify Savings'!K:AB,18,0),0)</f>
        <v>0</v>
      </c>
      <c r="AD98" s="44">
        <f t="shared" si="5"/>
        <v>42528.68965517242</v>
      </c>
    </row>
    <row r="99" spans="1:30" x14ac:dyDescent="0.3">
      <c r="A99" t="str">
        <f>_xlfn.XLOOKUP(B99*1,'Reference '!I:I,'Reference '!K:K)</f>
        <v>Ben Gbeve</v>
      </c>
      <c r="B99" s="2" t="str">
        <f t="shared" ref="B99:B124" si="6">LEFT(C99,3)</f>
        <v>601</v>
      </c>
      <c r="C99" s="2" t="s">
        <v>110</v>
      </c>
      <c r="D99" s="2" t="s">
        <v>110</v>
      </c>
      <c r="E99" s="2" t="s">
        <v>82</v>
      </c>
      <c r="F99" s="2" t="s">
        <v>82</v>
      </c>
      <c r="G99" s="2" t="s">
        <v>53</v>
      </c>
      <c r="H99" s="2" t="s">
        <v>53</v>
      </c>
      <c r="I99" s="2" t="s">
        <v>54</v>
      </c>
      <c r="J99" s="2" t="s">
        <v>54</v>
      </c>
      <c r="K99" s="2" t="s">
        <v>192</v>
      </c>
      <c r="L99" s="2" t="s">
        <v>191</v>
      </c>
      <c r="M99" s="2" t="s">
        <v>56</v>
      </c>
      <c r="N99" s="2" t="s">
        <v>72</v>
      </c>
      <c r="O99" s="3">
        <v>7900</v>
      </c>
      <c r="P99" s="3">
        <v>7900</v>
      </c>
      <c r="Q99" s="3">
        <v>7900</v>
      </c>
      <c r="R99" s="3">
        <v>7900</v>
      </c>
      <c r="S99" s="3">
        <v>7900</v>
      </c>
      <c r="T99" s="3">
        <v>7900</v>
      </c>
      <c r="U99" s="3">
        <v>7900</v>
      </c>
      <c r="V99" s="3">
        <v>7900</v>
      </c>
      <c r="W99" s="3">
        <v>7900</v>
      </c>
      <c r="X99" s="3">
        <v>7900</v>
      </c>
      <c r="Y99" s="3">
        <v>7900</v>
      </c>
      <c r="Z99" s="3">
        <v>7900</v>
      </c>
      <c r="AA99" s="3">
        <v>94800</v>
      </c>
      <c r="AB99" s="8">
        <f>IF(N99="EUR",AA99,IF(N99="GBP",AA99/Rate!$C$3,AA99/Rate!$C$5))</f>
        <v>108965.5172413793</v>
      </c>
      <c r="AC99" s="43">
        <f>IFERROR(VLOOKUP(K99,'4.2 Simplify Savings'!K:AB,18,0),0)</f>
        <v>0</v>
      </c>
      <c r="AD99" s="44">
        <f t="shared" si="5"/>
        <v>108965.5172413793</v>
      </c>
    </row>
    <row r="100" spans="1:30" x14ac:dyDescent="0.3">
      <c r="A100" t="str">
        <f>_xlfn.XLOOKUP(B100*1,'Reference '!I:I,'Reference '!K:K)</f>
        <v>Ben Gbeve</v>
      </c>
      <c r="B100" s="2" t="str">
        <f t="shared" si="6"/>
        <v>601</v>
      </c>
      <c r="C100" s="2" t="s">
        <v>210</v>
      </c>
      <c r="D100" s="2" t="s">
        <v>210</v>
      </c>
      <c r="E100" s="2" t="s">
        <v>82</v>
      </c>
      <c r="F100" s="2" t="s">
        <v>82</v>
      </c>
      <c r="G100" s="2" t="s">
        <v>53</v>
      </c>
      <c r="H100" s="2" t="s">
        <v>53</v>
      </c>
      <c r="I100" s="2" t="s">
        <v>54</v>
      </c>
      <c r="J100" s="2" t="s">
        <v>54</v>
      </c>
      <c r="K100" s="2" t="s">
        <v>211</v>
      </c>
      <c r="L100" s="2" t="s">
        <v>212</v>
      </c>
      <c r="M100" s="2" t="s">
        <v>56</v>
      </c>
      <c r="N100" s="2" t="s">
        <v>213</v>
      </c>
      <c r="O100" s="3">
        <v>2500</v>
      </c>
      <c r="P100" s="3">
        <v>2500</v>
      </c>
      <c r="Q100" s="3">
        <v>2500</v>
      </c>
      <c r="R100" s="3">
        <v>2500</v>
      </c>
      <c r="S100" s="3">
        <v>2500</v>
      </c>
      <c r="T100" s="3">
        <v>2500</v>
      </c>
      <c r="U100" s="3">
        <v>2500</v>
      </c>
      <c r="V100" s="3">
        <v>2500</v>
      </c>
      <c r="W100" s="3">
        <v>2500</v>
      </c>
      <c r="X100" s="3">
        <v>2500</v>
      </c>
      <c r="Y100" s="3">
        <v>2500</v>
      </c>
      <c r="Z100" s="3">
        <v>2500</v>
      </c>
      <c r="AA100" s="3">
        <v>30000</v>
      </c>
      <c r="AB100" s="8">
        <f>IF(N100="EUR",AA100,IF(N100="GBP",AA100/Rate!$C$3,AA100/Rate!$C$5))</f>
        <v>25641.025641025644</v>
      </c>
      <c r="AC100" s="43">
        <f>'4.2 Simplify Savings'!$AB$28</f>
        <v>-25800</v>
      </c>
      <c r="AD100" s="44">
        <f t="shared" si="5"/>
        <v>-158.97435897435571</v>
      </c>
    </row>
    <row r="101" spans="1:30" x14ac:dyDescent="0.3">
      <c r="A101" t="str">
        <f>_xlfn.XLOOKUP(B101*1,'Reference '!I:I,'Reference '!K:K)</f>
        <v>Ben Gbeve</v>
      </c>
      <c r="B101" s="2" t="str">
        <f t="shared" si="6"/>
        <v>601</v>
      </c>
      <c r="C101" s="2" t="s">
        <v>210</v>
      </c>
      <c r="D101" s="2" t="s">
        <v>210</v>
      </c>
      <c r="E101" s="2" t="s">
        <v>82</v>
      </c>
      <c r="F101" s="2" t="s">
        <v>82</v>
      </c>
      <c r="G101" s="2" t="s">
        <v>53</v>
      </c>
      <c r="H101" s="2" t="s">
        <v>53</v>
      </c>
      <c r="I101" s="2" t="s">
        <v>54</v>
      </c>
      <c r="J101" s="2" t="s">
        <v>54</v>
      </c>
      <c r="K101" s="2" t="s">
        <v>216</v>
      </c>
      <c r="L101" s="2" t="s">
        <v>191</v>
      </c>
      <c r="M101" s="2" t="s">
        <v>56</v>
      </c>
      <c r="N101" s="2" t="s">
        <v>213</v>
      </c>
      <c r="O101" s="3">
        <v>7613.67</v>
      </c>
      <c r="P101" s="3">
        <v>7613.67</v>
      </c>
      <c r="Q101" s="3">
        <v>7613.67</v>
      </c>
      <c r="R101" s="3">
        <v>7613.67</v>
      </c>
      <c r="S101" s="3">
        <v>7613.67</v>
      </c>
      <c r="T101" s="3">
        <v>7613.67</v>
      </c>
      <c r="U101" s="3">
        <v>7613.67</v>
      </c>
      <c r="V101" s="3">
        <v>7613.67</v>
      </c>
      <c r="W101" s="3">
        <v>7613.67</v>
      </c>
      <c r="X101" s="3">
        <v>7613.67</v>
      </c>
      <c r="Y101" s="3">
        <v>7613.67</v>
      </c>
      <c r="Z101" s="3">
        <v>7613.67</v>
      </c>
      <c r="AA101" s="3">
        <v>91364.04</v>
      </c>
      <c r="AB101" s="8">
        <f>IF(N101="EUR",AA101,IF(N101="GBP",AA101/Rate!$C$3,AA101/Rate!$C$5))</f>
        <v>78088.923076923078</v>
      </c>
      <c r="AC101" s="43">
        <f>IFERROR(VLOOKUP(K101,'4.2 Simplify Savings'!K:AB,18,0),0)</f>
        <v>0</v>
      </c>
      <c r="AD101" s="44">
        <f t="shared" ref="AD101:AD132" si="7">SUM(AB101:AC101)</f>
        <v>78088.923076923078</v>
      </c>
    </row>
    <row r="102" spans="1:30" x14ac:dyDescent="0.3">
      <c r="A102" t="str">
        <f>_xlfn.XLOOKUP(B102*1,'Reference '!I:I,'Reference '!K:K)</f>
        <v>Valerie Veyt</v>
      </c>
      <c r="B102" s="2" t="str">
        <f t="shared" si="6"/>
        <v>602</v>
      </c>
      <c r="C102" s="2" t="s">
        <v>222</v>
      </c>
      <c r="D102" s="2" t="s">
        <v>222</v>
      </c>
      <c r="E102" s="2" t="s">
        <v>82</v>
      </c>
      <c r="F102" s="2" t="s">
        <v>82</v>
      </c>
      <c r="G102" s="2" t="s">
        <v>53</v>
      </c>
      <c r="H102" s="2" t="s">
        <v>53</v>
      </c>
      <c r="I102" s="2" t="s">
        <v>54</v>
      </c>
      <c r="J102" s="2" t="s">
        <v>54</v>
      </c>
      <c r="K102" s="2" t="s">
        <v>225</v>
      </c>
      <c r="L102" s="2" t="s">
        <v>226</v>
      </c>
      <c r="M102" s="2" t="s">
        <v>56</v>
      </c>
      <c r="N102" s="2" t="s">
        <v>57</v>
      </c>
      <c r="O102" s="3">
        <v>4666.67</v>
      </c>
      <c r="P102" s="3">
        <v>4666.67</v>
      </c>
      <c r="Q102" s="3">
        <v>4666.67</v>
      </c>
      <c r="R102" s="3">
        <v>4666.67</v>
      </c>
      <c r="S102" s="3">
        <v>4666.67</v>
      </c>
      <c r="T102" s="3">
        <v>4666.67</v>
      </c>
      <c r="U102" s="3">
        <v>4666.67</v>
      </c>
      <c r="V102" s="3">
        <v>4666.67</v>
      </c>
      <c r="W102" s="3">
        <v>4666.67</v>
      </c>
      <c r="X102" s="3">
        <v>4666.67</v>
      </c>
      <c r="Y102" s="3">
        <v>4666.67</v>
      </c>
      <c r="Z102" s="3">
        <v>4666.67</v>
      </c>
      <c r="AA102" s="3">
        <v>56000.039999999986</v>
      </c>
      <c r="AB102" s="8">
        <f>IF(N102="EUR",AA102,IF(N102="GBP",AA102/Rate!$C$3,AA102/Rate!$C$5))</f>
        <v>56000.039999999986</v>
      </c>
      <c r="AC102" s="43">
        <f>IFERROR(VLOOKUP(K102,'4.2 Simplify Savings'!K:AB,18,0),0)</f>
        <v>0</v>
      </c>
      <c r="AD102" s="44">
        <f t="shared" si="7"/>
        <v>56000.039999999986</v>
      </c>
    </row>
    <row r="103" spans="1:30" x14ac:dyDescent="0.3">
      <c r="A103" t="str">
        <f>_xlfn.XLOOKUP(B103*1,'Reference '!I:I,'Reference '!K:K)</f>
        <v>Valerie Veyt</v>
      </c>
      <c r="B103" s="2" t="str">
        <f t="shared" si="6"/>
        <v>602</v>
      </c>
      <c r="C103" s="2" t="s">
        <v>222</v>
      </c>
      <c r="D103" s="2" t="s">
        <v>222</v>
      </c>
      <c r="E103" s="2" t="s">
        <v>82</v>
      </c>
      <c r="F103" s="2" t="s">
        <v>82</v>
      </c>
      <c r="G103" s="2" t="s">
        <v>229</v>
      </c>
      <c r="H103" s="2" t="s">
        <v>229</v>
      </c>
      <c r="I103" s="2" t="s">
        <v>230</v>
      </c>
      <c r="J103" s="2" t="s">
        <v>230</v>
      </c>
      <c r="K103" s="2" t="s">
        <v>231</v>
      </c>
      <c r="L103" s="2" t="s">
        <v>232</v>
      </c>
      <c r="M103" s="2" t="s">
        <v>56</v>
      </c>
      <c r="N103" s="2" t="s">
        <v>57</v>
      </c>
      <c r="O103" s="3">
        <v>64583.33</v>
      </c>
      <c r="P103" s="3">
        <v>64583.33</v>
      </c>
      <c r="Q103" s="3">
        <v>64583.33</v>
      </c>
      <c r="R103" s="3">
        <v>64583.33</v>
      </c>
      <c r="S103" s="3">
        <v>64583.33</v>
      </c>
      <c r="T103" s="3">
        <v>64583.33</v>
      </c>
      <c r="U103" s="3">
        <v>64583.33</v>
      </c>
      <c r="V103" s="3">
        <v>64583.33</v>
      </c>
      <c r="W103" s="3">
        <v>64583.33</v>
      </c>
      <c r="X103" s="3">
        <v>64583.33</v>
      </c>
      <c r="Y103" s="3">
        <v>64583.33</v>
      </c>
      <c r="Z103" s="3">
        <v>64583.33</v>
      </c>
      <c r="AA103" s="3">
        <v>774999.96</v>
      </c>
      <c r="AB103" s="8">
        <f>IF(N103="EUR",AA103,IF(N103="GBP",AA103/Rate!$C$3,AA103/Rate!$C$5))</f>
        <v>774999.96</v>
      </c>
      <c r="AC103" s="43">
        <f>IFERROR(VLOOKUP(K103,'4.2 Simplify Savings'!K:AB,18,0),0)</f>
        <v>0</v>
      </c>
      <c r="AD103" s="44">
        <f t="shared" si="7"/>
        <v>774999.96</v>
      </c>
    </row>
    <row r="104" spans="1:30" x14ac:dyDescent="0.3">
      <c r="A104" t="str">
        <f>_xlfn.XLOOKUP(B104*1,'Reference '!I:I,'Reference '!K:K)</f>
        <v>Valerie Veyt</v>
      </c>
      <c r="B104" s="2" t="str">
        <f t="shared" si="6"/>
        <v>602</v>
      </c>
      <c r="C104" s="2" t="s">
        <v>222</v>
      </c>
      <c r="D104" s="2" t="s">
        <v>222</v>
      </c>
      <c r="E104" s="2" t="s">
        <v>82</v>
      </c>
      <c r="F104" s="2" t="s">
        <v>82</v>
      </c>
      <c r="G104" s="2" t="s">
        <v>53</v>
      </c>
      <c r="H104" s="2" t="s">
        <v>53</v>
      </c>
      <c r="I104" s="2" t="s">
        <v>54</v>
      </c>
      <c r="J104" s="2" t="s">
        <v>54</v>
      </c>
      <c r="K104" s="2" t="s">
        <v>233</v>
      </c>
      <c r="L104" s="2" t="s">
        <v>234</v>
      </c>
      <c r="M104" s="2" t="s">
        <v>56</v>
      </c>
      <c r="N104" s="2" t="s">
        <v>57</v>
      </c>
      <c r="O104" s="3">
        <v>641.66999999999996</v>
      </c>
      <c r="P104" s="3">
        <v>641.66999999999996</v>
      </c>
      <c r="Q104" s="3">
        <v>641.66999999999996</v>
      </c>
      <c r="R104" s="3">
        <v>641.66999999999996</v>
      </c>
      <c r="S104" s="3">
        <v>641.66999999999996</v>
      </c>
      <c r="T104" s="3">
        <v>641.66999999999996</v>
      </c>
      <c r="U104" s="3">
        <v>641.66999999999996</v>
      </c>
      <c r="V104" s="3">
        <v>641.66999999999996</v>
      </c>
      <c r="W104" s="3">
        <v>641.66999999999996</v>
      </c>
      <c r="X104" s="3">
        <v>641.66999999999996</v>
      </c>
      <c r="Y104" s="3">
        <v>641.66999999999996</v>
      </c>
      <c r="Z104" s="3">
        <v>641.66999999999996</v>
      </c>
      <c r="AA104" s="3">
        <v>7700.04</v>
      </c>
      <c r="AB104" s="8">
        <f>IF(N104="EUR",AA104,IF(N104="GBP",AA104/Rate!$C$3,AA104/Rate!$C$5))</f>
        <v>7700.04</v>
      </c>
      <c r="AC104" s="43">
        <f>IFERROR(VLOOKUP(K104,'4.2 Simplify Savings'!K:AB,18,0),0)</f>
        <v>0</v>
      </c>
      <c r="AD104" s="44">
        <f t="shared" si="7"/>
        <v>7700.04</v>
      </c>
    </row>
    <row r="105" spans="1:30" x14ac:dyDescent="0.3">
      <c r="A105" t="str">
        <f>_xlfn.XLOOKUP(B105*1,'Reference '!I:I,'Reference '!K:K)</f>
        <v>Valerie Veyt</v>
      </c>
      <c r="B105" s="2" t="str">
        <f t="shared" si="6"/>
        <v>602</v>
      </c>
      <c r="C105" s="2" t="s">
        <v>222</v>
      </c>
      <c r="D105" s="2" t="s">
        <v>222</v>
      </c>
      <c r="E105" s="2" t="s">
        <v>82</v>
      </c>
      <c r="F105" s="2" t="s">
        <v>82</v>
      </c>
      <c r="G105" s="2" t="s">
        <v>53</v>
      </c>
      <c r="H105" s="2" t="s">
        <v>53</v>
      </c>
      <c r="I105" s="2" t="s">
        <v>54</v>
      </c>
      <c r="J105" s="2" t="s">
        <v>54</v>
      </c>
      <c r="K105" s="2" t="s">
        <v>235</v>
      </c>
      <c r="L105" s="2" t="s">
        <v>235</v>
      </c>
      <c r="M105" s="2" t="s">
        <v>56</v>
      </c>
      <c r="N105" s="2" t="s">
        <v>57</v>
      </c>
      <c r="O105" s="3">
        <v>1666.67</v>
      </c>
      <c r="P105" s="3">
        <v>1666.67</v>
      </c>
      <c r="Q105" s="3">
        <v>1666.67</v>
      </c>
      <c r="R105" s="3">
        <v>1666.67</v>
      </c>
      <c r="S105" s="3">
        <v>1666.67</v>
      </c>
      <c r="T105" s="3">
        <v>1666.67</v>
      </c>
      <c r="U105" s="3">
        <v>1666.67</v>
      </c>
      <c r="V105" s="3">
        <v>1666.67</v>
      </c>
      <c r="W105" s="3">
        <v>1666.67</v>
      </c>
      <c r="X105" s="3">
        <v>1666.67</v>
      </c>
      <c r="Y105" s="3">
        <v>1666.67</v>
      </c>
      <c r="Z105" s="3">
        <v>1666.67</v>
      </c>
      <c r="AA105" s="3">
        <v>20000.04</v>
      </c>
      <c r="AB105" s="8">
        <f>IF(N105="EUR",AA105,IF(N105="GBP",AA105/Rate!$C$3,AA105/Rate!$C$5))</f>
        <v>20000.04</v>
      </c>
      <c r="AC105" s="43">
        <f>IFERROR(VLOOKUP(K105,'4.2 Simplify Savings'!K:AB,18,0),0)</f>
        <v>-20000.04</v>
      </c>
      <c r="AD105" s="44">
        <f t="shared" si="7"/>
        <v>0</v>
      </c>
    </row>
    <row r="106" spans="1:30" x14ac:dyDescent="0.3">
      <c r="A106" t="str">
        <f>_xlfn.XLOOKUP(B106*1,'Reference '!I:I,'Reference '!K:K)</f>
        <v>Valerie Veyt</v>
      </c>
      <c r="B106" s="2" t="str">
        <f t="shared" si="6"/>
        <v>602</v>
      </c>
      <c r="C106" s="2" t="s">
        <v>222</v>
      </c>
      <c r="D106" s="2" t="s">
        <v>222</v>
      </c>
      <c r="E106" s="2" t="s">
        <v>82</v>
      </c>
      <c r="F106" s="2" t="s">
        <v>82</v>
      </c>
      <c r="G106" s="2" t="s">
        <v>53</v>
      </c>
      <c r="H106" s="2" t="s">
        <v>53</v>
      </c>
      <c r="I106" s="2" t="s">
        <v>99</v>
      </c>
      <c r="J106" s="2" t="s">
        <v>99</v>
      </c>
      <c r="K106" s="2" t="s">
        <v>236</v>
      </c>
      <c r="L106" s="2" t="s">
        <v>237</v>
      </c>
      <c r="M106" s="2" t="s">
        <v>56</v>
      </c>
      <c r="N106" s="2" t="s">
        <v>57</v>
      </c>
      <c r="O106" s="3">
        <v>20833.330000000002</v>
      </c>
      <c r="P106" s="3">
        <v>20833.330000000002</v>
      </c>
      <c r="Q106" s="3">
        <v>20833.330000000002</v>
      </c>
      <c r="R106" s="3">
        <v>20833.330000000002</v>
      </c>
      <c r="S106" s="3">
        <v>20833.330000000002</v>
      </c>
      <c r="T106" s="3">
        <v>20833.330000000002</v>
      </c>
      <c r="U106" s="3">
        <v>20833.330000000002</v>
      </c>
      <c r="V106" s="3">
        <v>20833.330000000002</v>
      </c>
      <c r="W106" s="3">
        <v>20833.330000000002</v>
      </c>
      <c r="X106" s="3">
        <v>20833.330000000002</v>
      </c>
      <c r="Y106" s="3">
        <v>20833.330000000002</v>
      </c>
      <c r="Z106" s="3">
        <v>20833.330000000002</v>
      </c>
      <c r="AA106" s="3">
        <v>249999.96000000008</v>
      </c>
      <c r="AB106" s="8">
        <f>IF(N106="EUR",AA106,IF(N106="GBP",AA106/Rate!$C$3,AA106/Rate!$C$5))</f>
        <v>249999.96000000008</v>
      </c>
      <c r="AC106" s="43">
        <f>IFERROR(VLOOKUP(K106,'4.2 Simplify Savings'!K:AB,18,0),0)</f>
        <v>0</v>
      </c>
      <c r="AD106" s="44">
        <f t="shared" si="7"/>
        <v>249999.96000000008</v>
      </c>
    </row>
    <row r="107" spans="1:30" x14ac:dyDescent="0.3">
      <c r="A107" t="str">
        <f>_xlfn.XLOOKUP(B107*1,'Reference '!I:I,'Reference '!K:K)</f>
        <v>Valerie Veyt</v>
      </c>
      <c r="B107" s="2" t="str">
        <f t="shared" si="6"/>
        <v>602</v>
      </c>
      <c r="C107" s="2" t="s">
        <v>222</v>
      </c>
      <c r="D107" s="2" t="s">
        <v>222</v>
      </c>
      <c r="E107" s="2" t="s">
        <v>82</v>
      </c>
      <c r="F107" s="2" t="s">
        <v>82</v>
      </c>
      <c r="G107" s="2" t="s">
        <v>53</v>
      </c>
      <c r="H107" s="2" t="s">
        <v>53</v>
      </c>
      <c r="I107" s="2" t="s">
        <v>54</v>
      </c>
      <c r="J107" s="2" t="s">
        <v>54</v>
      </c>
      <c r="K107" s="2" t="s">
        <v>238</v>
      </c>
      <c r="L107" s="2"/>
      <c r="M107" s="2" t="s">
        <v>56</v>
      </c>
      <c r="N107" s="2" t="s">
        <v>57</v>
      </c>
      <c r="O107" s="3">
        <v>4166.67</v>
      </c>
      <c r="P107" s="3">
        <v>4166.67</v>
      </c>
      <c r="Q107" s="3">
        <v>4166.67</v>
      </c>
      <c r="R107" s="3">
        <v>4166.67</v>
      </c>
      <c r="S107" s="3">
        <v>4166.67</v>
      </c>
      <c r="T107" s="3">
        <v>4166.67</v>
      </c>
      <c r="U107" s="3">
        <v>4166.67</v>
      </c>
      <c r="V107" s="3">
        <v>4166.67</v>
      </c>
      <c r="W107" s="3">
        <v>4166.67</v>
      </c>
      <c r="X107" s="3">
        <v>4166.67</v>
      </c>
      <c r="Y107" s="3">
        <v>4166.67</v>
      </c>
      <c r="Z107" s="3">
        <v>4166.67</v>
      </c>
      <c r="AA107" s="3">
        <v>50000.039999999986</v>
      </c>
      <c r="AB107" s="8">
        <f>IF(N107="EUR",AA107,IF(N107="GBP",AA107/Rate!$C$3,AA107/Rate!$C$5))</f>
        <v>50000.039999999986</v>
      </c>
      <c r="AC107" s="43">
        <f>IFERROR(VLOOKUP(K107,'4.2 Simplify Savings'!K:AB,18,0),0)</f>
        <v>0</v>
      </c>
      <c r="AD107" s="44">
        <f t="shared" si="7"/>
        <v>50000.039999999986</v>
      </c>
    </row>
    <row r="108" spans="1:30" x14ac:dyDescent="0.3">
      <c r="A108" t="str">
        <f>_xlfn.XLOOKUP(B108*1,'Reference '!I:I,'Reference '!K:K)</f>
        <v>Valerie Veyt</v>
      </c>
      <c r="B108" s="2" t="str">
        <f t="shared" si="6"/>
        <v>602</v>
      </c>
      <c r="C108" s="2" t="s">
        <v>239</v>
      </c>
      <c r="D108" s="2" t="s">
        <v>239</v>
      </c>
      <c r="E108" s="2" t="s">
        <v>82</v>
      </c>
      <c r="F108" s="2" t="s">
        <v>82</v>
      </c>
      <c r="G108" s="2" t="s">
        <v>53</v>
      </c>
      <c r="H108" s="2" t="s">
        <v>53</v>
      </c>
      <c r="I108" s="2" t="s">
        <v>54</v>
      </c>
      <c r="J108" s="2" t="s">
        <v>54</v>
      </c>
      <c r="K108" s="2" t="s">
        <v>249</v>
      </c>
      <c r="L108" s="2" t="s">
        <v>250</v>
      </c>
      <c r="M108" s="2" t="s">
        <v>56</v>
      </c>
      <c r="N108" s="2" t="s">
        <v>72</v>
      </c>
      <c r="O108" s="3">
        <v>14333.1</v>
      </c>
      <c r="P108" s="3">
        <v>14333.1</v>
      </c>
      <c r="Q108" s="3">
        <v>14333.1</v>
      </c>
      <c r="R108" s="3">
        <v>14333.1</v>
      </c>
      <c r="S108" s="3">
        <v>14333.1</v>
      </c>
      <c r="T108" s="3">
        <v>14333.1</v>
      </c>
      <c r="U108" s="3">
        <v>14333.1</v>
      </c>
      <c r="V108" s="3">
        <v>14333.1</v>
      </c>
      <c r="W108" s="3">
        <v>14333.1</v>
      </c>
      <c r="X108" s="3">
        <v>14333.1</v>
      </c>
      <c r="Y108" s="3">
        <v>14333.1</v>
      </c>
      <c r="Z108" s="3">
        <v>14333.1</v>
      </c>
      <c r="AA108" s="3">
        <v>171997.20000000004</v>
      </c>
      <c r="AB108" s="8">
        <f>IF(N108="EUR",AA108,IF(N108="GBP",AA108/Rate!$C$3,AA108/Rate!$C$5))</f>
        <v>197697.93103448281</v>
      </c>
      <c r="AC108" s="43">
        <f>IFERROR(VLOOKUP(K108,'4.2 Simplify Savings'!K:AB,18,0),0)</f>
        <v>0</v>
      </c>
      <c r="AD108" s="44">
        <f t="shared" si="7"/>
        <v>197697.93103448281</v>
      </c>
    </row>
    <row r="109" spans="1:30" x14ac:dyDescent="0.3">
      <c r="A109" t="str">
        <f>_xlfn.XLOOKUP(B109*1,'Reference '!I:I,'Reference '!K:K)</f>
        <v>Valerie Veyt</v>
      </c>
      <c r="B109" s="2" t="str">
        <f t="shared" si="6"/>
        <v>602</v>
      </c>
      <c r="C109" s="2" t="s">
        <v>239</v>
      </c>
      <c r="D109" s="2" t="s">
        <v>239</v>
      </c>
      <c r="E109" s="2" t="s">
        <v>82</v>
      </c>
      <c r="F109" s="2" t="s">
        <v>82</v>
      </c>
      <c r="G109" s="2" t="s">
        <v>53</v>
      </c>
      <c r="H109" s="2" t="s">
        <v>53</v>
      </c>
      <c r="I109" s="2" t="s">
        <v>54</v>
      </c>
      <c r="J109" s="2" t="s">
        <v>54</v>
      </c>
      <c r="K109" s="2" t="s">
        <v>255</v>
      </c>
      <c r="L109" s="2" t="s">
        <v>256</v>
      </c>
      <c r="M109" s="2" t="s">
        <v>56</v>
      </c>
      <c r="N109" s="2" t="s">
        <v>72</v>
      </c>
      <c r="O109" s="3">
        <v>551.82000000000005</v>
      </c>
      <c r="P109" s="3">
        <v>551.82000000000005</v>
      </c>
      <c r="Q109" s="3">
        <v>551.82000000000005</v>
      </c>
      <c r="R109" s="3">
        <v>551.82000000000005</v>
      </c>
      <c r="S109" s="3">
        <v>551.82000000000005</v>
      </c>
      <c r="T109" s="3">
        <v>551.82000000000005</v>
      </c>
      <c r="U109" s="3">
        <v>551.82000000000005</v>
      </c>
      <c r="V109" s="3">
        <v>551.82000000000005</v>
      </c>
      <c r="W109" s="3">
        <v>551.82000000000005</v>
      </c>
      <c r="X109" s="3">
        <v>551.82000000000005</v>
      </c>
      <c r="Y109" s="3">
        <v>551.82000000000005</v>
      </c>
      <c r="Z109" s="3">
        <v>551.82000000000005</v>
      </c>
      <c r="AA109" s="3">
        <v>6621.8399999999992</v>
      </c>
      <c r="AB109" s="8">
        <f>IF(N109="EUR",AA109,IF(N109="GBP",AA109/Rate!$C$3,AA109/Rate!$C$5))</f>
        <v>7611.3103448275851</v>
      </c>
      <c r="AC109" s="43">
        <f>IFERROR(VLOOKUP(K109,'4.2 Simplify Savings'!K:AB,18,0),0)</f>
        <v>0</v>
      </c>
      <c r="AD109" s="44">
        <f t="shared" si="7"/>
        <v>7611.3103448275851</v>
      </c>
    </row>
    <row r="110" spans="1:30" x14ac:dyDescent="0.3">
      <c r="A110" t="str">
        <f>_xlfn.XLOOKUP(B110*1,'Reference '!I:I,'Reference '!K:K)</f>
        <v>Valerie Veyt</v>
      </c>
      <c r="B110" s="2" t="str">
        <f t="shared" si="6"/>
        <v>602</v>
      </c>
      <c r="C110" s="2" t="s">
        <v>239</v>
      </c>
      <c r="D110" s="2" t="s">
        <v>239</v>
      </c>
      <c r="E110" s="2" t="s">
        <v>82</v>
      </c>
      <c r="F110" s="2" t="s">
        <v>82</v>
      </c>
      <c r="G110" s="2" t="s">
        <v>53</v>
      </c>
      <c r="H110" s="2" t="s">
        <v>53</v>
      </c>
      <c r="I110" s="2" t="s">
        <v>54</v>
      </c>
      <c r="J110" s="2" t="s">
        <v>54</v>
      </c>
      <c r="K110" s="2" t="s">
        <v>258</v>
      </c>
      <c r="L110" s="2" t="s">
        <v>259</v>
      </c>
      <c r="M110" s="2" t="s">
        <v>56</v>
      </c>
      <c r="N110" s="2" t="s">
        <v>72</v>
      </c>
      <c r="O110" s="3">
        <v>5733.24</v>
      </c>
      <c r="P110" s="3">
        <v>5733.24</v>
      </c>
      <c r="Q110" s="3">
        <v>5733.24</v>
      </c>
      <c r="R110" s="3">
        <v>5733.24</v>
      </c>
      <c r="S110" s="3">
        <v>5733.24</v>
      </c>
      <c r="T110" s="3">
        <v>5733.24</v>
      </c>
      <c r="U110" s="3">
        <v>5733.24</v>
      </c>
      <c r="V110" s="3">
        <v>5733.24</v>
      </c>
      <c r="W110" s="3">
        <v>5733.24</v>
      </c>
      <c r="X110" s="3">
        <v>5733.24</v>
      </c>
      <c r="Y110" s="3">
        <v>5733.24</v>
      </c>
      <c r="Z110" s="3">
        <v>5733.24</v>
      </c>
      <c r="AA110" s="3">
        <v>68798.87999999999</v>
      </c>
      <c r="AB110" s="8">
        <f>IF(N110="EUR",AA110,IF(N110="GBP",AA110/Rate!$C$3,AA110/Rate!$C$5))</f>
        <v>79079.172413793087</v>
      </c>
      <c r="AC110" s="43">
        <f>IFERROR(VLOOKUP(K110,'4.2 Simplify Savings'!K:AB,18,0),0)</f>
        <v>0</v>
      </c>
      <c r="AD110" s="44">
        <f t="shared" si="7"/>
        <v>79079.172413793087</v>
      </c>
    </row>
    <row r="111" spans="1:30" x14ac:dyDescent="0.3">
      <c r="A111" t="str">
        <f>_xlfn.XLOOKUP(B111*1,'Reference '!I:I,'Reference '!K:K)</f>
        <v>Valerie Veyt</v>
      </c>
      <c r="B111" s="2" t="str">
        <f t="shared" si="6"/>
        <v>602</v>
      </c>
      <c r="C111" s="2" t="s">
        <v>239</v>
      </c>
      <c r="D111" s="2" t="s">
        <v>239</v>
      </c>
      <c r="E111" s="2" t="s">
        <v>82</v>
      </c>
      <c r="F111" s="2" t="s">
        <v>82</v>
      </c>
      <c r="G111" s="2" t="s">
        <v>53</v>
      </c>
      <c r="H111" s="2" t="s">
        <v>53</v>
      </c>
      <c r="I111" s="2" t="s">
        <v>54</v>
      </c>
      <c r="J111" s="2" t="s">
        <v>54</v>
      </c>
      <c r="K111" s="2" t="s">
        <v>260</v>
      </c>
      <c r="L111" s="2" t="s">
        <v>261</v>
      </c>
      <c r="M111" s="2" t="s">
        <v>56</v>
      </c>
      <c r="N111" s="2" t="s">
        <v>72</v>
      </c>
      <c r="O111" s="3">
        <v>3153.28</v>
      </c>
      <c r="P111" s="3">
        <v>3153.28</v>
      </c>
      <c r="Q111" s="3">
        <v>3153.28</v>
      </c>
      <c r="R111" s="3">
        <v>3153.28</v>
      </c>
      <c r="S111" s="3">
        <v>3153.28</v>
      </c>
      <c r="T111" s="3">
        <v>3153.28</v>
      </c>
      <c r="U111" s="3">
        <v>3153.28</v>
      </c>
      <c r="V111" s="3">
        <v>3153.28</v>
      </c>
      <c r="W111" s="3">
        <v>3153.28</v>
      </c>
      <c r="X111" s="3">
        <v>3153.28</v>
      </c>
      <c r="Y111" s="3">
        <v>3153.28</v>
      </c>
      <c r="Z111" s="3">
        <v>3153.28</v>
      </c>
      <c r="AA111" s="3">
        <v>37839.359999999993</v>
      </c>
      <c r="AB111" s="8">
        <f>IF(N111="EUR",AA111,IF(N111="GBP",AA111/Rate!$C$3,AA111/Rate!$C$5))</f>
        <v>43493.517241379304</v>
      </c>
      <c r="AC111" s="43">
        <f>IFERROR(VLOOKUP(K111,'4.2 Simplify Savings'!K:AB,18,0),0)</f>
        <v>0</v>
      </c>
      <c r="AD111" s="44">
        <f t="shared" si="7"/>
        <v>43493.517241379304</v>
      </c>
    </row>
    <row r="112" spans="1:30" x14ac:dyDescent="0.3">
      <c r="A112" t="str">
        <f>_xlfn.XLOOKUP(B112*1,'Reference '!I:I,'Reference '!K:K)</f>
        <v>Valerie Veyt</v>
      </c>
      <c r="B112" s="2" t="str">
        <f t="shared" si="6"/>
        <v>602</v>
      </c>
      <c r="C112" s="2" t="s">
        <v>239</v>
      </c>
      <c r="D112" s="2" t="s">
        <v>239</v>
      </c>
      <c r="E112" s="2" t="s">
        <v>82</v>
      </c>
      <c r="F112" s="2" t="s">
        <v>82</v>
      </c>
      <c r="G112" s="2" t="s">
        <v>53</v>
      </c>
      <c r="H112" s="2" t="s">
        <v>53</v>
      </c>
      <c r="I112" s="2" t="s">
        <v>54</v>
      </c>
      <c r="J112" s="2" t="s">
        <v>54</v>
      </c>
      <c r="K112" s="2" t="s">
        <v>262</v>
      </c>
      <c r="L112" s="2" t="s">
        <v>263</v>
      </c>
      <c r="M112" s="2" t="s">
        <v>56</v>
      </c>
      <c r="N112" s="2" t="s">
        <v>72</v>
      </c>
      <c r="O112" s="3">
        <v>6091.57</v>
      </c>
      <c r="P112" s="3">
        <v>6091.57</v>
      </c>
      <c r="Q112" s="3">
        <v>6091.57</v>
      </c>
      <c r="R112" s="3">
        <v>6091.57</v>
      </c>
      <c r="S112" s="3">
        <v>6091.57</v>
      </c>
      <c r="T112" s="3">
        <v>6091.57</v>
      </c>
      <c r="U112" s="3">
        <v>6091.57</v>
      </c>
      <c r="V112" s="3">
        <v>6091.57</v>
      </c>
      <c r="W112" s="3">
        <v>6091.57</v>
      </c>
      <c r="X112" s="3">
        <v>6091.57</v>
      </c>
      <c r="Y112" s="3">
        <v>6091.57</v>
      </c>
      <c r="Z112" s="3">
        <v>6091.57</v>
      </c>
      <c r="AA112" s="3">
        <v>73098.84</v>
      </c>
      <c r="AB112" s="8">
        <f>IF(N112="EUR",AA112,IF(N112="GBP",AA112/Rate!$C$3,AA112/Rate!$C$5))</f>
        <v>84021.655172413783</v>
      </c>
      <c r="AC112" s="43">
        <f>IFERROR(VLOOKUP(K112,'4.2 Simplify Savings'!K:AB,18,0),0)</f>
        <v>0</v>
      </c>
      <c r="AD112" s="44">
        <f t="shared" si="7"/>
        <v>84021.655172413783</v>
      </c>
    </row>
    <row r="113" spans="1:30" x14ac:dyDescent="0.3">
      <c r="A113" t="str">
        <f>_xlfn.XLOOKUP(B113*1,'Reference '!I:I,'Reference '!K:K)</f>
        <v>Valerie Veyt</v>
      </c>
      <c r="B113" s="2" t="str">
        <f t="shared" si="6"/>
        <v>602</v>
      </c>
      <c r="C113" s="2" t="s">
        <v>239</v>
      </c>
      <c r="D113" s="2" t="s">
        <v>239</v>
      </c>
      <c r="E113" s="2" t="s">
        <v>82</v>
      </c>
      <c r="F113" s="2" t="s">
        <v>82</v>
      </c>
      <c r="G113" s="2" t="s">
        <v>53</v>
      </c>
      <c r="H113" s="2" t="s">
        <v>53</v>
      </c>
      <c r="I113" s="2" t="s">
        <v>54</v>
      </c>
      <c r="J113" s="2" t="s">
        <v>54</v>
      </c>
      <c r="K113" s="2" t="s">
        <v>269</v>
      </c>
      <c r="L113" s="2" t="s">
        <v>270</v>
      </c>
      <c r="M113" s="2" t="s">
        <v>56</v>
      </c>
      <c r="N113" s="2" t="s">
        <v>72</v>
      </c>
      <c r="O113" s="3">
        <v>10835.82</v>
      </c>
      <c r="P113" s="3">
        <v>10835.82</v>
      </c>
      <c r="Q113" s="3">
        <v>10835.82</v>
      </c>
      <c r="R113" s="3">
        <v>10835.82</v>
      </c>
      <c r="S113" s="3">
        <v>10835.82</v>
      </c>
      <c r="T113" s="3">
        <v>10835.82</v>
      </c>
      <c r="U113" s="3">
        <v>10835.82</v>
      </c>
      <c r="V113" s="3">
        <v>10835.82</v>
      </c>
      <c r="W113" s="3">
        <v>10835.82</v>
      </c>
      <c r="X113" s="3">
        <v>10835.82</v>
      </c>
      <c r="Y113" s="3">
        <v>10835.82</v>
      </c>
      <c r="Z113" s="3">
        <v>10835.82</v>
      </c>
      <c r="AA113" s="3">
        <v>130029.84000000003</v>
      </c>
      <c r="AB113" s="8">
        <f>IF(N113="EUR",AA113,IF(N113="GBP",AA113/Rate!$C$3,AA113/Rate!$C$5))</f>
        <v>149459.58620689658</v>
      </c>
      <c r="AC113" s="43">
        <f>IFERROR(VLOOKUP(K113,'4.2 Simplify Savings'!K:AB,18,0),0)</f>
        <v>0</v>
      </c>
      <c r="AD113" s="44">
        <f t="shared" si="7"/>
        <v>149459.58620689658</v>
      </c>
    </row>
    <row r="114" spans="1:30" x14ac:dyDescent="0.3">
      <c r="A114" t="str">
        <f>_xlfn.XLOOKUP(B114*1,'Reference '!I:I,'Reference '!K:K)</f>
        <v>Mael Delmas</v>
      </c>
      <c r="B114" s="2" t="str">
        <f t="shared" si="6"/>
        <v>604</v>
      </c>
      <c r="C114" s="2" t="s">
        <v>274</v>
      </c>
      <c r="D114" s="2" t="s">
        <v>274</v>
      </c>
      <c r="E114" s="2" t="s">
        <v>82</v>
      </c>
      <c r="F114" s="2" t="s">
        <v>82</v>
      </c>
      <c r="G114" s="2" t="s">
        <v>53</v>
      </c>
      <c r="H114" s="2" t="s">
        <v>53</v>
      </c>
      <c r="I114" s="2" t="s">
        <v>281</v>
      </c>
      <c r="J114" s="2" t="s">
        <v>281</v>
      </c>
      <c r="K114" s="2" t="s">
        <v>282</v>
      </c>
      <c r="L114" s="2" t="s">
        <v>283</v>
      </c>
      <c r="M114" s="2" t="s">
        <v>56</v>
      </c>
      <c r="N114" s="2" t="s">
        <v>72</v>
      </c>
      <c r="O114" s="3">
        <v>1700</v>
      </c>
      <c r="P114" s="3">
        <v>1700</v>
      </c>
      <c r="Q114" s="3">
        <v>1700</v>
      </c>
      <c r="R114" s="3">
        <v>1700</v>
      </c>
      <c r="S114" s="3">
        <v>1700</v>
      </c>
      <c r="T114" s="3">
        <v>1700</v>
      </c>
      <c r="U114" s="3">
        <v>1700</v>
      </c>
      <c r="V114" s="3">
        <v>1700</v>
      </c>
      <c r="W114" s="3">
        <v>1700</v>
      </c>
      <c r="X114" s="3">
        <v>1700</v>
      </c>
      <c r="Y114" s="3">
        <v>1700</v>
      </c>
      <c r="Z114" s="3">
        <v>1700</v>
      </c>
      <c r="AA114" s="3">
        <v>20400</v>
      </c>
      <c r="AB114" s="8">
        <f>IF(N114="EUR",AA114,IF(N114="GBP",AA114/Rate!$C$3,AA114/Rate!$C$5))</f>
        <v>23448.275862068967</v>
      </c>
      <c r="AC114" s="43">
        <f>IFERROR(VLOOKUP(K114,'4.2 Simplify Savings'!K:AB,18,0),0)</f>
        <v>0</v>
      </c>
      <c r="AD114" s="44">
        <f t="shared" si="7"/>
        <v>23448.275862068967</v>
      </c>
    </row>
    <row r="115" spans="1:30" x14ac:dyDescent="0.3">
      <c r="A115" t="str">
        <f>_xlfn.XLOOKUP(B115*1,'Reference '!I:I,'Reference '!K:K)</f>
        <v>Mael Delmas</v>
      </c>
      <c r="B115" s="2" t="str">
        <f t="shared" si="6"/>
        <v>604</v>
      </c>
      <c r="C115" s="2" t="s">
        <v>274</v>
      </c>
      <c r="D115" s="2" t="s">
        <v>274</v>
      </c>
      <c r="E115" s="2" t="s">
        <v>82</v>
      </c>
      <c r="F115" s="2" t="s">
        <v>82</v>
      </c>
      <c r="G115" s="2" t="s">
        <v>53</v>
      </c>
      <c r="H115" s="2" t="s">
        <v>53</v>
      </c>
      <c r="I115" s="2" t="s">
        <v>54</v>
      </c>
      <c r="J115" s="2" t="s">
        <v>54</v>
      </c>
      <c r="K115" s="2" t="s">
        <v>284</v>
      </c>
      <c r="L115" s="2" t="s">
        <v>285</v>
      </c>
      <c r="M115" s="2" t="s">
        <v>56</v>
      </c>
      <c r="N115" s="2" t="s">
        <v>72</v>
      </c>
      <c r="O115" s="3">
        <v>2950</v>
      </c>
      <c r="P115" s="3">
        <v>2950</v>
      </c>
      <c r="Q115" s="3">
        <v>2950</v>
      </c>
      <c r="R115" s="3">
        <v>2950</v>
      </c>
      <c r="S115" s="3">
        <v>2950</v>
      </c>
      <c r="T115" s="3">
        <v>2950</v>
      </c>
      <c r="U115" s="3">
        <v>2950</v>
      </c>
      <c r="V115" s="3">
        <v>11800</v>
      </c>
      <c r="W115" s="3">
        <v>11800</v>
      </c>
      <c r="X115" s="3">
        <v>11800</v>
      </c>
      <c r="Y115" s="3">
        <v>11800</v>
      </c>
      <c r="Z115" s="3">
        <v>11800</v>
      </c>
      <c r="AA115" s="3">
        <v>79650</v>
      </c>
      <c r="AB115" s="8">
        <f>IF(N115="EUR",AA115,IF(N115="GBP",AA115/Rate!$C$3,AA115/Rate!$C$5))</f>
        <v>91551.724137931029</v>
      </c>
      <c r="AC115" s="43">
        <f>IFERROR(VLOOKUP(K115,'4.2 Simplify Savings'!K:AB,18,0),0)</f>
        <v>0</v>
      </c>
      <c r="AD115" s="44">
        <f t="shared" si="7"/>
        <v>91551.724137931029</v>
      </c>
    </row>
    <row r="116" spans="1:30" x14ac:dyDescent="0.3">
      <c r="A116" t="str">
        <f>_xlfn.XLOOKUP(B116*1,'Reference '!I:I,'Reference '!K:K)</f>
        <v>Mael Delmas</v>
      </c>
      <c r="B116" s="2" t="str">
        <f t="shared" si="6"/>
        <v>604</v>
      </c>
      <c r="C116" s="2" t="s">
        <v>274</v>
      </c>
      <c r="D116" s="2" t="s">
        <v>274</v>
      </c>
      <c r="E116" s="2" t="s">
        <v>82</v>
      </c>
      <c r="F116" s="2" t="s">
        <v>82</v>
      </c>
      <c r="G116" s="2" t="s">
        <v>53</v>
      </c>
      <c r="H116" s="2" t="s">
        <v>53</v>
      </c>
      <c r="I116" s="2" t="s">
        <v>54</v>
      </c>
      <c r="J116" s="2" t="s">
        <v>54</v>
      </c>
      <c r="K116" s="2" t="s">
        <v>288</v>
      </c>
      <c r="L116" s="2" t="s">
        <v>285</v>
      </c>
      <c r="M116" s="2" t="s">
        <v>56</v>
      </c>
      <c r="N116" s="2" t="s">
        <v>72</v>
      </c>
      <c r="O116" s="3">
        <v>18550</v>
      </c>
      <c r="P116" s="3">
        <v>18550</v>
      </c>
      <c r="Q116" s="3">
        <v>18550</v>
      </c>
      <c r="R116" s="3">
        <v>18550</v>
      </c>
      <c r="S116" s="3">
        <v>18550</v>
      </c>
      <c r="T116" s="3">
        <v>18550</v>
      </c>
      <c r="U116" s="3">
        <v>18550</v>
      </c>
      <c r="V116" s="3">
        <v>18550</v>
      </c>
      <c r="W116" s="3">
        <v>18550</v>
      </c>
      <c r="X116" s="3">
        <v>18550</v>
      </c>
      <c r="Y116" s="3">
        <v>18550</v>
      </c>
      <c r="Z116" s="3">
        <v>18550</v>
      </c>
      <c r="AA116" s="3">
        <v>222600</v>
      </c>
      <c r="AB116" s="8">
        <f>IF(N116="EUR",AA116,IF(N116="GBP",AA116/Rate!$C$3,AA116/Rate!$C$5))</f>
        <v>255862.06896551725</v>
      </c>
      <c r="AC116" s="43">
        <f>IFERROR(VLOOKUP(K116,'4.2 Simplify Savings'!K:AB,18,0),0)</f>
        <v>0</v>
      </c>
      <c r="AD116" s="44">
        <f t="shared" si="7"/>
        <v>255862.06896551725</v>
      </c>
    </row>
    <row r="117" spans="1:30" x14ac:dyDescent="0.3">
      <c r="A117" t="str">
        <f>_xlfn.XLOOKUP(B117*1,'Reference '!I:I,'Reference '!K:K)</f>
        <v>Mael Delmas</v>
      </c>
      <c r="B117" s="2" t="str">
        <f t="shared" si="6"/>
        <v>604</v>
      </c>
      <c r="C117" s="2" t="s">
        <v>274</v>
      </c>
      <c r="D117" s="2" t="s">
        <v>274</v>
      </c>
      <c r="E117" s="2" t="s">
        <v>82</v>
      </c>
      <c r="F117" s="2" t="s">
        <v>82</v>
      </c>
      <c r="G117" s="2"/>
      <c r="H117" s="2"/>
      <c r="I117" s="2" t="s">
        <v>290</v>
      </c>
      <c r="J117" s="2" t="s">
        <v>290</v>
      </c>
      <c r="K117" s="2" t="s">
        <v>289</v>
      </c>
      <c r="L117" s="2" t="s">
        <v>285</v>
      </c>
      <c r="M117" s="2" t="s">
        <v>56</v>
      </c>
      <c r="N117" s="2" t="s">
        <v>72</v>
      </c>
      <c r="O117" s="3">
        <v>12587.5</v>
      </c>
      <c r="P117" s="3">
        <v>12587.5</v>
      </c>
      <c r="Q117" s="3">
        <v>12587.5</v>
      </c>
      <c r="R117" s="3">
        <v>12587.5</v>
      </c>
      <c r="S117" s="3">
        <v>12587.5</v>
      </c>
      <c r="T117" s="3">
        <v>12587.5</v>
      </c>
      <c r="U117" s="3">
        <v>12587.5</v>
      </c>
      <c r="V117" s="3">
        <v>12586.97</v>
      </c>
      <c r="W117" s="3">
        <v>12587.5</v>
      </c>
      <c r="X117" s="3">
        <v>12587.5</v>
      </c>
      <c r="Y117" s="3">
        <v>12587.5</v>
      </c>
      <c r="Z117" s="3">
        <v>12587.5</v>
      </c>
      <c r="AA117" s="3">
        <v>151049.47</v>
      </c>
      <c r="AB117" s="8">
        <f>IF(N117="EUR",AA117,IF(N117="GBP",AA117/Rate!$C$3,AA117/Rate!$C$5))</f>
        <v>173620.08045977011</v>
      </c>
      <c r="AC117" s="43">
        <f>'4.2 Simplify Savings'!$AB$31+'4.2 Simplify Savings'!$AB$30+'4.2 Simplify Savings'!$AB$32</f>
        <v>-128402.09</v>
      </c>
      <c r="AD117" s="44">
        <f t="shared" si="7"/>
        <v>45217.99045977011</v>
      </c>
    </row>
    <row r="118" spans="1:30" x14ac:dyDescent="0.3">
      <c r="A118" t="str">
        <f>_xlfn.XLOOKUP(B118*1,'Reference '!I:I,'Reference '!K:K)</f>
        <v>Mael Delmas</v>
      </c>
      <c r="B118" s="2" t="str">
        <f t="shared" si="6"/>
        <v>604</v>
      </c>
      <c r="C118" s="2" t="s">
        <v>274</v>
      </c>
      <c r="D118" s="2" t="s">
        <v>274</v>
      </c>
      <c r="E118" s="2" t="s">
        <v>82</v>
      </c>
      <c r="F118" s="2" t="s">
        <v>82</v>
      </c>
      <c r="G118" s="2" t="s">
        <v>53</v>
      </c>
      <c r="H118" s="2" t="s">
        <v>53</v>
      </c>
      <c r="I118" s="2" t="s">
        <v>54</v>
      </c>
      <c r="J118" s="2" t="s">
        <v>54</v>
      </c>
      <c r="K118" s="2" t="s">
        <v>291</v>
      </c>
      <c r="L118" s="2" t="s">
        <v>285</v>
      </c>
      <c r="M118" s="2" t="s">
        <v>56</v>
      </c>
      <c r="N118" s="2" t="s">
        <v>72</v>
      </c>
      <c r="O118" s="3">
        <v>1000</v>
      </c>
      <c r="P118" s="3">
        <v>1000</v>
      </c>
      <c r="Q118" s="3">
        <v>1000</v>
      </c>
      <c r="R118" s="3">
        <v>1000</v>
      </c>
      <c r="S118" s="3">
        <v>1000</v>
      </c>
      <c r="T118" s="3">
        <v>1000</v>
      </c>
      <c r="U118" s="3">
        <v>1000</v>
      </c>
      <c r="V118" s="3">
        <v>1000</v>
      </c>
      <c r="W118" s="3">
        <v>1000</v>
      </c>
      <c r="X118" s="3">
        <v>1000</v>
      </c>
      <c r="Y118" s="3">
        <v>1000</v>
      </c>
      <c r="Z118" s="3">
        <v>1000</v>
      </c>
      <c r="AA118" s="3">
        <v>12000</v>
      </c>
      <c r="AB118" s="8">
        <f>IF(N118="EUR",AA118,IF(N118="GBP",AA118/Rate!$C$3,AA118/Rate!$C$5))</f>
        <v>13793.103448275862</v>
      </c>
      <c r="AC118" s="43">
        <f>IFERROR(VLOOKUP(K118,'4.2 Simplify Savings'!K:AB,18,0),0)</f>
        <v>0</v>
      </c>
      <c r="AD118" s="44">
        <f t="shared" si="7"/>
        <v>13793.103448275862</v>
      </c>
    </row>
    <row r="119" spans="1:30" x14ac:dyDescent="0.3">
      <c r="A119" t="str">
        <f>_xlfn.XLOOKUP(B119*1,'Reference '!I:I,'Reference '!K:K)</f>
        <v>Mael Delmas</v>
      </c>
      <c r="B119" s="2" t="str">
        <f t="shared" si="6"/>
        <v>604</v>
      </c>
      <c r="C119" s="2" t="s">
        <v>274</v>
      </c>
      <c r="D119" s="2" t="s">
        <v>274</v>
      </c>
      <c r="E119" s="2" t="s">
        <v>82</v>
      </c>
      <c r="F119" s="2" t="s">
        <v>82</v>
      </c>
      <c r="G119" s="2" t="s">
        <v>53</v>
      </c>
      <c r="H119" s="2" t="s">
        <v>53</v>
      </c>
      <c r="I119" s="2" t="s">
        <v>54</v>
      </c>
      <c r="J119" s="2" t="s">
        <v>54</v>
      </c>
      <c r="K119" s="2" t="s">
        <v>292</v>
      </c>
      <c r="L119" s="2" t="s">
        <v>285</v>
      </c>
      <c r="M119" s="2" t="s">
        <v>56</v>
      </c>
      <c r="N119" s="2" t="s">
        <v>72</v>
      </c>
      <c r="O119" s="3">
        <v>2650</v>
      </c>
      <c r="P119" s="3">
        <v>2650</v>
      </c>
      <c r="Q119" s="3">
        <v>2650</v>
      </c>
      <c r="R119" s="3">
        <v>2650</v>
      </c>
      <c r="S119" s="3">
        <v>2650</v>
      </c>
      <c r="T119" s="3">
        <v>2650</v>
      </c>
      <c r="U119" s="3">
        <v>2650</v>
      </c>
      <c r="V119" s="3">
        <v>2650</v>
      </c>
      <c r="W119" s="3">
        <v>2650</v>
      </c>
      <c r="X119" s="3">
        <v>2650</v>
      </c>
      <c r="Y119" s="3">
        <v>2650</v>
      </c>
      <c r="Z119" s="3">
        <v>2650</v>
      </c>
      <c r="AA119" s="3">
        <v>31800</v>
      </c>
      <c r="AB119" s="8">
        <f>IF(N119="EUR",AA119,IF(N119="GBP",AA119/Rate!$C$3,AA119/Rate!$C$5))</f>
        <v>36551.724137931036</v>
      </c>
      <c r="AC119" s="43">
        <f>IFERROR(VLOOKUP(K119,'4.2 Simplify Savings'!K:AB,18,0),0)</f>
        <v>0</v>
      </c>
      <c r="AD119" s="44">
        <f t="shared" si="7"/>
        <v>36551.724137931036</v>
      </c>
    </row>
    <row r="120" spans="1:30" x14ac:dyDescent="0.3">
      <c r="A120" t="str">
        <f>_xlfn.XLOOKUP(B120*1,'Reference '!I:I,'Reference '!K:K)</f>
        <v>Mael Delmas</v>
      </c>
      <c r="B120" s="2" t="str">
        <f t="shared" si="6"/>
        <v>604</v>
      </c>
      <c r="C120" s="2" t="s">
        <v>274</v>
      </c>
      <c r="D120" s="2" t="s">
        <v>274</v>
      </c>
      <c r="E120" s="2" t="s">
        <v>82</v>
      </c>
      <c r="F120" s="2" t="s">
        <v>82</v>
      </c>
      <c r="G120" s="2" t="s">
        <v>53</v>
      </c>
      <c r="H120" s="2" t="s">
        <v>53</v>
      </c>
      <c r="I120" s="2" t="s">
        <v>54</v>
      </c>
      <c r="J120" s="2" t="s">
        <v>54</v>
      </c>
      <c r="K120" s="2" t="s">
        <v>293</v>
      </c>
      <c r="L120" s="2" t="s">
        <v>285</v>
      </c>
      <c r="M120" s="2" t="s">
        <v>56</v>
      </c>
      <c r="N120" s="2" t="s">
        <v>72</v>
      </c>
      <c r="O120" s="3">
        <v>2500</v>
      </c>
      <c r="P120" s="3">
        <v>2500</v>
      </c>
      <c r="Q120" s="3">
        <v>2500</v>
      </c>
      <c r="R120" s="3">
        <v>2500</v>
      </c>
      <c r="S120" s="3">
        <v>2500</v>
      </c>
      <c r="T120" s="3">
        <v>2500</v>
      </c>
      <c r="U120" s="3">
        <v>2500</v>
      </c>
      <c r="V120" s="3">
        <v>2500</v>
      </c>
      <c r="W120" s="3">
        <v>2500</v>
      </c>
      <c r="X120" s="3">
        <v>2500</v>
      </c>
      <c r="Y120" s="3">
        <v>2500</v>
      </c>
      <c r="Z120" s="3">
        <v>2500</v>
      </c>
      <c r="AA120" s="3">
        <v>30000</v>
      </c>
      <c r="AB120" s="8">
        <f>IF(N120="EUR",AA120,IF(N120="GBP",AA120/Rate!$C$3,AA120/Rate!$C$5))</f>
        <v>34482.758620689652</v>
      </c>
      <c r="AC120" s="43">
        <f>IFERROR(VLOOKUP(K120,'4.2 Simplify Savings'!K:AB,18,0),0)</f>
        <v>0</v>
      </c>
      <c r="AD120" s="44">
        <f t="shared" si="7"/>
        <v>34482.758620689652</v>
      </c>
    </row>
    <row r="121" spans="1:30" x14ac:dyDescent="0.3">
      <c r="A121" t="str">
        <f>_xlfn.XLOOKUP(B121*1,'Reference '!I:I,'Reference '!K:K)</f>
        <v>Mael Delmas</v>
      </c>
      <c r="B121" s="2" t="str">
        <f t="shared" si="6"/>
        <v>604</v>
      </c>
      <c r="C121" s="2" t="s">
        <v>274</v>
      </c>
      <c r="D121" s="2" t="s">
        <v>274</v>
      </c>
      <c r="E121" s="2" t="s">
        <v>82</v>
      </c>
      <c r="F121" s="2" t="s">
        <v>82</v>
      </c>
      <c r="G121" s="2" t="s">
        <v>53</v>
      </c>
      <c r="H121" s="2" t="s">
        <v>53</v>
      </c>
      <c r="I121" s="2" t="s">
        <v>54</v>
      </c>
      <c r="J121" s="2" t="s">
        <v>54</v>
      </c>
      <c r="K121" s="2" t="s">
        <v>294</v>
      </c>
      <c r="L121" s="2" t="s">
        <v>285</v>
      </c>
      <c r="M121" s="2" t="s">
        <v>56</v>
      </c>
      <c r="N121" s="2" t="s">
        <v>72</v>
      </c>
      <c r="O121" s="3">
        <v>40280</v>
      </c>
      <c r="P121" s="3">
        <v>40280</v>
      </c>
      <c r="Q121" s="3">
        <v>40280</v>
      </c>
      <c r="R121" s="3">
        <v>40280</v>
      </c>
      <c r="S121" s="3">
        <v>40280</v>
      </c>
      <c r="T121" s="3">
        <v>40280</v>
      </c>
      <c r="U121" s="3">
        <v>40280</v>
      </c>
      <c r="V121" s="3">
        <v>40280</v>
      </c>
      <c r="W121" s="3">
        <v>40280</v>
      </c>
      <c r="X121" s="3">
        <v>40280</v>
      </c>
      <c r="Y121" s="3">
        <v>40280</v>
      </c>
      <c r="Z121" s="3">
        <v>40280</v>
      </c>
      <c r="AA121" s="3">
        <v>483360</v>
      </c>
      <c r="AB121" s="8">
        <f>IF(N121="EUR",AA121,IF(N121="GBP",AA121/Rate!$C$3,AA121/Rate!$C$5))</f>
        <v>555586.20689655177</v>
      </c>
      <c r="AC121" s="43">
        <f>IFERROR(VLOOKUP(K121,'4.2 Simplify Savings'!K:AB,18,0),0)</f>
        <v>0</v>
      </c>
      <c r="AD121" s="44">
        <f t="shared" si="7"/>
        <v>555586.20689655177</v>
      </c>
    </row>
    <row r="122" spans="1:30" x14ac:dyDescent="0.3">
      <c r="A122" t="str">
        <f>_xlfn.XLOOKUP(B122*1,'Reference '!I:I,'Reference '!K:K)</f>
        <v>Mael Delmas</v>
      </c>
      <c r="B122" s="2" t="str">
        <f t="shared" si="6"/>
        <v>604</v>
      </c>
      <c r="C122" s="2" t="s">
        <v>274</v>
      </c>
      <c r="D122" s="2" t="s">
        <v>274</v>
      </c>
      <c r="E122" s="2" t="s">
        <v>82</v>
      </c>
      <c r="F122" s="2" t="s">
        <v>82</v>
      </c>
      <c r="G122" s="2" t="s">
        <v>53</v>
      </c>
      <c r="H122" s="2" t="s">
        <v>53</v>
      </c>
      <c r="I122" s="2" t="s">
        <v>54</v>
      </c>
      <c r="J122" s="2" t="s">
        <v>54</v>
      </c>
      <c r="K122" s="2" t="s">
        <v>296</v>
      </c>
      <c r="L122" s="2" t="s">
        <v>297</v>
      </c>
      <c r="M122" s="2" t="s">
        <v>56</v>
      </c>
      <c r="N122" s="2" t="s">
        <v>72</v>
      </c>
      <c r="O122" s="3">
        <v>9423.33</v>
      </c>
      <c r="P122" s="3">
        <v>9424.33</v>
      </c>
      <c r="Q122" s="3">
        <v>9425.33</v>
      </c>
      <c r="R122" s="3">
        <v>9426.33</v>
      </c>
      <c r="S122" s="3">
        <v>9427.33</v>
      </c>
      <c r="T122" s="3">
        <v>9428.33</v>
      </c>
      <c r="U122" s="3">
        <v>9429.33</v>
      </c>
      <c r="V122" s="3">
        <v>9430.33</v>
      </c>
      <c r="W122" s="3">
        <v>9431.33</v>
      </c>
      <c r="X122" s="3">
        <v>9432.33</v>
      </c>
      <c r="Y122" s="3">
        <v>9433.33</v>
      </c>
      <c r="Z122" s="3">
        <v>9434.33</v>
      </c>
      <c r="AA122" s="3">
        <v>113145.96</v>
      </c>
      <c r="AB122" s="8">
        <f>IF(N122="EUR",AA122,IF(N122="GBP",AA122/Rate!$C$3,AA122/Rate!$C$5))</f>
        <v>130052.8275862069</v>
      </c>
      <c r="AC122" s="43">
        <f>'4.2 Simplify Savings'!$AB$33</f>
        <v>-118487.3</v>
      </c>
      <c r="AD122" s="44">
        <f t="shared" si="7"/>
        <v>11565.527586206896</v>
      </c>
    </row>
    <row r="123" spans="1:30" x14ac:dyDescent="0.3">
      <c r="A123" t="str">
        <f>_xlfn.XLOOKUP(B123*1,'Reference '!I:I,'Reference '!K:K)</f>
        <v>Mael Delmas</v>
      </c>
      <c r="B123" s="2" t="str">
        <f t="shared" si="6"/>
        <v>604</v>
      </c>
      <c r="C123" s="2" t="s">
        <v>274</v>
      </c>
      <c r="D123" s="2" t="s">
        <v>274</v>
      </c>
      <c r="E123" s="2" t="s">
        <v>82</v>
      </c>
      <c r="F123" s="2" t="s">
        <v>82</v>
      </c>
      <c r="G123" s="2" t="s">
        <v>53</v>
      </c>
      <c r="H123" s="2" t="s">
        <v>53</v>
      </c>
      <c r="I123" s="2" t="s">
        <v>54</v>
      </c>
      <c r="J123" s="2" t="s">
        <v>54</v>
      </c>
      <c r="K123" s="2" t="s">
        <v>298</v>
      </c>
      <c r="L123" s="2" t="s">
        <v>297</v>
      </c>
      <c r="M123" s="2" t="s">
        <v>56</v>
      </c>
      <c r="N123" s="2" t="s">
        <v>72</v>
      </c>
      <c r="O123" s="3">
        <v>8090</v>
      </c>
      <c r="P123" s="3">
        <v>8091</v>
      </c>
      <c r="Q123" s="3">
        <v>8092</v>
      </c>
      <c r="R123" s="3">
        <v>8093</v>
      </c>
      <c r="S123" s="3">
        <v>8094</v>
      </c>
      <c r="T123" s="3">
        <v>8095</v>
      </c>
      <c r="U123" s="3">
        <v>8096</v>
      </c>
      <c r="V123" s="3">
        <v>8097</v>
      </c>
      <c r="W123" s="3">
        <v>8098</v>
      </c>
      <c r="X123" s="3">
        <v>8099</v>
      </c>
      <c r="Y123" s="3">
        <v>8100</v>
      </c>
      <c r="Z123" s="3">
        <v>8101</v>
      </c>
      <c r="AA123" s="3">
        <v>97146</v>
      </c>
      <c r="AB123" s="8">
        <f>IF(N123="EUR",AA123,IF(N123="GBP",AA123/Rate!$C$3,AA123/Rate!$C$5))</f>
        <v>111662.06896551725</v>
      </c>
      <c r="AC123" s="43">
        <f>'4.2 Simplify Savings'!$AB$34</f>
        <v>-97676.04</v>
      </c>
      <c r="AD123" s="44">
        <f t="shared" si="7"/>
        <v>13986.028965517253</v>
      </c>
    </row>
    <row r="124" spans="1:30" x14ac:dyDescent="0.3">
      <c r="A124" t="str">
        <f>_xlfn.XLOOKUP(B124*1,'Reference '!I:I,'Reference '!K:K)</f>
        <v>Mael Delmas</v>
      </c>
      <c r="B124" s="2" t="str">
        <f t="shared" si="6"/>
        <v>604</v>
      </c>
      <c r="C124" s="2" t="s">
        <v>274</v>
      </c>
      <c r="D124" s="2" t="s">
        <v>274</v>
      </c>
      <c r="E124" s="2" t="s">
        <v>82</v>
      </c>
      <c r="F124" s="2" t="s">
        <v>82</v>
      </c>
      <c r="G124" s="2" t="s">
        <v>53</v>
      </c>
      <c r="H124" s="2" t="s">
        <v>53</v>
      </c>
      <c r="I124" s="2" t="s">
        <v>54</v>
      </c>
      <c r="J124" s="2" t="s">
        <v>54</v>
      </c>
      <c r="K124" s="2" t="s">
        <v>299</v>
      </c>
      <c r="L124" s="2" t="s">
        <v>300</v>
      </c>
      <c r="M124" s="2" t="s">
        <v>56</v>
      </c>
      <c r="N124" s="2" t="s">
        <v>72</v>
      </c>
      <c r="O124" s="3">
        <v>1090</v>
      </c>
      <c r="P124" s="3">
        <v>1091</v>
      </c>
      <c r="Q124" s="3">
        <v>1092</v>
      </c>
      <c r="R124" s="3">
        <v>1093</v>
      </c>
      <c r="S124" s="3">
        <v>1094</v>
      </c>
      <c r="T124" s="3">
        <v>1095</v>
      </c>
      <c r="U124" s="3">
        <v>1096</v>
      </c>
      <c r="V124" s="3">
        <v>1097</v>
      </c>
      <c r="W124" s="3">
        <v>1098</v>
      </c>
      <c r="X124" s="3">
        <v>1099</v>
      </c>
      <c r="Y124" s="3">
        <v>1100</v>
      </c>
      <c r="Z124" s="3">
        <v>1101</v>
      </c>
      <c r="AA124" s="3">
        <v>13146</v>
      </c>
      <c r="AB124" s="8">
        <f>IF(N124="EUR",AA124,IF(N124="GBP",AA124/Rate!$C$3,AA124/Rate!$C$5))</f>
        <v>15110.344827586207</v>
      </c>
      <c r="AC124" s="43">
        <f>IFERROR(VLOOKUP(K124,'4.2 Simplify Savings'!K:AB,18,0),0)</f>
        <v>0</v>
      </c>
      <c r="AD124" s="44">
        <f t="shared" si="7"/>
        <v>15110.344827586207</v>
      </c>
    </row>
    <row r="125" spans="1:30" x14ac:dyDescent="0.3">
      <c r="A125" t="str">
        <f>_xlfn.XLOOKUP(B125*1,'Reference '!I:I,'Reference '!K:K)</f>
        <v>Mael Delmas</v>
      </c>
      <c r="B125" s="2" t="str">
        <f t="shared" ref="B125:B156" si="8">LEFT(C125,3)</f>
        <v>604</v>
      </c>
      <c r="C125" s="2" t="s">
        <v>274</v>
      </c>
      <c r="D125" s="2" t="s">
        <v>274</v>
      </c>
      <c r="E125" s="2" t="s">
        <v>82</v>
      </c>
      <c r="F125" s="2" t="s">
        <v>82</v>
      </c>
      <c r="G125" s="2" t="s">
        <v>53</v>
      </c>
      <c r="H125" s="2" t="s">
        <v>53</v>
      </c>
      <c r="I125" s="2" t="s">
        <v>54</v>
      </c>
      <c r="J125" s="2" t="s">
        <v>54</v>
      </c>
      <c r="K125" s="2" t="s">
        <v>301</v>
      </c>
      <c r="L125" s="2" t="s">
        <v>302</v>
      </c>
      <c r="M125" s="2" t="s">
        <v>56</v>
      </c>
      <c r="N125" s="2" t="s">
        <v>72</v>
      </c>
      <c r="O125" s="3">
        <v>3000</v>
      </c>
      <c r="P125" s="3">
        <v>3000</v>
      </c>
      <c r="Q125" s="3">
        <v>3000</v>
      </c>
      <c r="R125" s="3">
        <v>3000</v>
      </c>
      <c r="S125" s="3">
        <v>3000</v>
      </c>
      <c r="T125" s="3">
        <v>3000</v>
      </c>
      <c r="U125" s="3">
        <v>3000</v>
      </c>
      <c r="V125" s="3">
        <v>3000</v>
      </c>
      <c r="W125" s="3">
        <v>3000</v>
      </c>
      <c r="X125" s="3">
        <v>3000</v>
      </c>
      <c r="Y125" s="3">
        <v>3000</v>
      </c>
      <c r="Z125" s="3">
        <v>3000</v>
      </c>
      <c r="AA125" s="3">
        <v>36000</v>
      </c>
      <c r="AB125" s="8">
        <f>IF(N125="EUR",AA125,IF(N125="GBP",AA125/Rate!$C$3,AA125/Rate!$C$5))</f>
        <v>41379.310344827587</v>
      </c>
      <c r="AC125" s="43">
        <f>IFERROR(VLOOKUP(K125,'4.2 Simplify Savings'!K:AB,18,0),0)</f>
        <v>0</v>
      </c>
      <c r="AD125" s="44">
        <f t="shared" si="7"/>
        <v>41379.310344827587</v>
      </c>
    </row>
    <row r="126" spans="1:30" x14ac:dyDescent="0.3">
      <c r="A126" t="str">
        <f>_xlfn.XLOOKUP(B126*1,'Reference '!I:I,'Reference '!K:K)</f>
        <v>Mael Delmas</v>
      </c>
      <c r="B126" s="2" t="str">
        <f t="shared" si="8"/>
        <v>604</v>
      </c>
      <c r="C126" s="2" t="s">
        <v>274</v>
      </c>
      <c r="D126" s="2" t="s">
        <v>274</v>
      </c>
      <c r="E126" s="2" t="s">
        <v>82</v>
      </c>
      <c r="F126" s="2" t="s">
        <v>82</v>
      </c>
      <c r="G126" s="2" t="s">
        <v>53</v>
      </c>
      <c r="H126" s="2" t="s">
        <v>53</v>
      </c>
      <c r="I126" s="2" t="s">
        <v>54</v>
      </c>
      <c r="J126" s="2" t="s">
        <v>54</v>
      </c>
      <c r="K126" s="2" t="s">
        <v>305</v>
      </c>
      <c r="L126" s="2" t="s">
        <v>306</v>
      </c>
      <c r="M126" s="2" t="s">
        <v>56</v>
      </c>
      <c r="N126" s="2" t="s">
        <v>72</v>
      </c>
      <c r="O126" s="3">
        <v>1200</v>
      </c>
      <c r="P126" s="3">
        <v>1200</v>
      </c>
      <c r="Q126" s="3">
        <v>1200</v>
      </c>
      <c r="R126" s="3">
        <v>1200</v>
      </c>
      <c r="S126" s="3">
        <v>1200</v>
      </c>
      <c r="T126" s="3">
        <v>1200</v>
      </c>
      <c r="U126" s="3">
        <v>1200</v>
      </c>
      <c r="V126" s="3">
        <v>1200</v>
      </c>
      <c r="W126" s="3">
        <v>1200</v>
      </c>
      <c r="X126" s="3">
        <v>1200</v>
      </c>
      <c r="Y126" s="3">
        <v>1200</v>
      </c>
      <c r="Z126" s="3">
        <v>1200</v>
      </c>
      <c r="AA126" s="3">
        <v>14400</v>
      </c>
      <c r="AB126" s="8">
        <f>IF(N126="EUR",AA126,IF(N126="GBP",AA126/Rate!$C$3,AA126/Rate!$C$5))</f>
        <v>16551.724137931036</v>
      </c>
      <c r="AC126" s="43">
        <f>IFERROR(VLOOKUP(K126,'4.2 Simplify Savings'!K:AB,18,0),0)</f>
        <v>0</v>
      </c>
      <c r="AD126" s="44">
        <f t="shared" si="7"/>
        <v>16551.724137931036</v>
      </c>
    </row>
    <row r="127" spans="1:30" x14ac:dyDescent="0.3">
      <c r="A127" t="str">
        <f>_xlfn.XLOOKUP(B127*1,'Reference '!I:I,'Reference '!K:K)</f>
        <v>Olivier Lepret</v>
      </c>
      <c r="B127" s="2" t="str">
        <f t="shared" si="8"/>
        <v>606</v>
      </c>
      <c r="C127" s="2" t="s">
        <v>325</v>
      </c>
      <c r="D127" s="2" t="s">
        <v>325</v>
      </c>
      <c r="E127" s="2" t="s">
        <v>82</v>
      </c>
      <c r="F127" s="2" t="s">
        <v>82</v>
      </c>
      <c r="G127" s="2" t="s">
        <v>53</v>
      </c>
      <c r="H127" s="2" t="s">
        <v>53</v>
      </c>
      <c r="I127" s="2" t="s">
        <v>54</v>
      </c>
      <c r="J127" s="2" t="s">
        <v>54</v>
      </c>
      <c r="K127" s="2" t="s">
        <v>334</v>
      </c>
      <c r="L127" s="2" t="s">
        <v>335</v>
      </c>
      <c r="M127" s="2" t="s">
        <v>56</v>
      </c>
      <c r="N127" s="2" t="s">
        <v>57</v>
      </c>
      <c r="O127" s="3">
        <v>1000</v>
      </c>
      <c r="P127" s="3">
        <v>1000</v>
      </c>
      <c r="Q127" s="3">
        <v>1000</v>
      </c>
      <c r="R127" s="3">
        <v>1000</v>
      </c>
      <c r="S127" s="3">
        <v>1000</v>
      </c>
      <c r="T127" s="3">
        <v>1000</v>
      </c>
      <c r="U127" s="3">
        <v>1000</v>
      </c>
      <c r="V127" s="3">
        <v>1000</v>
      </c>
      <c r="W127" s="3">
        <v>1000</v>
      </c>
      <c r="X127" s="3">
        <v>1000</v>
      </c>
      <c r="Y127" s="3">
        <v>1000</v>
      </c>
      <c r="Z127" s="3">
        <v>1000</v>
      </c>
      <c r="AA127" s="3">
        <v>12000</v>
      </c>
      <c r="AB127" s="8">
        <f>IF(N127="EUR",AA127,IF(N127="GBP",AA127/Rate!$C$3,AA127/Rate!$C$5))</f>
        <v>12000</v>
      </c>
      <c r="AC127" s="43">
        <f>IFERROR(VLOOKUP(K127,'4.2 Simplify Savings'!K:AB,18,0),0)</f>
        <v>0</v>
      </c>
      <c r="AD127" s="44">
        <f t="shared" si="7"/>
        <v>12000</v>
      </c>
    </row>
    <row r="128" spans="1:30" x14ac:dyDescent="0.3">
      <c r="A128" t="str">
        <f>_xlfn.XLOOKUP(B128*1,'Reference '!I:I,'Reference '!K:K)</f>
        <v>Olivier Lepret</v>
      </c>
      <c r="B128" s="2" t="str">
        <f t="shared" si="8"/>
        <v>606</v>
      </c>
      <c r="C128" s="2" t="s">
        <v>325</v>
      </c>
      <c r="D128" s="2" t="s">
        <v>325</v>
      </c>
      <c r="E128" s="2" t="s">
        <v>82</v>
      </c>
      <c r="F128" s="2" t="s">
        <v>82</v>
      </c>
      <c r="G128" s="2" t="s">
        <v>53</v>
      </c>
      <c r="H128" s="2" t="s">
        <v>53</v>
      </c>
      <c r="I128" s="2" t="s">
        <v>54</v>
      </c>
      <c r="J128" s="2" t="s">
        <v>54</v>
      </c>
      <c r="K128" s="2" t="s">
        <v>336</v>
      </c>
      <c r="L128" s="2" t="s">
        <v>337</v>
      </c>
      <c r="M128" s="2" t="s">
        <v>56</v>
      </c>
      <c r="N128" s="2" t="s">
        <v>57</v>
      </c>
      <c r="O128" s="3">
        <v>3333</v>
      </c>
      <c r="P128" s="3">
        <v>3333</v>
      </c>
      <c r="Q128" s="3">
        <v>3333</v>
      </c>
      <c r="R128" s="3">
        <v>3333</v>
      </c>
      <c r="S128" s="3">
        <v>3333</v>
      </c>
      <c r="T128" s="3">
        <v>3333</v>
      </c>
      <c r="U128" s="3">
        <v>3333</v>
      </c>
      <c r="V128" s="3">
        <v>3333</v>
      </c>
      <c r="W128" s="3">
        <v>3333</v>
      </c>
      <c r="X128" s="3">
        <v>3333</v>
      </c>
      <c r="Y128" s="3">
        <v>3333</v>
      </c>
      <c r="Z128" s="3">
        <v>3333</v>
      </c>
      <c r="AA128" s="3">
        <v>39996</v>
      </c>
      <c r="AB128" s="8">
        <f>IF(N128="EUR",AA128,IF(N128="GBP",AA128/Rate!$C$3,AA128/Rate!$C$5))</f>
        <v>39996</v>
      </c>
      <c r="AC128" s="43">
        <f>IFERROR(VLOOKUP(K128,'4.2 Simplify Savings'!K:AB,18,0),0)</f>
        <v>0</v>
      </c>
      <c r="AD128" s="44">
        <f t="shared" si="7"/>
        <v>39996</v>
      </c>
    </row>
    <row r="129" spans="1:30" x14ac:dyDescent="0.3">
      <c r="A129" t="str">
        <f>_xlfn.XLOOKUP(B129*1,'Reference '!I:I,'Reference '!K:K)</f>
        <v>Olivier Lepret</v>
      </c>
      <c r="B129" s="2" t="str">
        <f t="shared" si="8"/>
        <v>606</v>
      </c>
      <c r="C129" s="2" t="s">
        <v>325</v>
      </c>
      <c r="D129" s="2" t="s">
        <v>325</v>
      </c>
      <c r="E129" s="2" t="s">
        <v>82</v>
      </c>
      <c r="F129" s="2" t="s">
        <v>82</v>
      </c>
      <c r="G129" s="2" t="s">
        <v>53</v>
      </c>
      <c r="H129" s="2" t="s">
        <v>53</v>
      </c>
      <c r="I129" s="2" t="s">
        <v>54</v>
      </c>
      <c r="J129" s="2" t="s">
        <v>54</v>
      </c>
      <c r="K129" s="2" t="s">
        <v>339</v>
      </c>
      <c r="L129" s="2"/>
      <c r="M129" s="2" t="s">
        <v>56</v>
      </c>
      <c r="N129" s="2" t="s">
        <v>57</v>
      </c>
      <c r="O129" s="3">
        <v>7133</v>
      </c>
      <c r="P129" s="3">
        <v>7133</v>
      </c>
      <c r="Q129" s="3">
        <v>7133</v>
      </c>
      <c r="R129" s="3">
        <v>7133</v>
      </c>
      <c r="S129" s="3">
        <v>7133</v>
      </c>
      <c r="T129" s="3">
        <v>7133</v>
      </c>
      <c r="U129" s="3">
        <v>7133</v>
      </c>
      <c r="V129" s="3">
        <v>7133</v>
      </c>
      <c r="W129" s="3">
        <v>7133</v>
      </c>
      <c r="X129" s="3">
        <v>7133</v>
      </c>
      <c r="Y129" s="3">
        <v>7133</v>
      </c>
      <c r="Z129" s="3">
        <v>7133</v>
      </c>
      <c r="AA129" s="3">
        <v>85596</v>
      </c>
      <c r="AB129" s="8">
        <f>IF(N129="EUR",AA129,IF(N129="GBP",AA129/Rate!$C$3,AA129/Rate!$C$5))</f>
        <v>85596</v>
      </c>
      <c r="AC129" s="43">
        <f>IFERROR(VLOOKUP(K129,'4.2 Simplify Savings'!K:AB,18,0),0)</f>
        <v>0</v>
      </c>
      <c r="AD129" s="44">
        <f t="shared" si="7"/>
        <v>85596</v>
      </c>
    </row>
    <row r="130" spans="1:30" x14ac:dyDescent="0.3">
      <c r="A130" t="str">
        <f>_xlfn.XLOOKUP(B130*1,'Reference '!I:I,'Reference '!K:K)</f>
        <v>Roger Plummer</v>
      </c>
      <c r="B130" s="2" t="str">
        <f t="shared" si="8"/>
        <v>607</v>
      </c>
      <c r="C130" s="2" t="s">
        <v>342</v>
      </c>
      <c r="D130" s="2" t="s">
        <v>342</v>
      </c>
      <c r="E130" s="2" t="s">
        <v>82</v>
      </c>
      <c r="F130" s="2" t="s">
        <v>82</v>
      </c>
      <c r="G130" s="2" t="s">
        <v>53</v>
      </c>
      <c r="H130" s="2" t="s">
        <v>53</v>
      </c>
      <c r="I130" s="2" t="s">
        <v>54</v>
      </c>
      <c r="J130" s="2" t="s">
        <v>54</v>
      </c>
      <c r="K130" s="2" t="s">
        <v>343</v>
      </c>
      <c r="L130" s="2" t="s">
        <v>344</v>
      </c>
      <c r="M130" s="2" t="s">
        <v>56</v>
      </c>
      <c r="N130" s="2" t="s">
        <v>57</v>
      </c>
      <c r="O130" s="3">
        <v>3750</v>
      </c>
      <c r="P130" s="3">
        <v>3750</v>
      </c>
      <c r="Q130" s="3">
        <v>3750</v>
      </c>
      <c r="R130" s="3">
        <v>3750</v>
      </c>
      <c r="S130" s="3">
        <v>3750</v>
      </c>
      <c r="T130" s="3">
        <v>3750</v>
      </c>
      <c r="U130" s="3">
        <v>3750</v>
      </c>
      <c r="V130" s="3">
        <v>3750</v>
      </c>
      <c r="W130" s="3">
        <v>3750</v>
      </c>
      <c r="X130" s="3">
        <v>3750</v>
      </c>
      <c r="Y130" s="3">
        <v>3750</v>
      </c>
      <c r="Z130" s="3">
        <v>3750</v>
      </c>
      <c r="AA130" s="3">
        <v>45000</v>
      </c>
      <c r="AB130" s="8">
        <f>IF(N130="EUR",AA130,IF(N130="GBP",AA130/Rate!$C$3,AA130/Rate!$C$5))</f>
        <v>45000</v>
      </c>
      <c r="AC130" s="43">
        <f>IFERROR(VLOOKUP(K130,'4.2 Simplify Savings'!K:AB,18,0),0)</f>
        <v>0</v>
      </c>
      <c r="AD130" s="44">
        <f t="shared" si="7"/>
        <v>45000</v>
      </c>
    </row>
    <row r="131" spans="1:30" x14ac:dyDescent="0.3">
      <c r="A131" t="str">
        <f>_xlfn.XLOOKUP(B131*1,'Reference '!I:I,'Reference '!K:K)</f>
        <v>Roger Plummer</v>
      </c>
      <c r="B131" s="2" t="str">
        <f t="shared" si="8"/>
        <v>607</v>
      </c>
      <c r="C131" s="2" t="s">
        <v>342</v>
      </c>
      <c r="D131" s="2" t="s">
        <v>342</v>
      </c>
      <c r="E131" s="2" t="s">
        <v>82</v>
      </c>
      <c r="F131" s="2" t="s">
        <v>82</v>
      </c>
      <c r="G131" s="2" t="s">
        <v>53</v>
      </c>
      <c r="H131" s="2" t="s">
        <v>53</v>
      </c>
      <c r="I131" s="2" t="s">
        <v>54</v>
      </c>
      <c r="J131" s="2" t="s">
        <v>54</v>
      </c>
      <c r="K131" s="2" t="s">
        <v>345</v>
      </c>
      <c r="L131" s="2" t="s">
        <v>345</v>
      </c>
      <c r="M131" s="2" t="s">
        <v>56</v>
      </c>
      <c r="N131" s="2" t="s">
        <v>57</v>
      </c>
      <c r="O131" s="3">
        <v>500</v>
      </c>
      <c r="P131" s="3">
        <v>500</v>
      </c>
      <c r="Q131" s="3">
        <v>500</v>
      </c>
      <c r="R131" s="3">
        <v>500</v>
      </c>
      <c r="S131" s="3">
        <v>500</v>
      </c>
      <c r="T131" s="3">
        <v>500</v>
      </c>
      <c r="U131" s="3">
        <v>500</v>
      </c>
      <c r="V131" s="3">
        <v>500</v>
      </c>
      <c r="W131" s="3">
        <v>500</v>
      </c>
      <c r="X131" s="3">
        <v>500</v>
      </c>
      <c r="Y131" s="3">
        <v>500</v>
      </c>
      <c r="Z131" s="3">
        <v>500</v>
      </c>
      <c r="AA131" s="3">
        <v>6000</v>
      </c>
      <c r="AB131" s="8">
        <f>IF(N131="EUR",AA131,IF(N131="GBP",AA131/Rate!$C$3,AA131/Rate!$C$5))</f>
        <v>6000</v>
      </c>
      <c r="AC131" s="43">
        <f>IFERROR(VLOOKUP(K131,'4.2 Simplify Savings'!K:AB,18,0),0)</f>
        <v>0</v>
      </c>
      <c r="AD131" s="44">
        <f t="shared" si="7"/>
        <v>6000</v>
      </c>
    </row>
    <row r="132" spans="1:30" x14ac:dyDescent="0.3">
      <c r="A132" t="str">
        <f>_xlfn.XLOOKUP(B132*1,'Reference '!I:I,'Reference '!K:K)</f>
        <v>Roger Plummer</v>
      </c>
      <c r="B132" s="2" t="str">
        <f t="shared" si="8"/>
        <v>607</v>
      </c>
      <c r="C132" s="2" t="s">
        <v>342</v>
      </c>
      <c r="D132" s="2" t="s">
        <v>342</v>
      </c>
      <c r="E132" s="2" t="s">
        <v>82</v>
      </c>
      <c r="F132" s="2" t="s">
        <v>82</v>
      </c>
      <c r="G132" s="2" t="s">
        <v>53</v>
      </c>
      <c r="H132" s="2" t="s">
        <v>53</v>
      </c>
      <c r="I132" s="2" t="s">
        <v>346</v>
      </c>
      <c r="J132" s="2" t="s">
        <v>346</v>
      </c>
      <c r="K132" s="2" t="s">
        <v>347</v>
      </c>
      <c r="L132" s="2" t="s">
        <v>348</v>
      </c>
      <c r="M132" s="2" t="s">
        <v>56</v>
      </c>
      <c r="N132" s="2" t="s">
        <v>57</v>
      </c>
      <c r="O132" s="3"/>
      <c r="P132" s="3"/>
      <c r="Q132" s="3"/>
      <c r="R132" s="3"/>
      <c r="S132" s="3"/>
      <c r="T132" s="3"/>
      <c r="U132" s="3">
        <v>128058</v>
      </c>
      <c r="V132" s="3">
        <v>128058</v>
      </c>
      <c r="W132" s="3">
        <v>128058</v>
      </c>
      <c r="X132" s="3">
        <v>128058</v>
      </c>
      <c r="Y132" s="3">
        <v>128058</v>
      </c>
      <c r="Z132" s="3">
        <v>128058</v>
      </c>
      <c r="AA132" s="3">
        <v>768348</v>
      </c>
      <c r="AB132" s="8">
        <f>IF(N132="EUR",AA132,IF(N132="GBP",AA132/Rate!$C$3,AA132/Rate!$C$5))</f>
        <v>768348</v>
      </c>
      <c r="AC132" s="43">
        <f>IFERROR(VLOOKUP(K132,'4.2 Simplify Savings'!K:AB,18,0),0)</f>
        <v>0</v>
      </c>
      <c r="AD132" s="44">
        <f t="shared" si="7"/>
        <v>768348</v>
      </c>
    </row>
    <row r="133" spans="1:30" x14ac:dyDescent="0.3">
      <c r="A133" t="str">
        <f>_xlfn.XLOOKUP(B133*1,'Reference '!I:I,'Reference '!K:K)</f>
        <v>Roger Plummer</v>
      </c>
      <c r="B133" s="2" t="str">
        <f t="shared" si="8"/>
        <v>607</v>
      </c>
      <c r="C133" s="2" t="s">
        <v>342</v>
      </c>
      <c r="D133" s="2" t="s">
        <v>342</v>
      </c>
      <c r="E133" s="2" t="s">
        <v>82</v>
      </c>
      <c r="F133" s="2" t="s">
        <v>82</v>
      </c>
      <c r="G133" s="2" t="s">
        <v>53</v>
      </c>
      <c r="H133" s="2" t="s">
        <v>53</v>
      </c>
      <c r="I133" s="2" t="s">
        <v>54</v>
      </c>
      <c r="J133" s="2" t="s">
        <v>54</v>
      </c>
      <c r="K133" s="2" t="s">
        <v>349</v>
      </c>
      <c r="L133" s="2" t="s">
        <v>350</v>
      </c>
      <c r="M133" s="2" t="s">
        <v>56</v>
      </c>
      <c r="N133" s="2" t="s">
        <v>57</v>
      </c>
      <c r="O133" s="3">
        <v>3583</v>
      </c>
      <c r="P133" s="3">
        <v>3583</v>
      </c>
      <c r="Q133" s="3">
        <v>3583</v>
      </c>
      <c r="R133" s="3">
        <v>3583</v>
      </c>
      <c r="S133" s="3">
        <v>3583</v>
      </c>
      <c r="T133" s="3">
        <v>3583</v>
      </c>
      <c r="U133" s="3">
        <v>3583</v>
      </c>
      <c r="V133" s="3">
        <v>3583</v>
      </c>
      <c r="W133" s="3">
        <v>3583</v>
      </c>
      <c r="X133" s="3">
        <v>3583</v>
      </c>
      <c r="Y133" s="3">
        <v>3583</v>
      </c>
      <c r="Z133" s="3">
        <v>3583</v>
      </c>
      <c r="AA133" s="3">
        <v>42996</v>
      </c>
      <c r="AB133" s="8">
        <f>IF(N133="EUR",AA133,IF(N133="GBP",AA133/Rate!$C$3,AA133/Rate!$C$5))</f>
        <v>42996</v>
      </c>
      <c r="AC133" s="43">
        <f>IFERROR(VLOOKUP(K133,'4.2 Simplify Savings'!K:AB,18,0),0)</f>
        <v>0</v>
      </c>
      <c r="AD133" s="44">
        <f t="shared" ref="AD133:AD164" si="9">SUM(AB133:AC133)</f>
        <v>42996</v>
      </c>
    </row>
    <row r="134" spans="1:30" x14ac:dyDescent="0.3">
      <c r="A134" t="str">
        <f>_xlfn.XLOOKUP(B134*1,'Reference '!I:I,'Reference '!K:K)</f>
        <v>Roger Plummer</v>
      </c>
      <c r="B134" s="2" t="str">
        <f t="shared" si="8"/>
        <v>607</v>
      </c>
      <c r="C134" s="2" t="s">
        <v>342</v>
      </c>
      <c r="D134" s="2" t="s">
        <v>342</v>
      </c>
      <c r="E134" s="2" t="s">
        <v>82</v>
      </c>
      <c r="F134" s="2" t="s">
        <v>82</v>
      </c>
      <c r="G134" s="2" t="s">
        <v>53</v>
      </c>
      <c r="H134" s="2" t="s">
        <v>53</v>
      </c>
      <c r="I134" s="2" t="s">
        <v>54</v>
      </c>
      <c r="J134" s="2" t="s">
        <v>54</v>
      </c>
      <c r="K134" s="2" t="s">
        <v>351</v>
      </c>
      <c r="L134" s="2" t="s">
        <v>351</v>
      </c>
      <c r="M134" s="2" t="s">
        <v>56</v>
      </c>
      <c r="N134" s="2" t="s">
        <v>57</v>
      </c>
      <c r="O134" s="3">
        <v>3333</v>
      </c>
      <c r="P134" s="3">
        <v>3333</v>
      </c>
      <c r="Q134" s="3">
        <v>3333</v>
      </c>
      <c r="R134" s="3">
        <v>3333</v>
      </c>
      <c r="S134" s="3">
        <v>3333</v>
      </c>
      <c r="T134" s="3">
        <v>3333</v>
      </c>
      <c r="U134" s="3">
        <v>3333</v>
      </c>
      <c r="V134" s="3">
        <v>3333</v>
      </c>
      <c r="W134" s="3">
        <v>3333</v>
      </c>
      <c r="X134" s="3">
        <v>3333</v>
      </c>
      <c r="Y134" s="3">
        <v>3333</v>
      </c>
      <c r="Z134" s="3">
        <v>3333</v>
      </c>
      <c r="AA134" s="3">
        <v>39996</v>
      </c>
      <c r="AB134" s="8">
        <f>IF(N134="EUR",AA134,IF(N134="GBP",AA134/Rate!$C$3,AA134/Rate!$C$5))</f>
        <v>39996</v>
      </c>
      <c r="AC134" s="43">
        <f>IFERROR(VLOOKUP(K134,'4.2 Simplify Savings'!K:AB,18,0),0)</f>
        <v>0</v>
      </c>
      <c r="AD134" s="44">
        <f t="shared" si="9"/>
        <v>39996</v>
      </c>
    </row>
    <row r="135" spans="1:30" x14ac:dyDescent="0.3">
      <c r="A135" t="str">
        <f>_xlfn.XLOOKUP(B135*1,'Reference '!I:I,'Reference '!K:K)</f>
        <v>Roger Plummer</v>
      </c>
      <c r="B135" s="2" t="str">
        <f t="shared" si="8"/>
        <v>607</v>
      </c>
      <c r="C135" s="2" t="s">
        <v>342</v>
      </c>
      <c r="D135" s="2" t="s">
        <v>342</v>
      </c>
      <c r="E135" s="2" t="s">
        <v>82</v>
      </c>
      <c r="F135" s="2" t="s">
        <v>82</v>
      </c>
      <c r="G135" s="2" t="s">
        <v>53</v>
      </c>
      <c r="H135" s="2" t="s">
        <v>53</v>
      </c>
      <c r="I135" s="2" t="s">
        <v>54</v>
      </c>
      <c r="J135" s="2" t="s">
        <v>54</v>
      </c>
      <c r="K135" s="2" t="s">
        <v>352</v>
      </c>
      <c r="L135" s="2" t="s">
        <v>352</v>
      </c>
      <c r="M135" s="2" t="s">
        <v>56</v>
      </c>
      <c r="N135" s="2" t="s">
        <v>57</v>
      </c>
      <c r="O135" s="3">
        <v>2250</v>
      </c>
      <c r="P135" s="3">
        <v>2250</v>
      </c>
      <c r="Q135" s="3">
        <v>2250</v>
      </c>
      <c r="R135" s="3">
        <v>2250</v>
      </c>
      <c r="S135" s="3">
        <v>2250</v>
      </c>
      <c r="T135" s="3">
        <v>2250</v>
      </c>
      <c r="U135" s="3">
        <v>2250</v>
      </c>
      <c r="V135" s="3">
        <v>2250</v>
      </c>
      <c r="W135" s="3">
        <v>2250</v>
      </c>
      <c r="X135" s="3">
        <v>2250</v>
      </c>
      <c r="Y135" s="3">
        <v>2250</v>
      </c>
      <c r="Z135" s="3">
        <v>2250</v>
      </c>
      <c r="AA135" s="3">
        <v>27000</v>
      </c>
      <c r="AB135" s="8">
        <f>IF(N135="EUR",AA135,IF(N135="GBP",AA135/Rate!$C$3,AA135/Rate!$C$5))</f>
        <v>27000</v>
      </c>
      <c r="AC135" s="43">
        <f>IFERROR(VLOOKUP(K135,'4.2 Simplify Savings'!K:AB,18,0),0)</f>
        <v>0</v>
      </c>
      <c r="AD135" s="44">
        <f t="shared" si="9"/>
        <v>27000</v>
      </c>
    </row>
    <row r="136" spans="1:30" x14ac:dyDescent="0.3">
      <c r="A136" t="str">
        <f>_xlfn.XLOOKUP(B136*1,'Reference '!I:I,'Reference '!K:K)</f>
        <v>Roger Plummer</v>
      </c>
      <c r="B136" s="2" t="str">
        <f t="shared" si="8"/>
        <v>607</v>
      </c>
      <c r="C136" s="2" t="s">
        <v>342</v>
      </c>
      <c r="D136" s="2" t="s">
        <v>342</v>
      </c>
      <c r="E136" s="2" t="s">
        <v>82</v>
      </c>
      <c r="F136" s="2" t="s">
        <v>82</v>
      </c>
      <c r="G136" s="2" t="s">
        <v>53</v>
      </c>
      <c r="H136" s="2" t="s">
        <v>53</v>
      </c>
      <c r="I136" s="2" t="s">
        <v>54</v>
      </c>
      <c r="J136" s="2" t="s">
        <v>54</v>
      </c>
      <c r="K136" s="2" t="s">
        <v>353</v>
      </c>
      <c r="L136" s="2" t="s">
        <v>353</v>
      </c>
      <c r="M136" s="2" t="s">
        <v>56</v>
      </c>
      <c r="N136" s="2" t="s">
        <v>57</v>
      </c>
      <c r="O136" s="3">
        <v>917</v>
      </c>
      <c r="P136" s="3">
        <v>917</v>
      </c>
      <c r="Q136" s="3">
        <v>917</v>
      </c>
      <c r="R136" s="3">
        <v>917</v>
      </c>
      <c r="S136" s="3">
        <v>917</v>
      </c>
      <c r="T136" s="3">
        <v>917</v>
      </c>
      <c r="U136" s="3">
        <v>917</v>
      </c>
      <c r="V136" s="3">
        <v>917</v>
      </c>
      <c r="W136" s="3">
        <v>917</v>
      </c>
      <c r="X136" s="3">
        <v>917</v>
      </c>
      <c r="Y136" s="3">
        <v>917</v>
      </c>
      <c r="Z136" s="3">
        <v>917</v>
      </c>
      <c r="AA136" s="3">
        <v>11004</v>
      </c>
      <c r="AB136" s="8">
        <f>IF(N136="EUR",AA136,IF(N136="GBP",AA136/Rate!$C$3,AA136/Rate!$C$5))</f>
        <v>11004</v>
      </c>
      <c r="AC136" s="43">
        <f>IFERROR(VLOOKUP(K136,'4.2 Simplify Savings'!K:AB,18,0),0)</f>
        <v>0</v>
      </c>
      <c r="AD136" s="44">
        <f t="shared" si="9"/>
        <v>11004</v>
      </c>
    </row>
    <row r="137" spans="1:30" x14ac:dyDescent="0.3">
      <c r="A137" t="str">
        <f>_xlfn.XLOOKUP(B137*1,'Reference '!I:I,'Reference '!K:K)</f>
        <v>Roger Plummer</v>
      </c>
      <c r="B137" s="2" t="str">
        <f t="shared" si="8"/>
        <v>607</v>
      </c>
      <c r="C137" s="2" t="s">
        <v>342</v>
      </c>
      <c r="D137" s="2" t="s">
        <v>342</v>
      </c>
      <c r="E137" s="2" t="s">
        <v>82</v>
      </c>
      <c r="F137" s="2" t="s">
        <v>82</v>
      </c>
      <c r="G137" s="2" t="s">
        <v>53</v>
      </c>
      <c r="H137" s="2" t="s">
        <v>53</v>
      </c>
      <c r="I137" s="2" t="s">
        <v>54</v>
      </c>
      <c r="J137" s="2" t="s">
        <v>54</v>
      </c>
      <c r="K137" s="2" t="s">
        <v>354</v>
      </c>
      <c r="L137" s="2" t="s">
        <v>355</v>
      </c>
      <c r="M137" s="2" t="s">
        <v>56</v>
      </c>
      <c r="N137" s="2" t="s">
        <v>57</v>
      </c>
      <c r="O137" s="3">
        <v>2083</v>
      </c>
      <c r="P137" s="3">
        <v>2083</v>
      </c>
      <c r="Q137" s="3">
        <v>2083</v>
      </c>
      <c r="R137" s="3">
        <v>2083</v>
      </c>
      <c r="S137" s="3">
        <v>2083</v>
      </c>
      <c r="T137" s="3">
        <v>2083</v>
      </c>
      <c r="U137" s="3">
        <v>2083</v>
      </c>
      <c r="V137" s="3">
        <v>2083</v>
      </c>
      <c r="W137" s="3">
        <v>2083</v>
      </c>
      <c r="X137" s="3">
        <v>2083</v>
      </c>
      <c r="Y137" s="3">
        <v>2083</v>
      </c>
      <c r="Z137" s="3">
        <v>2083</v>
      </c>
      <c r="AA137" s="3">
        <v>24996</v>
      </c>
      <c r="AB137" s="8">
        <f>IF(N137="EUR",AA137,IF(N137="GBP",AA137/Rate!$C$3,AA137/Rate!$C$5))</f>
        <v>24996</v>
      </c>
      <c r="AC137" s="43">
        <f>IFERROR(VLOOKUP(K137,'4.2 Simplify Savings'!K:AB,18,0),0)</f>
        <v>0</v>
      </c>
      <c r="AD137" s="44">
        <f t="shared" si="9"/>
        <v>24996</v>
      </c>
    </row>
    <row r="138" spans="1:30" x14ac:dyDescent="0.3">
      <c r="A138" t="str">
        <f>_xlfn.XLOOKUP(B138*1,'Reference '!I:I,'Reference '!K:K)</f>
        <v>Roger Plummer</v>
      </c>
      <c r="B138" s="2" t="str">
        <f t="shared" si="8"/>
        <v>607</v>
      </c>
      <c r="C138" s="2" t="s">
        <v>342</v>
      </c>
      <c r="D138" s="2" t="s">
        <v>342</v>
      </c>
      <c r="E138" s="2" t="s">
        <v>82</v>
      </c>
      <c r="F138" s="2" t="s">
        <v>82</v>
      </c>
      <c r="G138" s="2" t="s">
        <v>53</v>
      </c>
      <c r="H138" s="2" t="s">
        <v>53</v>
      </c>
      <c r="I138" s="2" t="s">
        <v>54</v>
      </c>
      <c r="J138" s="2" t="s">
        <v>54</v>
      </c>
      <c r="K138" s="2" t="s">
        <v>356</v>
      </c>
      <c r="L138" s="2" t="s">
        <v>357</v>
      </c>
      <c r="M138" s="2" t="s">
        <v>56</v>
      </c>
      <c r="N138" s="2" t="s">
        <v>57</v>
      </c>
      <c r="O138" s="3">
        <v>2167</v>
      </c>
      <c r="P138" s="3">
        <v>2167</v>
      </c>
      <c r="Q138" s="3">
        <v>2167</v>
      </c>
      <c r="R138" s="3">
        <v>2167</v>
      </c>
      <c r="S138" s="3">
        <v>2167</v>
      </c>
      <c r="T138" s="3">
        <v>2167</v>
      </c>
      <c r="U138" s="3">
        <v>2167</v>
      </c>
      <c r="V138" s="3">
        <v>2167</v>
      </c>
      <c r="W138" s="3">
        <v>2167</v>
      </c>
      <c r="X138" s="3">
        <v>2167</v>
      </c>
      <c r="Y138" s="3">
        <v>2167</v>
      </c>
      <c r="Z138" s="3">
        <v>2167</v>
      </c>
      <c r="AA138" s="3">
        <v>26004</v>
      </c>
      <c r="AB138" s="8">
        <f>IF(N138="EUR",AA138,IF(N138="GBP",AA138/Rate!$C$3,AA138/Rate!$C$5))</f>
        <v>26004</v>
      </c>
      <c r="AC138" s="43">
        <f>IFERROR(VLOOKUP(K138,'4.2 Simplify Savings'!K:AB,18,0),0)</f>
        <v>0</v>
      </c>
      <c r="AD138" s="44">
        <f t="shared" si="9"/>
        <v>26004</v>
      </c>
    </row>
    <row r="139" spans="1:30" x14ac:dyDescent="0.3">
      <c r="A139" t="str">
        <f>_xlfn.XLOOKUP(B139*1,'Reference '!I:I,'Reference '!K:K)</f>
        <v>Roger Plummer</v>
      </c>
      <c r="B139" s="2" t="str">
        <f t="shared" si="8"/>
        <v>607</v>
      </c>
      <c r="C139" s="2" t="s">
        <v>359</v>
      </c>
      <c r="D139" s="2" t="s">
        <v>359</v>
      </c>
      <c r="E139" s="2" t="s">
        <v>82</v>
      </c>
      <c r="F139" s="2" t="s">
        <v>82</v>
      </c>
      <c r="G139" s="2" t="s">
        <v>53</v>
      </c>
      <c r="H139" s="2" t="s">
        <v>53</v>
      </c>
      <c r="I139" s="2" t="s">
        <v>54</v>
      </c>
      <c r="J139" s="2" t="s">
        <v>54</v>
      </c>
      <c r="K139" s="2" t="s">
        <v>360</v>
      </c>
      <c r="L139" s="2" t="s">
        <v>361</v>
      </c>
      <c r="M139" s="2" t="s">
        <v>56</v>
      </c>
      <c r="N139" s="2" t="s">
        <v>72</v>
      </c>
      <c r="O139" s="3">
        <v>9500</v>
      </c>
      <c r="P139" s="3">
        <v>9500</v>
      </c>
      <c r="Q139" s="3">
        <v>9500</v>
      </c>
      <c r="R139" s="3">
        <v>9500</v>
      </c>
      <c r="S139" s="3">
        <v>9500</v>
      </c>
      <c r="T139" s="3">
        <v>9500</v>
      </c>
      <c r="U139" s="3">
        <v>9500</v>
      </c>
      <c r="V139" s="3">
        <v>9500</v>
      </c>
      <c r="W139" s="3">
        <v>9500</v>
      </c>
      <c r="X139" s="3">
        <v>9500</v>
      </c>
      <c r="Y139" s="3">
        <v>9500</v>
      </c>
      <c r="Z139" s="3">
        <v>9500</v>
      </c>
      <c r="AA139" s="3">
        <v>114000</v>
      </c>
      <c r="AB139" s="8">
        <f>IF(N139="EUR",AA139,IF(N139="GBP",AA139/Rate!$C$3,AA139/Rate!$C$5))</f>
        <v>131034.4827586207</v>
      </c>
      <c r="AC139" s="43">
        <f>IFERROR(VLOOKUP(K139,'4.2 Simplify Savings'!K:AB,18,0),0)</f>
        <v>0</v>
      </c>
      <c r="AD139" s="44">
        <f t="shared" si="9"/>
        <v>131034.4827586207</v>
      </c>
    </row>
    <row r="140" spans="1:30" x14ac:dyDescent="0.3">
      <c r="A140" t="str">
        <f>_xlfn.XLOOKUP(B140*1,'Reference '!I:I,'Reference '!K:K)</f>
        <v>Roger Plummer</v>
      </c>
      <c r="B140" s="2" t="str">
        <f t="shared" si="8"/>
        <v>607</v>
      </c>
      <c r="C140" s="2" t="s">
        <v>359</v>
      </c>
      <c r="D140" s="2" t="s">
        <v>359</v>
      </c>
      <c r="E140" s="2" t="s">
        <v>82</v>
      </c>
      <c r="F140" s="2" t="s">
        <v>82</v>
      </c>
      <c r="G140" s="2" t="s">
        <v>53</v>
      </c>
      <c r="H140" s="2" t="s">
        <v>53</v>
      </c>
      <c r="I140" s="2" t="s">
        <v>54</v>
      </c>
      <c r="J140" s="2" t="s">
        <v>54</v>
      </c>
      <c r="K140" s="2" t="s">
        <v>365</v>
      </c>
      <c r="L140" s="2" t="s">
        <v>366</v>
      </c>
      <c r="M140" s="2" t="s">
        <v>56</v>
      </c>
      <c r="N140" s="2" t="s">
        <v>72</v>
      </c>
      <c r="O140" s="3">
        <v>225</v>
      </c>
      <c r="P140" s="3">
        <v>225</v>
      </c>
      <c r="Q140" s="3">
        <v>225</v>
      </c>
      <c r="R140" s="3">
        <v>225</v>
      </c>
      <c r="S140" s="3">
        <v>225</v>
      </c>
      <c r="T140" s="3">
        <v>225</v>
      </c>
      <c r="U140" s="3">
        <v>225</v>
      </c>
      <c r="V140" s="3">
        <v>225</v>
      </c>
      <c r="W140" s="3">
        <v>225</v>
      </c>
      <c r="X140" s="3">
        <v>225</v>
      </c>
      <c r="Y140" s="3">
        <v>225</v>
      </c>
      <c r="Z140" s="3">
        <v>225</v>
      </c>
      <c r="AA140" s="3">
        <v>2700</v>
      </c>
      <c r="AB140" s="8">
        <f>IF(N140="EUR",AA140,IF(N140="GBP",AA140/Rate!$C$3,AA140/Rate!$C$5))</f>
        <v>3103.4482758620688</v>
      </c>
      <c r="AC140" s="43">
        <f>IFERROR(VLOOKUP(K140,'4.2 Simplify Savings'!K:AB,18,0),0)</f>
        <v>0</v>
      </c>
      <c r="AD140" s="44">
        <f t="shared" si="9"/>
        <v>3103.4482758620688</v>
      </c>
    </row>
    <row r="141" spans="1:30" x14ac:dyDescent="0.3">
      <c r="A141" t="str">
        <f>_xlfn.XLOOKUP(B141*1,'Reference '!I:I,'Reference '!K:K)</f>
        <v>Roger Plummer</v>
      </c>
      <c r="B141" s="2" t="str">
        <f t="shared" si="8"/>
        <v>607</v>
      </c>
      <c r="C141" s="2" t="s">
        <v>359</v>
      </c>
      <c r="D141" s="2" t="s">
        <v>359</v>
      </c>
      <c r="E141" s="2" t="s">
        <v>82</v>
      </c>
      <c r="F141" s="2" t="s">
        <v>82</v>
      </c>
      <c r="G141" s="2" t="s">
        <v>53</v>
      </c>
      <c r="H141" s="2" t="s">
        <v>53</v>
      </c>
      <c r="I141" s="2" t="s">
        <v>54</v>
      </c>
      <c r="J141" s="2" t="s">
        <v>54</v>
      </c>
      <c r="K141" s="2" t="s">
        <v>367</v>
      </c>
      <c r="L141" s="2" t="s">
        <v>366</v>
      </c>
      <c r="M141" s="2" t="s">
        <v>56</v>
      </c>
      <c r="N141" s="2" t="s">
        <v>72</v>
      </c>
      <c r="O141" s="3">
        <v>4167</v>
      </c>
      <c r="P141" s="3">
        <v>4167</v>
      </c>
      <c r="Q141" s="3">
        <v>4167</v>
      </c>
      <c r="R141" s="3">
        <v>4167</v>
      </c>
      <c r="S141" s="3">
        <v>4167</v>
      </c>
      <c r="T141" s="3">
        <v>4167</v>
      </c>
      <c r="U141" s="3">
        <v>4167</v>
      </c>
      <c r="V141" s="3">
        <v>4167</v>
      </c>
      <c r="W141" s="3">
        <v>4167</v>
      </c>
      <c r="X141" s="3">
        <v>4167</v>
      </c>
      <c r="Y141" s="3">
        <v>4167</v>
      </c>
      <c r="Z141" s="3">
        <v>4167</v>
      </c>
      <c r="AA141" s="3">
        <v>50004</v>
      </c>
      <c r="AB141" s="8">
        <f>IF(N141="EUR",AA141,IF(N141="GBP",AA141/Rate!$C$3,AA141/Rate!$C$5))</f>
        <v>57475.862068965514</v>
      </c>
      <c r="AC141" s="43">
        <f>IFERROR(VLOOKUP(K141,'4.2 Simplify Savings'!K:AB,18,0),0)</f>
        <v>0</v>
      </c>
      <c r="AD141" s="44">
        <f t="shared" si="9"/>
        <v>57475.862068965514</v>
      </c>
    </row>
    <row r="142" spans="1:30" x14ac:dyDescent="0.3">
      <c r="A142" t="str">
        <f>_xlfn.XLOOKUP(B142*1,'Reference '!I:I,'Reference '!K:K)</f>
        <v>Roger Plummer</v>
      </c>
      <c r="B142" s="2" t="str">
        <f t="shared" si="8"/>
        <v>607</v>
      </c>
      <c r="C142" s="2" t="s">
        <v>359</v>
      </c>
      <c r="D142" s="2" t="s">
        <v>359</v>
      </c>
      <c r="E142" s="2" t="s">
        <v>82</v>
      </c>
      <c r="F142" s="2" t="s">
        <v>82</v>
      </c>
      <c r="G142" s="2" t="s">
        <v>53</v>
      </c>
      <c r="H142" s="2" t="s">
        <v>53</v>
      </c>
      <c r="I142" s="2" t="s">
        <v>54</v>
      </c>
      <c r="J142" s="2" t="s">
        <v>54</v>
      </c>
      <c r="K142" s="2" t="s">
        <v>368</v>
      </c>
      <c r="L142" s="2" t="s">
        <v>369</v>
      </c>
      <c r="M142" s="2" t="s">
        <v>56</v>
      </c>
      <c r="N142" s="2" t="s">
        <v>72</v>
      </c>
      <c r="O142" s="3">
        <v>33333.333330000001</v>
      </c>
      <c r="P142" s="3">
        <v>33333.333330000001</v>
      </c>
      <c r="Q142" s="3">
        <v>33333.333330000001</v>
      </c>
      <c r="R142" s="3">
        <v>33333.333330000001</v>
      </c>
      <c r="S142" s="3">
        <v>33333.333330000001</v>
      </c>
      <c r="T142" s="3">
        <v>33333.333330000001</v>
      </c>
      <c r="U142" s="3">
        <v>33333.333330000001</v>
      </c>
      <c r="V142" s="3">
        <v>33333.333330000001</v>
      </c>
      <c r="W142" s="3">
        <v>33333.333330000001</v>
      </c>
      <c r="X142" s="3">
        <v>33333.333330000001</v>
      </c>
      <c r="Y142" s="3">
        <v>33333.333330000001</v>
      </c>
      <c r="Z142" s="3">
        <v>33333.333330000001</v>
      </c>
      <c r="AA142" s="3">
        <v>399999.99995999999</v>
      </c>
      <c r="AB142" s="8">
        <f>IF(N142="EUR",AA142,IF(N142="GBP",AA142/Rate!$C$3,AA142/Rate!$C$5))</f>
        <v>459770.11489655171</v>
      </c>
      <c r="AC142" s="43">
        <f>IFERROR(VLOOKUP(K142,'4.2 Simplify Savings'!K:AB,18,0),0)</f>
        <v>0</v>
      </c>
      <c r="AD142" s="44">
        <f t="shared" si="9"/>
        <v>459770.11489655171</v>
      </c>
    </row>
    <row r="143" spans="1:30" x14ac:dyDescent="0.3">
      <c r="A143" t="str">
        <f>_xlfn.XLOOKUP(B143*1,'Reference '!I:I,'Reference '!K:K)</f>
        <v>Roger Plummer</v>
      </c>
      <c r="B143" s="2" t="str">
        <f t="shared" si="8"/>
        <v>607</v>
      </c>
      <c r="C143" s="2" t="s">
        <v>359</v>
      </c>
      <c r="D143" s="2" t="s">
        <v>359</v>
      </c>
      <c r="E143" s="2" t="s">
        <v>82</v>
      </c>
      <c r="F143" s="2" t="s">
        <v>82</v>
      </c>
      <c r="G143" s="2" t="s">
        <v>53</v>
      </c>
      <c r="H143" s="2" t="s">
        <v>53</v>
      </c>
      <c r="I143" s="2" t="s">
        <v>54</v>
      </c>
      <c r="J143" s="2" t="s">
        <v>54</v>
      </c>
      <c r="K143" s="2" t="s">
        <v>372</v>
      </c>
      <c r="L143" s="2" t="s">
        <v>373</v>
      </c>
      <c r="M143" s="2" t="s">
        <v>56</v>
      </c>
      <c r="N143" s="2" t="s">
        <v>72</v>
      </c>
      <c r="O143" s="3">
        <v>5000</v>
      </c>
      <c r="P143" s="3">
        <v>5000</v>
      </c>
      <c r="Q143" s="3">
        <v>5000</v>
      </c>
      <c r="R143" s="3">
        <v>5000</v>
      </c>
      <c r="S143" s="3">
        <v>5000</v>
      </c>
      <c r="T143" s="3">
        <v>5000</v>
      </c>
      <c r="U143" s="3">
        <v>5000</v>
      </c>
      <c r="V143" s="3">
        <v>5000</v>
      </c>
      <c r="W143" s="3">
        <v>5000</v>
      </c>
      <c r="X143" s="3">
        <v>5000</v>
      </c>
      <c r="Y143" s="3">
        <v>5000</v>
      </c>
      <c r="Z143" s="3">
        <v>5000</v>
      </c>
      <c r="AA143" s="3">
        <v>60000</v>
      </c>
      <c r="AB143" s="8">
        <f>IF(N143="EUR",AA143,IF(N143="GBP",AA143/Rate!$C$3,AA143/Rate!$C$5))</f>
        <v>68965.517241379304</v>
      </c>
      <c r="AC143" s="43">
        <f>IFERROR(VLOOKUP(K143,'4.2 Simplify Savings'!K:AB,18,0),0)</f>
        <v>0</v>
      </c>
      <c r="AD143" s="44">
        <f t="shared" si="9"/>
        <v>68965.517241379304</v>
      </c>
    </row>
    <row r="144" spans="1:30" x14ac:dyDescent="0.3">
      <c r="A144" t="str">
        <f>_xlfn.XLOOKUP(B144*1,'Reference '!I:I,'Reference '!K:K)</f>
        <v>Roger Plummer</v>
      </c>
      <c r="B144" s="2" t="str">
        <f t="shared" si="8"/>
        <v>607</v>
      </c>
      <c r="C144" s="2" t="s">
        <v>359</v>
      </c>
      <c r="D144" s="2" t="s">
        <v>359</v>
      </c>
      <c r="E144" s="2" t="s">
        <v>82</v>
      </c>
      <c r="F144" s="2" t="s">
        <v>82</v>
      </c>
      <c r="G144" s="2" t="s">
        <v>53</v>
      </c>
      <c r="H144" s="2" t="s">
        <v>53</v>
      </c>
      <c r="I144" s="2" t="s">
        <v>54</v>
      </c>
      <c r="J144" s="2" t="s">
        <v>54</v>
      </c>
      <c r="K144" s="2" t="s">
        <v>374</v>
      </c>
      <c r="L144" s="2" t="s">
        <v>375</v>
      </c>
      <c r="M144" s="2" t="s">
        <v>56</v>
      </c>
      <c r="N144" s="2" t="s">
        <v>72</v>
      </c>
      <c r="O144" s="3">
        <v>2667</v>
      </c>
      <c r="P144" s="3">
        <v>2667</v>
      </c>
      <c r="Q144" s="3">
        <v>2667</v>
      </c>
      <c r="R144" s="3">
        <v>2667</v>
      </c>
      <c r="S144" s="3">
        <v>2667</v>
      </c>
      <c r="T144" s="3">
        <v>2667</v>
      </c>
      <c r="U144" s="3">
        <v>2667</v>
      </c>
      <c r="V144" s="3">
        <v>2667</v>
      </c>
      <c r="W144" s="3">
        <v>2667</v>
      </c>
      <c r="X144" s="3">
        <v>2667</v>
      </c>
      <c r="Y144" s="3">
        <v>2667</v>
      </c>
      <c r="Z144" s="3">
        <v>2667</v>
      </c>
      <c r="AA144" s="3">
        <v>32004</v>
      </c>
      <c r="AB144" s="8">
        <f>IF(N144="EUR",AA144,IF(N144="GBP",AA144/Rate!$C$3,AA144/Rate!$C$5))</f>
        <v>36786.206896551725</v>
      </c>
      <c r="AC144" s="43">
        <f>IFERROR(VLOOKUP(K144,'4.2 Simplify Savings'!K:AB,18,0),0)</f>
        <v>0</v>
      </c>
      <c r="AD144" s="44">
        <f t="shared" si="9"/>
        <v>36786.206896551725</v>
      </c>
    </row>
    <row r="145" spans="1:30" x14ac:dyDescent="0.3">
      <c r="A145" t="str">
        <f>_xlfn.XLOOKUP(B145*1,'Reference '!I:I,'Reference '!K:K)</f>
        <v>Roger Plummer</v>
      </c>
      <c r="B145" s="2" t="str">
        <f t="shared" si="8"/>
        <v>607</v>
      </c>
      <c r="C145" s="2" t="s">
        <v>359</v>
      </c>
      <c r="D145" s="2" t="s">
        <v>359</v>
      </c>
      <c r="E145" s="2" t="s">
        <v>82</v>
      </c>
      <c r="F145" s="2" t="s">
        <v>82</v>
      </c>
      <c r="G145" s="2" t="s">
        <v>53</v>
      </c>
      <c r="H145" s="2" t="s">
        <v>53</v>
      </c>
      <c r="I145" s="2" t="s">
        <v>54</v>
      </c>
      <c r="J145" s="2" t="s">
        <v>54</v>
      </c>
      <c r="K145" s="2" t="s">
        <v>384</v>
      </c>
      <c r="L145" s="2" t="s">
        <v>385</v>
      </c>
      <c r="M145" s="2" t="s">
        <v>56</v>
      </c>
      <c r="N145" s="2" t="s">
        <v>72</v>
      </c>
      <c r="O145" s="3">
        <v>3167</v>
      </c>
      <c r="P145" s="3">
        <v>3167</v>
      </c>
      <c r="Q145" s="3">
        <v>3167</v>
      </c>
      <c r="R145" s="3">
        <v>3167</v>
      </c>
      <c r="S145" s="3">
        <v>3167</v>
      </c>
      <c r="T145" s="3">
        <v>3167</v>
      </c>
      <c r="U145" s="3">
        <v>3167</v>
      </c>
      <c r="V145" s="3">
        <v>3167</v>
      </c>
      <c r="W145" s="3">
        <v>3167</v>
      </c>
      <c r="X145" s="3">
        <v>3167</v>
      </c>
      <c r="Y145" s="3">
        <v>3167</v>
      </c>
      <c r="Z145" s="3">
        <v>3167</v>
      </c>
      <c r="AA145" s="3">
        <v>38004</v>
      </c>
      <c r="AB145" s="8">
        <f>IF(N145="EUR",AA145,IF(N145="GBP",AA145/Rate!$C$3,AA145/Rate!$C$5))</f>
        <v>43682.758620689652</v>
      </c>
      <c r="AC145" s="43">
        <f>IFERROR(VLOOKUP(K145,'4.2 Simplify Savings'!K:AB,18,0),0)</f>
        <v>0</v>
      </c>
      <c r="AD145" s="44">
        <f t="shared" si="9"/>
        <v>43682.758620689652</v>
      </c>
    </row>
    <row r="146" spans="1:30" x14ac:dyDescent="0.3">
      <c r="A146" t="str">
        <f>_xlfn.XLOOKUP(B146*1,'Reference '!I:I,'Reference '!K:K)</f>
        <v>Roger Plummer</v>
      </c>
      <c r="B146" s="2" t="str">
        <f t="shared" si="8"/>
        <v>607</v>
      </c>
      <c r="C146" s="2" t="s">
        <v>359</v>
      </c>
      <c r="D146" s="2" t="s">
        <v>359</v>
      </c>
      <c r="E146" s="2" t="s">
        <v>82</v>
      </c>
      <c r="F146" s="2" t="s">
        <v>82</v>
      </c>
      <c r="G146" s="2" t="s">
        <v>53</v>
      </c>
      <c r="H146" s="2" t="s">
        <v>53</v>
      </c>
      <c r="I146" s="2" t="s">
        <v>54</v>
      </c>
      <c r="J146" s="2" t="s">
        <v>54</v>
      </c>
      <c r="K146" s="2" t="s">
        <v>386</v>
      </c>
      <c r="L146" s="2" t="s">
        <v>387</v>
      </c>
      <c r="M146" s="2" t="s">
        <v>56</v>
      </c>
      <c r="N146" s="2" t="s">
        <v>72</v>
      </c>
      <c r="O146" s="3">
        <v>15833</v>
      </c>
      <c r="P146" s="3">
        <v>15833</v>
      </c>
      <c r="Q146" s="3">
        <v>15833</v>
      </c>
      <c r="R146" s="3">
        <v>15833</v>
      </c>
      <c r="S146" s="3">
        <v>15833</v>
      </c>
      <c r="T146" s="3">
        <v>15833</v>
      </c>
      <c r="U146" s="3">
        <v>15833</v>
      </c>
      <c r="V146" s="3">
        <v>15833</v>
      </c>
      <c r="W146" s="3">
        <v>15833</v>
      </c>
      <c r="X146" s="3">
        <v>15833</v>
      </c>
      <c r="Y146" s="3">
        <v>15833</v>
      </c>
      <c r="Z146" s="3">
        <v>15833</v>
      </c>
      <c r="AA146" s="3">
        <v>189996</v>
      </c>
      <c r="AB146" s="8">
        <f>IF(N146="EUR",AA146,IF(N146="GBP",AA146/Rate!$C$3,AA146/Rate!$C$5))</f>
        <v>218386.20689655174</v>
      </c>
      <c r="AC146" s="43">
        <f>IFERROR(VLOOKUP(K146,'4.2 Simplify Savings'!K:AB,18,0),0)</f>
        <v>0</v>
      </c>
      <c r="AD146" s="44">
        <f t="shared" si="9"/>
        <v>218386.20689655174</v>
      </c>
    </row>
    <row r="147" spans="1:30" x14ac:dyDescent="0.3">
      <c r="A147" t="str">
        <f>_xlfn.XLOOKUP(B147*1,'Reference '!I:I,'Reference '!K:K)</f>
        <v>Roger Plummer</v>
      </c>
      <c r="B147" s="2" t="str">
        <f t="shared" si="8"/>
        <v>607</v>
      </c>
      <c r="C147" s="2" t="s">
        <v>359</v>
      </c>
      <c r="D147" s="2" t="s">
        <v>359</v>
      </c>
      <c r="E147" s="2" t="s">
        <v>82</v>
      </c>
      <c r="F147" s="2" t="s">
        <v>82</v>
      </c>
      <c r="G147" s="2" t="s">
        <v>53</v>
      </c>
      <c r="H147" s="2" t="s">
        <v>53</v>
      </c>
      <c r="I147" s="2" t="s">
        <v>54</v>
      </c>
      <c r="J147" s="2" t="s">
        <v>54</v>
      </c>
      <c r="K147" s="2" t="s">
        <v>388</v>
      </c>
      <c r="L147" s="2" t="s">
        <v>389</v>
      </c>
      <c r="M147" s="2" t="s">
        <v>56</v>
      </c>
      <c r="N147" s="2" t="s">
        <v>72</v>
      </c>
      <c r="O147" s="3">
        <v>3833</v>
      </c>
      <c r="P147" s="3">
        <v>3833</v>
      </c>
      <c r="Q147" s="3">
        <v>3833</v>
      </c>
      <c r="R147" s="3">
        <v>3833</v>
      </c>
      <c r="S147" s="3">
        <v>3833</v>
      </c>
      <c r="T147" s="3">
        <v>3833</v>
      </c>
      <c r="U147" s="3">
        <v>3833</v>
      </c>
      <c r="V147" s="3">
        <v>3833</v>
      </c>
      <c r="W147" s="3">
        <v>3833</v>
      </c>
      <c r="X147" s="3">
        <v>3833</v>
      </c>
      <c r="Y147" s="3">
        <v>3833</v>
      </c>
      <c r="Z147" s="3">
        <v>3833</v>
      </c>
      <c r="AA147" s="3">
        <v>45996</v>
      </c>
      <c r="AB147" s="8">
        <f>IF(N147="EUR",AA147,IF(N147="GBP",AA147/Rate!$C$3,AA147/Rate!$C$5))</f>
        <v>52868.965517241377</v>
      </c>
      <c r="AC147" s="43">
        <f>IFERROR(VLOOKUP(K147,'4.2 Simplify Savings'!K:AB,18,0),0)</f>
        <v>0</v>
      </c>
      <c r="AD147" s="44">
        <f t="shared" si="9"/>
        <v>52868.965517241377</v>
      </c>
    </row>
    <row r="148" spans="1:30" x14ac:dyDescent="0.3">
      <c r="A148" t="str">
        <f>_xlfn.XLOOKUP(B148*1,'Reference '!I:I,'Reference '!K:K)</f>
        <v>Roger Plummer</v>
      </c>
      <c r="B148" s="2" t="str">
        <f t="shared" si="8"/>
        <v>607</v>
      </c>
      <c r="C148" s="2" t="s">
        <v>392</v>
      </c>
      <c r="D148" s="2" t="s">
        <v>392</v>
      </c>
      <c r="E148" s="2" t="s">
        <v>82</v>
      </c>
      <c r="F148" s="2" t="s">
        <v>82</v>
      </c>
      <c r="G148" s="2" t="s">
        <v>53</v>
      </c>
      <c r="H148" s="2" t="s">
        <v>53</v>
      </c>
      <c r="I148" s="2" t="s">
        <v>54</v>
      </c>
      <c r="J148" s="2" t="s">
        <v>54</v>
      </c>
      <c r="K148" s="2" t="s">
        <v>393</v>
      </c>
      <c r="L148" s="2" t="s">
        <v>394</v>
      </c>
      <c r="M148" s="2" t="s">
        <v>56</v>
      </c>
      <c r="N148" s="2" t="s">
        <v>213</v>
      </c>
      <c r="O148" s="3">
        <v>8333</v>
      </c>
      <c r="P148" s="3">
        <v>8333</v>
      </c>
      <c r="Q148" s="3">
        <v>8333</v>
      </c>
      <c r="R148" s="3">
        <v>8333</v>
      </c>
      <c r="S148" s="3">
        <v>8333</v>
      </c>
      <c r="T148" s="3">
        <v>8333</v>
      </c>
      <c r="U148" s="3">
        <v>8333</v>
      </c>
      <c r="V148" s="3">
        <v>8333</v>
      </c>
      <c r="W148" s="3">
        <v>8333</v>
      </c>
      <c r="X148" s="3">
        <v>8333</v>
      </c>
      <c r="Y148" s="3">
        <v>8333</v>
      </c>
      <c r="Z148" s="3">
        <v>8333</v>
      </c>
      <c r="AA148" s="3">
        <v>99996</v>
      </c>
      <c r="AB148" s="8">
        <f>IF(N148="EUR",AA148,IF(N148="GBP",AA148/Rate!$C$3,AA148/Rate!$C$5))</f>
        <v>85466.666666666672</v>
      </c>
      <c r="AC148" s="43">
        <f>IFERROR(VLOOKUP(K148,'4.2 Simplify Savings'!K:AB,18,0),0)</f>
        <v>0</v>
      </c>
      <c r="AD148" s="44">
        <f t="shared" si="9"/>
        <v>85466.666666666672</v>
      </c>
    </row>
    <row r="149" spans="1:30" x14ac:dyDescent="0.3">
      <c r="A149" t="str">
        <f>_xlfn.XLOOKUP(B149*1,'Reference '!I:I,'Reference '!K:K)</f>
        <v>Paolo Rodeghiero</v>
      </c>
      <c r="B149" s="2" t="str">
        <f t="shared" si="8"/>
        <v>608</v>
      </c>
      <c r="C149" s="2" t="s">
        <v>396</v>
      </c>
      <c r="D149" s="2" t="s">
        <v>396</v>
      </c>
      <c r="E149" s="2" t="s">
        <v>82</v>
      </c>
      <c r="F149" s="2" t="s">
        <v>82</v>
      </c>
      <c r="G149" s="2" t="s">
        <v>53</v>
      </c>
      <c r="H149" s="2" t="s">
        <v>53</v>
      </c>
      <c r="I149" s="2" t="s">
        <v>54</v>
      </c>
      <c r="J149" s="2" t="s">
        <v>54</v>
      </c>
      <c r="K149" s="2" t="s">
        <v>397</v>
      </c>
      <c r="L149" s="2" t="s">
        <v>397</v>
      </c>
      <c r="M149" s="2" t="s">
        <v>56</v>
      </c>
      <c r="N149" s="2" t="s">
        <v>57</v>
      </c>
      <c r="O149" s="3">
        <v>5833</v>
      </c>
      <c r="P149" s="3">
        <v>5833</v>
      </c>
      <c r="Q149" s="3">
        <v>5833</v>
      </c>
      <c r="R149" s="3">
        <v>5833</v>
      </c>
      <c r="S149" s="3">
        <v>5833</v>
      </c>
      <c r="T149" s="3">
        <v>5833</v>
      </c>
      <c r="U149" s="3">
        <v>5833</v>
      </c>
      <c r="V149" s="3">
        <v>5833</v>
      </c>
      <c r="W149" s="3">
        <v>5833</v>
      </c>
      <c r="X149" s="3">
        <v>5833</v>
      </c>
      <c r="Y149" s="3">
        <v>5833</v>
      </c>
      <c r="Z149" s="3">
        <v>5833</v>
      </c>
      <c r="AA149" s="3">
        <v>69996</v>
      </c>
      <c r="AB149" s="8">
        <f>IF(N149="EUR",AA149,IF(N149="GBP",AA149/Rate!$C$3,AA149/Rate!$C$5))</f>
        <v>69996</v>
      </c>
      <c r="AC149" s="43">
        <f>IFERROR(VLOOKUP(K149,'4.2 Simplify Savings'!K:AB,18,0),0)</f>
        <v>-35004</v>
      </c>
      <c r="AD149" s="44">
        <f t="shared" si="9"/>
        <v>34992</v>
      </c>
    </row>
    <row r="150" spans="1:30" x14ac:dyDescent="0.3">
      <c r="A150" t="str">
        <f>_xlfn.XLOOKUP(B150*1,'Reference '!I:I,'Reference '!K:K)</f>
        <v>Paolo Rodeghiero</v>
      </c>
      <c r="B150" s="2" t="str">
        <f t="shared" si="8"/>
        <v>608</v>
      </c>
      <c r="C150" s="2" t="s">
        <v>396</v>
      </c>
      <c r="D150" s="2" t="s">
        <v>396</v>
      </c>
      <c r="E150" s="2" t="s">
        <v>82</v>
      </c>
      <c r="F150" s="2" t="s">
        <v>82</v>
      </c>
      <c r="G150" s="2" t="s">
        <v>53</v>
      </c>
      <c r="H150" s="2" t="s">
        <v>53</v>
      </c>
      <c r="I150" s="2" t="s">
        <v>54</v>
      </c>
      <c r="J150" s="2" t="s">
        <v>54</v>
      </c>
      <c r="K150" s="2" t="s">
        <v>398</v>
      </c>
      <c r="L150" s="2" t="s">
        <v>398</v>
      </c>
      <c r="M150" s="2" t="s">
        <v>56</v>
      </c>
      <c r="N150" s="2" t="s">
        <v>57</v>
      </c>
      <c r="O150" s="3">
        <v>30500</v>
      </c>
      <c r="P150" s="3">
        <v>30500</v>
      </c>
      <c r="Q150" s="3">
        <v>30500</v>
      </c>
      <c r="R150" s="3">
        <v>30500</v>
      </c>
      <c r="S150" s="3">
        <v>30500</v>
      </c>
      <c r="T150" s="3">
        <v>30500</v>
      </c>
      <c r="U150" s="3">
        <v>30500</v>
      </c>
      <c r="V150" s="3">
        <v>30500</v>
      </c>
      <c r="W150" s="3">
        <v>30500</v>
      </c>
      <c r="X150" s="3">
        <v>30500</v>
      </c>
      <c r="Y150" s="3">
        <v>30500</v>
      </c>
      <c r="Z150" s="3">
        <v>30500</v>
      </c>
      <c r="AA150" s="3">
        <v>366000</v>
      </c>
      <c r="AB150" s="8">
        <f>IF(N150="EUR",AA150,IF(N150="GBP",AA150/Rate!$C$3,AA150/Rate!$C$5))</f>
        <v>366000</v>
      </c>
      <c r="AC150" s="43">
        <f>IFERROR(VLOOKUP(K150,'4.2 Simplify Savings'!K:AB,18,0),0)</f>
        <v>-50004</v>
      </c>
      <c r="AD150" s="44">
        <f t="shared" si="9"/>
        <v>315996</v>
      </c>
    </row>
    <row r="151" spans="1:30" x14ac:dyDescent="0.3">
      <c r="A151" t="str">
        <f>_xlfn.XLOOKUP(B151*1,'Reference '!I:I,'Reference '!K:K)</f>
        <v>Paolo Rodeghiero</v>
      </c>
      <c r="B151" s="2" t="str">
        <f t="shared" si="8"/>
        <v>608</v>
      </c>
      <c r="C151" s="2" t="s">
        <v>396</v>
      </c>
      <c r="D151" s="2" t="s">
        <v>396</v>
      </c>
      <c r="E151" s="2" t="s">
        <v>82</v>
      </c>
      <c r="F151" s="2" t="s">
        <v>82</v>
      </c>
      <c r="G151" s="2" t="s">
        <v>53</v>
      </c>
      <c r="H151" s="2" t="s">
        <v>53</v>
      </c>
      <c r="I151" s="2" t="s">
        <v>54</v>
      </c>
      <c r="J151" s="2" t="s">
        <v>54</v>
      </c>
      <c r="K151" s="2" t="s">
        <v>399</v>
      </c>
      <c r="L151" s="2" t="s">
        <v>399</v>
      </c>
      <c r="M151" s="2" t="s">
        <v>56</v>
      </c>
      <c r="N151" s="2" t="s">
        <v>57</v>
      </c>
      <c r="O151" s="3">
        <v>20833</v>
      </c>
      <c r="P151" s="3">
        <v>20833</v>
      </c>
      <c r="Q151" s="3">
        <v>20833</v>
      </c>
      <c r="R151" s="3">
        <v>20833</v>
      </c>
      <c r="S151" s="3">
        <v>20833</v>
      </c>
      <c r="T151" s="3">
        <v>20833</v>
      </c>
      <c r="U151" s="3">
        <v>20833</v>
      </c>
      <c r="V151" s="3">
        <v>20833</v>
      </c>
      <c r="W151" s="3">
        <v>20833</v>
      </c>
      <c r="X151" s="3">
        <v>20833</v>
      </c>
      <c r="Y151" s="3">
        <v>20833</v>
      </c>
      <c r="Z151" s="3">
        <v>20833</v>
      </c>
      <c r="AA151" s="3">
        <v>249996</v>
      </c>
      <c r="AB151" s="8">
        <f>IF(N151="EUR",AA151,IF(N151="GBP",AA151/Rate!$C$3,AA151/Rate!$C$5))</f>
        <v>249996</v>
      </c>
      <c r="AC151" s="43">
        <f>IFERROR(VLOOKUP(K151,'4.2 Simplify Savings'!K:AB,18,0),0)</f>
        <v>-150000</v>
      </c>
      <c r="AD151" s="44">
        <f t="shared" si="9"/>
        <v>99996</v>
      </c>
    </row>
    <row r="152" spans="1:30" x14ac:dyDescent="0.3">
      <c r="A152" t="str">
        <f>_xlfn.XLOOKUP(B152*1,'Reference '!I:I,'Reference '!K:K)</f>
        <v>Ben Gbeve</v>
      </c>
      <c r="B152" s="2" t="str">
        <f t="shared" si="8"/>
        <v>601</v>
      </c>
      <c r="C152" s="2" t="s">
        <v>110</v>
      </c>
      <c r="D152" s="2" t="s">
        <v>110</v>
      </c>
      <c r="E152" s="2" t="s">
        <v>111</v>
      </c>
      <c r="F152" s="2" t="s">
        <v>111</v>
      </c>
      <c r="G152" s="2" t="s">
        <v>53</v>
      </c>
      <c r="H152" s="2" t="s">
        <v>53</v>
      </c>
      <c r="I152" s="2" t="s">
        <v>54</v>
      </c>
      <c r="J152" s="2" t="s">
        <v>54</v>
      </c>
      <c r="K152" s="2" t="s">
        <v>112</v>
      </c>
      <c r="L152" s="2" t="s">
        <v>113</v>
      </c>
      <c r="M152" s="2" t="s">
        <v>56</v>
      </c>
      <c r="N152" s="2" t="s">
        <v>72</v>
      </c>
      <c r="O152" s="3">
        <v>500</v>
      </c>
      <c r="P152" s="3">
        <v>500</v>
      </c>
      <c r="Q152" s="3">
        <v>500</v>
      </c>
      <c r="R152" s="3">
        <v>500</v>
      </c>
      <c r="S152" s="3">
        <v>500</v>
      </c>
      <c r="T152" s="3">
        <v>500</v>
      </c>
      <c r="U152" s="3">
        <v>500</v>
      </c>
      <c r="V152" s="3">
        <v>500</v>
      </c>
      <c r="W152" s="3">
        <v>500</v>
      </c>
      <c r="X152" s="3">
        <v>500</v>
      </c>
      <c r="Y152" s="3">
        <v>500</v>
      </c>
      <c r="Z152" s="3">
        <v>500</v>
      </c>
      <c r="AA152" s="3">
        <v>6000</v>
      </c>
      <c r="AB152" s="8">
        <f>IF(N152="EUR",AA152,IF(N152="GBP",AA152/Rate!$C$3,AA152/Rate!$C$5))</f>
        <v>6896.5517241379312</v>
      </c>
      <c r="AC152" s="43">
        <f>IFERROR(VLOOKUP(K152,'4.2 Simplify Savings'!K:AB,18,0),0)</f>
        <v>0</v>
      </c>
      <c r="AD152" s="44">
        <f t="shared" si="9"/>
        <v>6896.5517241379312</v>
      </c>
    </row>
    <row r="153" spans="1:30" x14ac:dyDescent="0.3">
      <c r="A153" t="str">
        <f>_xlfn.XLOOKUP(B153*1,'Reference '!I:I,'Reference '!K:K)</f>
        <v>Ben Gbeve</v>
      </c>
      <c r="B153" s="2" t="str">
        <f t="shared" si="8"/>
        <v>601</v>
      </c>
      <c r="C153" s="2" t="s">
        <v>110</v>
      </c>
      <c r="D153" s="2" t="s">
        <v>110</v>
      </c>
      <c r="E153" s="2" t="s">
        <v>111</v>
      </c>
      <c r="F153" s="2" t="s">
        <v>111</v>
      </c>
      <c r="G153" s="2" t="s">
        <v>53</v>
      </c>
      <c r="H153" s="2" t="s">
        <v>53</v>
      </c>
      <c r="I153" s="2" t="s">
        <v>54</v>
      </c>
      <c r="J153" s="2" t="s">
        <v>54</v>
      </c>
      <c r="K153" s="2" t="s">
        <v>126</v>
      </c>
      <c r="L153" s="2" t="s">
        <v>127</v>
      </c>
      <c r="M153" s="2" t="s">
        <v>56</v>
      </c>
      <c r="N153" s="2" t="s">
        <v>72</v>
      </c>
      <c r="O153" s="3">
        <v>2083.33</v>
      </c>
      <c r="P153" s="3">
        <v>2083.33</v>
      </c>
      <c r="Q153" s="3">
        <v>2083.33</v>
      </c>
      <c r="R153" s="3">
        <v>2083.33</v>
      </c>
      <c r="S153" s="3">
        <v>2083.33</v>
      </c>
      <c r="T153" s="3">
        <v>2083.33</v>
      </c>
      <c r="U153" s="3">
        <v>2083.33</v>
      </c>
      <c r="V153" s="3">
        <v>2083.33</v>
      </c>
      <c r="W153" s="3">
        <v>2083.33</v>
      </c>
      <c r="X153" s="3">
        <v>2083.33</v>
      </c>
      <c r="Y153" s="3">
        <v>2083.33</v>
      </c>
      <c r="Z153" s="3">
        <v>2083.33</v>
      </c>
      <c r="AA153" s="3">
        <v>24999.960000000006</v>
      </c>
      <c r="AB153" s="8">
        <f>IF(N153="EUR",AA153,IF(N153="GBP",AA153/Rate!$C$3,AA153/Rate!$C$5))</f>
        <v>28735.586206896558</v>
      </c>
      <c r="AC153" s="43">
        <f>IFERROR(VLOOKUP(K153,'4.2 Simplify Savings'!K:AB,18,0),0)</f>
        <v>0</v>
      </c>
      <c r="AD153" s="44">
        <f t="shared" si="9"/>
        <v>28735.586206896558</v>
      </c>
    </row>
    <row r="154" spans="1:30" x14ac:dyDescent="0.3">
      <c r="A154" t="str">
        <f>_xlfn.XLOOKUP(B154*1,'Reference '!I:I,'Reference '!K:K)</f>
        <v>Ben Gbeve</v>
      </c>
      <c r="B154" s="2" t="str">
        <f t="shared" si="8"/>
        <v>601</v>
      </c>
      <c r="C154" s="2" t="s">
        <v>110</v>
      </c>
      <c r="D154" s="2" t="s">
        <v>110</v>
      </c>
      <c r="E154" s="2" t="s">
        <v>111</v>
      </c>
      <c r="F154" s="2" t="s">
        <v>111</v>
      </c>
      <c r="G154" s="2" t="s">
        <v>53</v>
      </c>
      <c r="H154" s="2" t="s">
        <v>53</v>
      </c>
      <c r="I154" s="2" t="s">
        <v>54</v>
      </c>
      <c r="J154" s="2" t="s">
        <v>54</v>
      </c>
      <c r="K154" s="2" t="s">
        <v>145</v>
      </c>
      <c r="L154" s="2" t="s">
        <v>146</v>
      </c>
      <c r="M154" s="2" t="s">
        <v>56</v>
      </c>
      <c r="N154" s="2" t="s">
        <v>72</v>
      </c>
      <c r="O154" s="3">
        <v>208.33</v>
      </c>
      <c r="P154" s="3">
        <v>208.33</v>
      </c>
      <c r="Q154" s="3">
        <v>208.33</v>
      </c>
      <c r="R154" s="3">
        <v>208.33</v>
      </c>
      <c r="S154" s="3">
        <v>208.33</v>
      </c>
      <c r="T154" s="3">
        <v>208.33</v>
      </c>
      <c r="U154" s="3">
        <v>208.33</v>
      </c>
      <c r="V154" s="3">
        <v>208.33</v>
      </c>
      <c r="W154" s="3">
        <v>208.33</v>
      </c>
      <c r="X154" s="3">
        <v>208.33</v>
      </c>
      <c r="Y154" s="3">
        <v>208.33</v>
      </c>
      <c r="Z154" s="3">
        <v>208.33</v>
      </c>
      <c r="AA154" s="3">
        <v>2499.9599999999996</v>
      </c>
      <c r="AB154" s="8">
        <f>IF(N154="EUR",AA154,IF(N154="GBP",AA154/Rate!$C$3,AA154/Rate!$C$5))</f>
        <v>2873.5172413793098</v>
      </c>
      <c r="AC154" s="43">
        <f>IFERROR(VLOOKUP(K154,'4.2 Simplify Savings'!K:AB,18,0),0)</f>
        <v>0</v>
      </c>
      <c r="AD154" s="44">
        <f t="shared" si="9"/>
        <v>2873.5172413793098</v>
      </c>
    </row>
    <row r="155" spans="1:30" x14ac:dyDescent="0.3">
      <c r="A155" t="str">
        <f>_xlfn.XLOOKUP(B155*1,'Reference '!I:I,'Reference '!K:K)</f>
        <v>Ben Gbeve</v>
      </c>
      <c r="B155" s="2" t="str">
        <f t="shared" si="8"/>
        <v>601</v>
      </c>
      <c r="C155" s="2" t="s">
        <v>110</v>
      </c>
      <c r="D155" s="2" t="s">
        <v>110</v>
      </c>
      <c r="E155" s="2" t="s">
        <v>111</v>
      </c>
      <c r="F155" s="2" t="s">
        <v>111</v>
      </c>
      <c r="G155" s="2" t="s">
        <v>53</v>
      </c>
      <c r="H155" s="2" t="s">
        <v>53</v>
      </c>
      <c r="I155" s="2" t="s">
        <v>54</v>
      </c>
      <c r="J155" s="2" t="s">
        <v>54</v>
      </c>
      <c r="K155" s="2" t="s">
        <v>158</v>
      </c>
      <c r="L155" s="2" t="s">
        <v>159</v>
      </c>
      <c r="M155" s="2" t="s">
        <v>56</v>
      </c>
      <c r="N155" s="2" t="s">
        <v>72</v>
      </c>
      <c r="O155" s="3">
        <v>1000</v>
      </c>
      <c r="P155" s="3">
        <v>1000</v>
      </c>
      <c r="Q155" s="3">
        <v>1000</v>
      </c>
      <c r="R155" s="3">
        <v>1000</v>
      </c>
      <c r="S155" s="3">
        <v>1000</v>
      </c>
      <c r="T155" s="3">
        <v>1000</v>
      </c>
      <c r="U155" s="3">
        <v>1000</v>
      </c>
      <c r="V155" s="3">
        <v>1000</v>
      </c>
      <c r="W155" s="3">
        <v>1000</v>
      </c>
      <c r="X155" s="3">
        <v>1000</v>
      </c>
      <c r="Y155" s="3">
        <v>1000</v>
      </c>
      <c r="Z155" s="3">
        <v>1000</v>
      </c>
      <c r="AA155" s="3">
        <v>12000</v>
      </c>
      <c r="AB155" s="8">
        <f>IF(N155="EUR",AA155,IF(N155="GBP",AA155/Rate!$C$3,AA155/Rate!$C$5))</f>
        <v>13793.103448275862</v>
      </c>
      <c r="AC155" s="43">
        <f>IFERROR(VLOOKUP(K155,'4.2 Simplify Savings'!K:AB,18,0),0)</f>
        <v>0</v>
      </c>
      <c r="AD155" s="44">
        <f t="shared" si="9"/>
        <v>13793.103448275862</v>
      </c>
    </row>
    <row r="156" spans="1:30" x14ac:dyDescent="0.3">
      <c r="A156" t="str">
        <f>_xlfn.XLOOKUP(B156*1,'Reference '!I:I,'Reference '!K:K)</f>
        <v>Ben Gbeve</v>
      </c>
      <c r="B156" s="2" t="str">
        <f t="shared" si="8"/>
        <v>601</v>
      </c>
      <c r="C156" s="2" t="s">
        <v>75</v>
      </c>
      <c r="D156" s="2" t="s">
        <v>75</v>
      </c>
      <c r="E156" s="2" t="s">
        <v>76</v>
      </c>
      <c r="F156" s="2" t="s">
        <v>76</v>
      </c>
      <c r="G156" s="2" t="s">
        <v>53</v>
      </c>
      <c r="H156" s="2" t="s">
        <v>53</v>
      </c>
      <c r="I156" s="2" t="s">
        <v>77</v>
      </c>
      <c r="J156" s="2" t="s">
        <v>77</v>
      </c>
      <c r="K156" s="2" t="s">
        <v>78</v>
      </c>
      <c r="L156" s="2" t="s">
        <v>79</v>
      </c>
      <c r="M156" s="2" t="s">
        <v>56</v>
      </c>
      <c r="N156" s="2" t="s">
        <v>57</v>
      </c>
      <c r="O156" s="3">
        <v>292</v>
      </c>
      <c r="P156" s="3">
        <v>292</v>
      </c>
      <c r="Q156" s="3">
        <v>292</v>
      </c>
      <c r="R156" s="3">
        <v>292</v>
      </c>
      <c r="S156" s="3">
        <v>292</v>
      </c>
      <c r="T156" s="3">
        <v>292</v>
      </c>
      <c r="U156" s="3">
        <v>292</v>
      </c>
      <c r="V156" s="3">
        <v>292</v>
      </c>
      <c r="W156" s="3">
        <v>292</v>
      </c>
      <c r="X156" s="3">
        <v>292</v>
      </c>
      <c r="Y156" s="3">
        <v>292</v>
      </c>
      <c r="Z156" s="3">
        <v>292</v>
      </c>
      <c r="AA156" s="3">
        <v>3504</v>
      </c>
      <c r="AB156" s="8">
        <f>IF(N156="EUR",AA156,IF(N156="GBP",AA156/Rate!$C$3,AA156/Rate!$C$5))</f>
        <v>3504</v>
      </c>
      <c r="AC156" s="43">
        <f>IFERROR(VLOOKUP(K156,'4.2 Simplify Savings'!K:AB,18,0),0)</f>
        <v>0</v>
      </c>
      <c r="AD156" s="44">
        <f t="shared" si="9"/>
        <v>3504</v>
      </c>
    </row>
    <row r="157" spans="1:30" x14ac:dyDescent="0.3">
      <c r="A157" t="str">
        <f>_xlfn.XLOOKUP(B157*1,'Reference '!I:I,'Reference '!K:K)</f>
        <v>Ben Gbeve</v>
      </c>
      <c r="B157" s="2" t="str">
        <f t="shared" ref="B157:B184" si="10">LEFT(C157,3)</f>
        <v>601</v>
      </c>
      <c r="C157" s="2" t="s">
        <v>75</v>
      </c>
      <c r="D157" s="2" t="s">
        <v>75</v>
      </c>
      <c r="E157" s="2" t="s">
        <v>76</v>
      </c>
      <c r="F157" s="2" t="s">
        <v>76</v>
      </c>
      <c r="G157" s="2" t="s">
        <v>53</v>
      </c>
      <c r="H157" s="2" t="s">
        <v>53</v>
      </c>
      <c r="I157" s="2" t="s">
        <v>54</v>
      </c>
      <c r="J157" s="2" t="s">
        <v>54</v>
      </c>
      <c r="K157" s="2" t="s">
        <v>80</v>
      </c>
      <c r="L157" s="2" t="s">
        <v>81</v>
      </c>
      <c r="M157" s="2" t="s">
        <v>56</v>
      </c>
      <c r="N157" s="2" t="s">
        <v>57</v>
      </c>
      <c r="O157" s="3">
        <v>100</v>
      </c>
      <c r="P157" s="3">
        <v>100</v>
      </c>
      <c r="Q157" s="3">
        <v>100</v>
      </c>
      <c r="R157" s="3">
        <v>100</v>
      </c>
      <c r="S157" s="3">
        <v>100</v>
      </c>
      <c r="T157" s="3">
        <v>100</v>
      </c>
      <c r="U157" s="3">
        <v>100</v>
      </c>
      <c r="V157" s="3">
        <v>100</v>
      </c>
      <c r="W157" s="3">
        <v>100</v>
      </c>
      <c r="X157" s="3">
        <v>100</v>
      </c>
      <c r="Y157" s="3">
        <v>100</v>
      </c>
      <c r="Z157" s="3">
        <v>100</v>
      </c>
      <c r="AA157" s="3">
        <v>1200</v>
      </c>
      <c r="AB157" s="8">
        <f>IF(N157="EUR",AA157,IF(N157="GBP",AA157/Rate!$C$3,AA157/Rate!$C$5))</f>
        <v>1200</v>
      </c>
      <c r="AC157" s="43">
        <f>IFERROR(VLOOKUP(K157,'4.2 Simplify Savings'!K:AB,18,0),0)</f>
        <v>0</v>
      </c>
      <c r="AD157" s="44">
        <f t="shared" si="9"/>
        <v>1200</v>
      </c>
    </row>
    <row r="158" spans="1:30" x14ac:dyDescent="0.3">
      <c r="A158" t="str">
        <f>_xlfn.XLOOKUP(B158*1,'Reference '!I:I,'Reference '!K:K)</f>
        <v>Ben Gbeve</v>
      </c>
      <c r="B158" s="2" t="str">
        <f t="shared" si="10"/>
        <v>601</v>
      </c>
      <c r="C158" s="2" t="s">
        <v>75</v>
      </c>
      <c r="D158" s="2" t="s">
        <v>75</v>
      </c>
      <c r="E158" s="2" t="s">
        <v>76</v>
      </c>
      <c r="F158" s="2" t="s">
        <v>76</v>
      </c>
      <c r="G158" s="2" t="s">
        <v>53</v>
      </c>
      <c r="H158" s="2" t="s">
        <v>53</v>
      </c>
      <c r="I158" s="2" t="s">
        <v>90</v>
      </c>
      <c r="J158" s="2" t="s">
        <v>90</v>
      </c>
      <c r="K158" s="2" t="s">
        <v>91</v>
      </c>
      <c r="L158" s="2" t="s">
        <v>92</v>
      </c>
      <c r="M158" s="2" t="s">
        <v>56</v>
      </c>
      <c r="N158" s="2" t="s">
        <v>57</v>
      </c>
      <c r="O158" s="3">
        <v>1333.33</v>
      </c>
      <c r="P158" s="3">
        <v>1333.33</v>
      </c>
      <c r="Q158" s="3">
        <v>1333.33</v>
      </c>
      <c r="R158" s="3">
        <v>1333.33</v>
      </c>
      <c r="S158" s="3">
        <v>1333.33</v>
      </c>
      <c r="T158" s="3">
        <v>1333.33</v>
      </c>
      <c r="U158" s="3">
        <v>1333.33</v>
      </c>
      <c r="V158" s="3">
        <v>1333.33</v>
      </c>
      <c r="W158" s="3">
        <v>1333.33</v>
      </c>
      <c r="X158" s="3">
        <v>1333.33</v>
      </c>
      <c r="Y158" s="3">
        <v>1333.33</v>
      </c>
      <c r="Z158" s="3">
        <v>1333.33</v>
      </c>
      <c r="AA158" s="3">
        <v>15999.96</v>
      </c>
      <c r="AB158" s="8">
        <f>IF(N158="EUR",AA158,IF(N158="GBP",AA158/Rate!$C$3,AA158/Rate!$C$5))</f>
        <v>15999.96</v>
      </c>
      <c r="AC158" s="43">
        <f>IFERROR(VLOOKUP(K158,'4.2 Simplify Savings'!K:AB,18,0),0)</f>
        <v>0</v>
      </c>
      <c r="AD158" s="44">
        <f t="shared" si="9"/>
        <v>15999.96</v>
      </c>
    </row>
    <row r="159" spans="1:30" x14ac:dyDescent="0.3">
      <c r="A159" t="str">
        <f>_xlfn.XLOOKUP(B159*1,'Reference '!I:I,'Reference '!K:K)</f>
        <v>Ben Gbeve</v>
      </c>
      <c r="B159" s="2" t="str">
        <f t="shared" si="10"/>
        <v>601</v>
      </c>
      <c r="C159" s="2" t="s">
        <v>75</v>
      </c>
      <c r="D159" s="2" t="s">
        <v>75</v>
      </c>
      <c r="E159" s="2" t="s">
        <v>76</v>
      </c>
      <c r="F159" s="2" t="s">
        <v>76</v>
      </c>
      <c r="G159" s="2" t="s">
        <v>53</v>
      </c>
      <c r="H159" s="2" t="s">
        <v>53</v>
      </c>
      <c r="I159" s="2" t="s">
        <v>77</v>
      </c>
      <c r="J159" s="2" t="s">
        <v>77</v>
      </c>
      <c r="K159" s="2" t="s">
        <v>101</v>
      </c>
      <c r="L159" s="2" t="s">
        <v>97</v>
      </c>
      <c r="M159" s="2" t="s">
        <v>56</v>
      </c>
      <c r="N159" s="2" t="s">
        <v>57</v>
      </c>
      <c r="O159" s="3">
        <v>6000</v>
      </c>
      <c r="P159" s="3">
        <v>6000</v>
      </c>
      <c r="Q159" s="3">
        <v>6000</v>
      </c>
      <c r="R159" s="3">
        <v>6000</v>
      </c>
      <c r="S159" s="3">
        <v>6000</v>
      </c>
      <c r="T159" s="3">
        <v>6000</v>
      </c>
      <c r="U159" s="3">
        <v>6000</v>
      </c>
      <c r="V159" s="3">
        <v>6000</v>
      </c>
      <c r="W159" s="3">
        <v>6000</v>
      </c>
      <c r="X159" s="3">
        <v>6000</v>
      </c>
      <c r="Y159" s="3">
        <v>6000</v>
      </c>
      <c r="Z159" s="3">
        <v>6000</v>
      </c>
      <c r="AA159" s="3">
        <v>72000</v>
      </c>
      <c r="AB159" s="8">
        <f>IF(N159="EUR",AA159,IF(N159="GBP",AA159/Rate!$C$3,AA159/Rate!$C$5))</f>
        <v>72000</v>
      </c>
      <c r="AC159" s="43">
        <f>IFERROR(VLOOKUP(K159,'4.2 Simplify Savings'!K:AB,18,0),0)</f>
        <v>0</v>
      </c>
      <c r="AD159" s="44">
        <f t="shared" si="9"/>
        <v>72000</v>
      </c>
    </row>
    <row r="160" spans="1:30" x14ac:dyDescent="0.3">
      <c r="A160" t="str">
        <f>_xlfn.XLOOKUP(B160*1,'Reference '!I:I,'Reference '!K:K)</f>
        <v>Ben Gbeve</v>
      </c>
      <c r="B160" s="2" t="str">
        <f t="shared" si="10"/>
        <v>601</v>
      </c>
      <c r="C160" s="2" t="s">
        <v>110</v>
      </c>
      <c r="D160" s="2" t="s">
        <v>110</v>
      </c>
      <c r="E160" s="2" t="s">
        <v>76</v>
      </c>
      <c r="F160" s="2" t="s">
        <v>76</v>
      </c>
      <c r="G160" s="2" t="s">
        <v>53</v>
      </c>
      <c r="H160" s="2" t="s">
        <v>53</v>
      </c>
      <c r="I160" s="2" t="s">
        <v>54</v>
      </c>
      <c r="J160" s="2" t="s">
        <v>54</v>
      </c>
      <c r="K160" s="2" t="s">
        <v>162</v>
      </c>
      <c r="L160" s="2" t="s">
        <v>163</v>
      </c>
      <c r="M160" s="2" t="s">
        <v>56</v>
      </c>
      <c r="N160" s="2" t="s">
        <v>72</v>
      </c>
      <c r="O160" s="3">
        <v>250</v>
      </c>
      <c r="P160" s="3">
        <v>250</v>
      </c>
      <c r="Q160" s="3">
        <v>250</v>
      </c>
      <c r="R160" s="3">
        <v>250</v>
      </c>
      <c r="S160" s="3">
        <v>250</v>
      </c>
      <c r="T160" s="3">
        <v>250</v>
      </c>
      <c r="U160" s="3">
        <v>250</v>
      </c>
      <c r="V160" s="3">
        <v>250</v>
      </c>
      <c r="W160" s="3">
        <v>250</v>
      </c>
      <c r="X160" s="3">
        <v>250</v>
      </c>
      <c r="Y160" s="3">
        <v>250</v>
      </c>
      <c r="Z160" s="3">
        <v>250</v>
      </c>
      <c r="AA160" s="3">
        <v>3000</v>
      </c>
      <c r="AB160" s="8">
        <f>IF(N160="EUR",AA160,IF(N160="GBP",AA160/Rate!$C$3,AA160/Rate!$C$5))</f>
        <v>3448.2758620689656</v>
      </c>
      <c r="AC160" s="43">
        <f>IFERROR(VLOOKUP(K160,'4.2 Simplify Savings'!K:AB,18,0),0)</f>
        <v>0</v>
      </c>
      <c r="AD160" s="44">
        <f t="shared" si="9"/>
        <v>3448.2758620689656</v>
      </c>
    </row>
    <row r="161" spans="1:30" x14ac:dyDescent="0.3">
      <c r="A161" t="str">
        <f>_xlfn.XLOOKUP(B161*1,'Reference '!I:I,'Reference '!K:K)</f>
        <v>Ben Gbeve</v>
      </c>
      <c r="B161" s="2" t="str">
        <f t="shared" si="10"/>
        <v>601</v>
      </c>
      <c r="C161" s="2" t="s">
        <v>110</v>
      </c>
      <c r="D161" s="2" t="s">
        <v>110</v>
      </c>
      <c r="E161" s="2" t="s">
        <v>76</v>
      </c>
      <c r="F161" s="2" t="s">
        <v>76</v>
      </c>
      <c r="G161" s="2" t="s">
        <v>53</v>
      </c>
      <c r="H161" s="2" t="s">
        <v>53</v>
      </c>
      <c r="I161" s="2" t="s">
        <v>54</v>
      </c>
      <c r="J161" s="2" t="s">
        <v>54</v>
      </c>
      <c r="K161" s="2"/>
      <c r="L161" s="2" t="s">
        <v>167</v>
      </c>
      <c r="M161" s="2" t="s">
        <v>56</v>
      </c>
      <c r="N161" s="2" t="s">
        <v>72</v>
      </c>
      <c r="O161" s="3">
        <v>4166.67</v>
      </c>
      <c r="P161" s="3">
        <v>4166.67</v>
      </c>
      <c r="Q161" s="3">
        <v>4166.67</v>
      </c>
      <c r="R161" s="3">
        <v>4166.67</v>
      </c>
      <c r="S161" s="3">
        <v>4166.67</v>
      </c>
      <c r="T161" s="3">
        <v>4166.67</v>
      </c>
      <c r="U161" s="3">
        <v>4166.67</v>
      </c>
      <c r="V161" s="3">
        <v>4166.67</v>
      </c>
      <c r="W161" s="3">
        <v>4166.67</v>
      </c>
      <c r="X161" s="3">
        <v>4166.67</v>
      </c>
      <c r="Y161" s="3">
        <v>4166.67</v>
      </c>
      <c r="Z161" s="3">
        <v>4166.67</v>
      </c>
      <c r="AA161" s="3">
        <v>50000.039999999986</v>
      </c>
      <c r="AB161" s="8">
        <f>IF(N161="EUR",AA161,IF(N161="GBP",AA161/Rate!$C$3,AA161/Rate!$C$5))</f>
        <v>57471.310344827572</v>
      </c>
      <c r="AC161" s="43">
        <f>SUM('4.2 Simplify Savings'!AB38)</f>
        <v>-2043</v>
      </c>
      <c r="AD161" s="44">
        <f t="shared" si="9"/>
        <v>55428.310344827572</v>
      </c>
    </row>
    <row r="162" spans="1:30" x14ac:dyDescent="0.3">
      <c r="A162" t="str">
        <f>_xlfn.XLOOKUP(B162*1,'Reference '!I:I,'Reference '!K:K)</f>
        <v>Ben Gbeve</v>
      </c>
      <c r="B162" s="2" t="str">
        <f t="shared" si="10"/>
        <v>601</v>
      </c>
      <c r="C162" s="2" t="s">
        <v>110</v>
      </c>
      <c r="D162" s="2" t="s">
        <v>110</v>
      </c>
      <c r="E162" s="2" t="s">
        <v>76</v>
      </c>
      <c r="F162" s="2" t="s">
        <v>76</v>
      </c>
      <c r="G162" s="2" t="s">
        <v>53</v>
      </c>
      <c r="H162" s="2" t="s">
        <v>53</v>
      </c>
      <c r="I162" s="2" t="s">
        <v>179</v>
      </c>
      <c r="J162" s="2" t="s">
        <v>179</v>
      </c>
      <c r="K162" s="2" t="s">
        <v>203</v>
      </c>
      <c r="L162" s="2" t="s">
        <v>199</v>
      </c>
      <c r="M162" s="2" t="s">
        <v>56</v>
      </c>
      <c r="N162" s="2" t="s">
        <v>72</v>
      </c>
      <c r="O162" s="3">
        <v>5667</v>
      </c>
      <c r="P162" s="3">
        <v>5667</v>
      </c>
      <c r="Q162" s="3">
        <v>5667</v>
      </c>
      <c r="R162" s="3">
        <v>5667</v>
      </c>
      <c r="S162" s="3">
        <v>5667</v>
      </c>
      <c r="T162" s="3">
        <v>5667</v>
      </c>
      <c r="U162" s="3">
        <v>5667</v>
      </c>
      <c r="V162" s="3">
        <v>5667</v>
      </c>
      <c r="W162" s="3">
        <v>5667</v>
      </c>
      <c r="X162" s="3">
        <v>5667</v>
      </c>
      <c r="Y162" s="3">
        <v>5667</v>
      </c>
      <c r="Z162" s="3">
        <v>5667</v>
      </c>
      <c r="AA162" s="3">
        <v>68004</v>
      </c>
      <c r="AB162" s="8">
        <f>IF(N162="EUR",AA162,IF(N162="GBP",AA162/Rate!$C$3,AA162/Rate!$C$5))</f>
        <v>78165.517241379304</v>
      </c>
      <c r="AC162" s="43">
        <f>IFERROR(VLOOKUP(K162,'4.2 Simplify Savings'!K:AB,18,0),0)</f>
        <v>0</v>
      </c>
      <c r="AD162" s="44">
        <f t="shared" si="9"/>
        <v>78165.517241379304</v>
      </c>
    </row>
    <row r="163" spans="1:30" x14ac:dyDescent="0.3">
      <c r="A163" t="str">
        <f>_xlfn.XLOOKUP(B163*1,'Reference '!I:I,'Reference '!K:K)</f>
        <v>Ben Gbeve</v>
      </c>
      <c r="B163" s="2" t="str">
        <f t="shared" si="10"/>
        <v>601</v>
      </c>
      <c r="C163" s="2" t="s">
        <v>75</v>
      </c>
      <c r="D163" s="2" t="s">
        <v>75</v>
      </c>
      <c r="E163" s="2" t="s">
        <v>93</v>
      </c>
      <c r="F163" s="2" t="s">
        <v>93</v>
      </c>
      <c r="G163" s="2" t="s">
        <v>53</v>
      </c>
      <c r="H163" s="2" t="s">
        <v>53</v>
      </c>
      <c r="I163" s="2" t="s">
        <v>90</v>
      </c>
      <c r="J163" s="2" t="s">
        <v>90</v>
      </c>
      <c r="K163" s="2" t="s">
        <v>94</v>
      </c>
      <c r="L163" s="2" t="s">
        <v>95</v>
      </c>
      <c r="M163" s="2" t="s">
        <v>56</v>
      </c>
      <c r="N163" s="2" t="s">
        <v>57</v>
      </c>
      <c r="O163" s="3">
        <v>3000</v>
      </c>
      <c r="P163" s="3">
        <v>3000</v>
      </c>
      <c r="Q163" s="3">
        <v>3000</v>
      </c>
      <c r="R163" s="3">
        <v>3000</v>
      </c>
      <c r="S163" s="3">
        <v>3000</v>
      </c>
      <c r="T163" s="3">
        <v>3000</v>
      </c>
      <c r="U163" s="3">
        <v>3000</v>
      </c>
      <c r="V163" s="3">
        <v>3000</v>
      </c>
      <c r="W163" s="3">
        <v>3000</v>
      </c>
      <c r="X163" s="3">
        <v>3000</v>
      </c>
      <c r="Y163" s="3">
        <v>3000</v>
      </c>
      <c r="Z163" s="3">
        <v>3000</v>
      </c>
      <c r="AA163" s="3">
        <v>36000</v>
      </c>
      <c r="AB163" s="8">
        <f>IF(N163="EUR",AA163,IF(N163="GBP",AA163/Rate!$C$3,AA163/Rate!$C$5))</f>
        <v>36000</v>
      </c>
      <c r="AC163" s="43">
        <f>IFERROR(VLOOKUP(K163,'4.2 Simplify Savings'!K:AB,18,0),0)</f>
        <v>0</v>
      </c>
      <c r="AD163" s="44">
        <f t="shared" si="9"/>
        <v>36000</v>
      </c>
    </row>
    <row r="164" spans="1:30" x14ac:dyDescent="0.3">
      <c r="A164" t="str">
        <f>_xlfn.XLOOKUP(B164*1,'Reference '!I:I,'Reference '!K:K)</f>
        <v>Ben Gbeve</v>
      </c>
      <c r="B164" s="2" t="str">
        <f t="shared" si="10"/>
        <v>601</v>
      </c>
      <c r="C164" s="2" t="s">
        <v>75</v>
      </c>
      <c r="D164" s="2" t="s">
        <v>75</v>
      </c>
      <c r="E164" s="2" t="s">
        <v>93</v>
      </c>
      <c r="F164" s="2" t="s">
        <v>93</v>
      </c>
      <c r="G164" s="2" t="s">
        <v>53</v>
      </c>
      <c r="H164" s="2" t="s">
        <v>53</v>
      </c>
      <c r="I164" s="2" t="s">
        <v>77</v>
      </c>
      <c r="J164" s="2" t="s">
        <v>77</v>
      </c>
      <c r="K164" s="2" t="s">
        <v>96</v>
      </c>
      <c r="L164" s="2" t="s">
        <v>97</v>
      </c>
      <c r="M164" s="2" t="s">
        <v>56</v>
      </c>
      <c r="N164" s="2" t="s">
        <v>57</v>
      </c>
      <c r="O164" s="3">
        <v>4500</v>
      </c>
      <c r="P164" s="3">
        <v>4500</v>
      </c>
      <c r="Q164" s="3">
        <v>4500</v>
      </c>
      <c r="R164" s="3">
        <v>4500</v>
      </c>
      <c r="S164" s="3">
        <v>4500</v>
      </c>
      <c r="T164" s="3">
        <v>4500</v>
      </c>
      <c r="U164" s="3">
        <v>4500</v>
      </c>
      <c r="V164" s="3">
        <v>4500</v>
      </c>
      <c r="W164" s="3">
        <v>4500</v>
      </c>
      <c r="X164" s="3">
        <v>4500</v>
      </c>
      <c r="Y164" s="3">
        <v>4500</v>
      </c>
      <c r="Z164" s="3">
        <v>4500</v>
      </c>
      <c r="AA164" s="3">
        <v>54000</v>
      </c>
      <c r="AB164" s="8">
        <f>IF(N164="EUR",AA164,IF(N164="GBP",AA164/Rate!$C$3,AA164/Rate!$C$5))</f>
        <v>54000</v>
      </c>
      <c r="AC164" s="43">
        <f>IFERROR(VLOOKUP(K164,'4.2 Simplify Savings'!K:AB,18,0),0)</f>
        <v>0</v>
      </c>
      <c r="AD164" s="44">
        <f t="shared" si="9"/>
        <v>54000</v>
      </c>
    </row>
    <row r="165" spans="1:30" x14ac:dyDescent="0.3">
      <c r="A165" t="str">
        <f>_xlfn.XLOOKUP(B165*1,'Reference '!I:I,'Reference '!K:K)</f>
        <v>Ben Gbeve</v>
      </c>
      <c r="B165" s="2" t="str">
        <f t="shared" si="10"/>
        <v>601</v>
      </c>
      <c r="C165" s="2" t="s">
        <v>110</v>
      </c>
      <c r="D165" s="2" t="s">
        <v>110</v>
      </c>
      <c r="E165" s="2" t="s">
        <v>93</v>
      </c>
      <c r="F165" s="2" t="s">
        <v>93</v>
      </c>
      <c r="G165" s="2" t="s">
        <v>53</v>
      </c>
      <c r="H165" s="2" t="s">
        <v>53</v>
      </c>
      <c r="I165" s="2" t="s">
        <v>179</v>
      </c>
      <c r="J165" s="2" t="s">
        <v>179</v>
      </c>
      <c r="K165" s="2" t="s">
        <v>180</v>
      </c>
      <c r="L165" s="2" t="s">
        <v>181</v>
      </c>
      <c r="M165" s="2" t="s">
        <v>56</v>
      </c>
      <c r="N165" s="2" t="s">
        <v>72</v>
      </c>
      <c r="O165" s="3">
        <v>13736.67</v>
      </c>
      <c r="P165" s="3">
        <v>13736.67</v>
      </c>
      <c r="Q165" s="3">
        <v>13736.67</v>
      </c>
      <c r="R165" s="3">
        <v>13736.67</v>
      </c>
      <c r="S165" s="3">
        <v>13736.67</v>
      </c>
      <c r="T165" s="3">
        <v>13736.67</v>
      </c>
      <c r="U165" s="3">
        <v>13736.67</v>
      </c>
      <c r="V165" s="3">
        <v>13736.67</v>
      </c>
      <c r="W165" s="3">
        <v>13736.67</v>
      </c>
      <c r="X165" s="3">
        <v>13736.67</v>
      </c>
      <c r="Y165" s="3">
        <v>13736.67</v>
      </c>
      <c r="Z165" s="3">
        <v>13736.67</v>
      </c>
      <c r="AA165" s="3">
        <v>164840.04000000004</v>
      </c>
      <c r="AB165" s="8">
        <f>IF(N165="EUR",AA165,IF(N165="GBP",AA165/Rate!$C$3,AA165/Rate!$C$5))</f>
        <v>189471.31034482762</v>
      </c>
      <c r="AC165" s="43">
        <f>'4.2 Simplify Savings'!$AB$40</f>
        <v>-1498.1999999999998</v>
      </c>
      <c r="AD165" s="44">
        <f t="shared" ref="AD165:AD196" si="11">SUM(AB165:AC165)</f>
        <v>187973.11034482761</v>
      </c>
    </row>
    <row r="166" spans="1:30" x14ac:dyDescent="0.3">
      <c r="A166" t="str">
        <f>_xlfn.XLOOKUP(B166*1,'Reference '!I:I,'Reference '!K:K)</f>
        <v>Ben Gbeve</v>
      </c>
      <c r="B166" s="2" t="str">
        <f t="shared" si="10"/>
        <v>601</v>
      </c>
      <c r="C166" s="2" t="s">
        <v>110</v>
      </c>
      <c r="D166" s="2" t="s">
        <v>110</v>
      </c>
      <c r="E166" s="2" t="s">
        <v>93</v>
      </c>
      <c r="F166" s="2" t="s">
        <v>93</v>
      </c>
      <c r="G166" s="2" t="s">
        <v>53</v>
      </c>
      <c r="H166" s="2" t="s">
        <v>53</v>
      </c>
      <c r="I166" s="2" t="s">
        <v>54</v>
      </c>
      <c r="J166" s="2" t="s">
        <v>54</v>
      </c>
      <c r="K166" s="2" t="s">
        <v>182</v>
      </c>
      <c r="L166" s="2" t="s">
        <v>183</v>
      </c>
      <c r="M166" s="2" t="s">
        <v>56</v>
      </c>
      <c r="N166" s="2" t="s">
        <v>72</v>
      </c>
      <c r="O166" s="3">
        <v>12000</v>
      </c>
      <c r="P166" s="3">
        <v>12000</v>
      </c>
      <c r="Q166" s="3">
        <v>12000</v>
      </c>
      <c r="R166" s="3">
        <v>12000</v>
      </c>
      <c r="S166" s="3">
        <v>12000</v>
      </c>
      <c r="T166" s="3">
        <v>12000</v>
      </c>
      <c r="U166" s="3">
        <v>12000</v>
      </c>
      <c r="V166" s="3">
        <v>12000</v>
      </c>
      <c r="W166" s="3">
        <v>12000</v>
      </c>
      <c r="X166" s="3">
        <v>12000</v>
      </c>
      <c r="Y166" s="3">
        <v>12000</v>
      </c>
      <c r="Z166" s="3">
        <v>12000</v>
      </c>
      <c r="AA166" s="3">
        <v>144000</v>
      </c>
      <c r="AB166" s="8">
        <f>IF(N166="EUR",AA166,IF(N166="GBP",AA166/Rate!$C$3,AA166/Rate!$C$5))</f>
        <v>165517.24137931035</v>
      </c>
      <c r="AC166" s="43">
        <f>IFERROR(VLOOKUP(K166,'4.2 Simplify Savings'!K:AB,18,0),0)</f>
        <v>0</v>
      </c>
      <c r="AD166" s="44">
        <f t="shared" si="11"/>
        <v>165517.24137931035</v>
      </c>
    </row>
    <row r="167" spans="1:30" x14ac:dyDescent="0.3">
      <c r="A167" t="str">
        <f>_xlfn.XLOOKUP(B167*1,'Reference '!I:I,'Reference '!K:K)</f>
        <v>Xavier Romanet</v>
      </c>
      <c r="B167" s="2" t="str">
        <f t="shared" si="10"/>
        <v>605</v>
      </c>
      <c r="C167" s="2" t="s">
        <v>324</v>
      </c>
      <c r="D167" s="2" t="s">
        <v>324</v>
      </c>
      <c r="E167" s="2" t="s">
        <v>405</v>
      </c>
      <c r="F167" s="2" t="s">
        <v>405</v>
      </c>
      <c r="G167" s="2" t="s">
        <v>53</v>
      </c>
      <c r="H167" s="2" t="s">
        <v>53</v>
      </c>
      <c r="I167" s="2" t="s">
        <v>54</v>
      </c>
      <c r="J167" s="2" t="s">
        <v>54</v>
      </c>
      <c r="K167" s="2" t="s">
        <v>406</v>
      </c>
      <c r="L167" s="2" t="s">
        <v>121</v>
      </c>
      <c r="M167" s="2" t="s">
        <v>407</v>
      </c>
      <c r="N167" s="2" t="s">
        <v>72</v>
      </c>
      <c r="O167" s="3">
        <v>3333</v>
      </c>
      <c r="P167" s="3">
        <v>3333</v>
      </c>
      <c r="Q167" s="3">
        <v>3333</v>
      </c>
      <c r="R167" s="3">
        <v>3333</v>
      </c>
      <c r="S167" s="3">
        <v>3333</v>
      </c>
      <c r="T167" s="3">
        <v>3333</v>
      </c>
      <c r="U167" s="3">
        <v>3333</v>
      </c>
      <c r="V167" s="3">
        <v>3333</v>
      </c>
      <c r="W167" s="3">
        <v>3333</v>
      </c>
      <c r="X167" s="3">
        <v>3333</v>
      </c>
      <c r="Y167" s="3">
        <v>3333</v>
      </c>
      <c r="Z167" s="3">
        <v>3333</v>
      </c>
      <c r="AA167" s="3">
        <v>39996</v>
      </c>
      <c r="AB167" s="8">
        <f>IF(N167="EUR",AA167,IF(N167="GBP",AA167/Rate!$C$3,AA167/Rate!$C$5))</f>
        <v>45972.413793103449</v>
      </c>
      <c r="AC167" s="43">
        <f>IFERROR(VLOOKUP(K167,'4.2 Simplify Savings'!K:AB,18,0),0)</f>
        <v>0</v>
      </c>
      <c r="AD167" s="44">
        <f t="shared" si="11"/>
        <v>45972.413793103449</v>
      </c>
    </row>
    <row r="168" spans="1:30" x14ac:dyDescent="0.3">
      <c r="A168" t="str">
        <f>_xlfn.XLOOKUP(B168*1,'Reference '!I:I,'Reference '!K:K)</f>
        <v>Laurent Bellan</v>
      </c>
      <c r="B168" s="2" t="str">
        <f t="shared" si="10"/>
        <v>600</v>
      </c>
      <c r="C168" s="2" t="s">
        <v>68</v>
      </c>
      <c r="D168" s="2" t="s">
        <v>68</v>
      </c>
      <c r="E168" s="2" t="s">
        <v>402</v>
      </c>
      <c r="F168" s="2" t="s">
        <v>402</v>
      </c>
      <c r="G168" s="2" t="s">
        <v>53</v>
      </c>
      <c r="H168" s="2" t="s">
        <v>53</v>
      </c>
      <c r="I168" s="2" t="s">
        <v>54</v>
      </c>
      <c r="J168" s="2" t="s">
        <v>54</v>
      </c>
      <c r="K168" s="2" t="s">
        <v>403</v>
      </c>
      <c r="L168" s="2"/>
      <c r="M168" s="2" t="s">
        <v>404</v>
      </c>
      <c r="N168" s="2" t="s">
        <v>72</v>
      </c>
      <c r="O168" s="3">
        <v>-13975</v>
      </c>
      <c r="P168" s="3">
        <v>-13975</v>
      </c>
      <c r="Q168" s="3">
        <v>-13975</v>
      </c>
      <c r="R168" s="3">
        <v>-13975</v>
      </c>
      <c r="S168" s="3">
        <v>-13975</v>
      </c>
      <c r="T168" s="3">
        <v>-13975</v>
      </c>
      <c r="U168" s="3">
        <v>-13975</v>
      </c>
      <c r="V168" s="3">
        <v>-13975</v>
      </c>
      <c r="W168" s="3">
        <v>-13975</v>
      </c>
      <c r="X168" s="3">
        <v>-13975</v>
      </c>
      <c r="Y168" s="3">
        <v>-13975</v>
      </c>
      <c r="Z168" s="3">
        <v>-13975</v>
      </c>
      <c r="AA168" s="3">
        <v>-167700</v>
      </c>
      <c r="AB168" s="8">
        <f>AA168/'5. FX Rates'!$D$3</f>
        <v>-192758.62068965516</v>
      </c>
      <c r="AC168" s="43">
        <f>IFERROR(VLOOKUP(K168,'4.2 Simplify Savings'!K:AB,18,0),0)</f>
        <v>0</v>
      </c>
      <c r="AD168" s="44">
        <f t="shared" si="11"/>
        <v>-192758.62068965516</v>
      </c>
    </row>
    <row r="169" spans="1:30" x14ac:dyDescent="0.3">
      <c r="A169" t="str">
        <f>_xlfn.XLOOKUP(B169*1,'Reference '!I:I,'Reference '!K:K)</f>
        <v>Ben Gbeve</v>
      </c>
      <c r="B169" s="2" t="str">
        <f t="shared" si="10"/>
        <v>601</v>
      </c>
      <c r="C169" s="2" t="s">
        <v>110</v>
      </c>
      <c r="D169" s="2" t="s">
        <v>110</v>
      </c>
      <c r="E169" s="2" t="s">
        <v>132</v>
      </c>
      <c r="F169" s="2" t="s">
        <v>132</v>
      </c>
      <c r="G169" s="2" t="s">
        <v>53</v>
      </c>
      <c r="H169" s="2" t="s">
        <v>53</v>
      </c>
      <c r="I169" s="2" t="s">
        <v>54</v>
      </c>
      <c r="J169" s="2" t="s">
        <v>54</v>
      </c>
      <c r="K169" s="2" t="s">
        <v>133</v>
      </c>
      <c r="L169" s="2" t="s">
        <v>134</v>
      </c>
      <c r="M169" s="2" t="s">
        <v>56</v>
      </c>
      <c r="N169" s="2" t="s">
        <v>72</v>
      </c>
      <c r="O169" s="3">
        <v>8333.33</v>
      </c>
      <c r="P169" s="3">
        <v>8333.33</v>
      </c>
      <c r="Q169" s="3">
        <v>8333.33</v>
      </c>
      <c r="R169" s="3">
        <v>8333.33</v>
      </c>
      <c r="S169" s="3">
        <v>8333.33</v>
      </c>
      <c r="T169" s="3">
        <v>8333.33</v>
      </c>
      <c r="U169" s="3">
        <v>8333.33</v>
      </c>
      <c r="V169" s="3">
        <v>8333.33</v>
      </c>
      <c r="W169" s="3">
        <v>8333.33</v>
      </c>
      <c r="X169" s="3">
        <v>8333.33</v>
      </c>
      <c r="Y169" s="3">
        <v>8333.33</v>
      </c>
      <c r="Z169" s="3">
        <v>8333.33</v>
      </c>
      <c r="AA169" s="3">
        <v>99999.96</v>
      </c>
      <c r="AB169" s="8">
        <f>IF(N169="EUR",AA169,IF(N169="GBP",AA169/Rate!$C$3,AA169/Rate!$C$5))</f>
        <v>114942.4827586207</v>
      </c>
      <c r="AC169" s="43">
        <f>IFERROR(VLOOKUP(K169,'4.2 Simplify Savings'!K:AB,18,0),0)</f>
        <v>0</v>
      </c>
      <c r="AD169" s="44">
        <f t="shared" si="11"/>
        <v>114942.4827586207</v>
      </c>
    </row>
    <row r="170" spans="1:30" x14ac:dyDescent="0.3">
      <c r="A170" t="str">
        <f>_xlfn.XLOOKUP(B170*1,'Reference '!I:I,'Reference '!K:K)</f>
        <v>Olivier Lepret</v>
      </c>
      <c r="B170" s="2" t="str">
        <f t="shared" si="10"/>
        <v>606</v>
      </c>
      <c r="C170" s="2" t="s">
        <v>325</v>
      </c>
      <c r="D170" s="2" t="s">
        <v>325</v>
      </c>
      <c r="E170" s="2" t="s">
        <v>132</v>
      </c>
      <c r="F170" s="2" t="s">
        <v>132</v>
      </c>
      <c r="G170" s="2" t="s">
        <v>53</v>
      </c>
      <c r="H170" s="2" t="s">
        <v>53</v>
      </c>
      <c r="I170" s="2" t="s">
        <v>54</v>
      </c>
      <c r="J170" s="2" t="s">
        <v>54</v>
      </c>
      <c r="K170" s="2" t="s">
        <v>328</v>
      </c>
      <c r="L170" s="2" t="s">
        <v>329</v>
      </c>
      <c r="M170" s="2" t="s">
        <v>56</v>
      </c>
      <c r="N170" s="2" t="s">
        <v>57</v>
      </c>
      <c r="O170" s="3">
        <v>2548</v>
      </c>
      <c r="P170" s="3">
        <v>2548</v>
      </c>
      <c r="Q170" s="3">
        <v>2548</v>
      </c>
      <c r="R170" s="3">
        <v>2548</v>
      </c>
      <c r="S170" s="3">
        <v>2548</v>
      </c>
      <c r="T170" s="3">
        <v>2548</v>
      </c>
      <c r="U170" s="3">
        <v>2548</v>
      </c>
      <c r="V170" s="3">
        <v>2548</v>
      </c>
      <c r="W170" s="3">
        <v>2548</v>
      </c>
      <c r="X170" s="3">
        <v>2548</v>
      </c>
      <c r="Y170" s="3">
        <v>2548</v>
      </c>
      <c r="Z170" s="3">
        <v>2548</v>
      </c>
      <c r="AA170" s="3">
        <v>30576</v>
      </c>
      <c r="AB170" s="8">
        <f>IF(N170="EUR",AA170,IF(N170="GBP",AA170/Rate!$C$3,AA170/Rate!$C$5))</f>
        <v>30576</v>
      </c>
      <c r="AC170" s="43">
        <f>IFERROR(VLOOKUP(K170,'4.2 Simplify Savings'!K:AB,18,0),0)</f>
        <v>0</v>
      </c>
      <c r="AD170" s="44">
        <f t="shared" si="11"/>
        <v>30576</v>
      </c>
    </row>
    <row r="171" spans="1:30" x14ac:dyDescent="0.3">
      <c r="A171" t="str">
        <f>_xlfn.XLOOKUP(B171*1,'Reference '!I:I,'Reference '!K:K)</f>
        <v>Olivier Lepret</v>
      </c>
      <c r="B171" s="2" t="str">
        <f t="shared" si="10"/>
        <v>606</v>
      </c>
      <c r="C171" s="2" t="s">
        <v>325</v>
      </c>
      <c r="D171" s="2" t="s">
        <v>325</v>
      </c>
      <c r="E171" s="2" t="s">
        <v>132</v>
      </c>
      <c r="F171" s="2" t="s">
        <v>132</v>
      </c>
      <c r="G171" s="2" t="s">
        <v>53</v>
      </c>
      <c r="H171" s="2" t="s">
        <v>53</v>
      </c>
      <c r="I171" s="2" t="s">
        <v>54</v>
      </c>
      <c r="J171" s="2" t="s">
        <v>54</v>
      </c>
      <c r="K171" s="2" t="s">
        <v>330</v>
      </c>
      <c r="L171" s="2" t="s">
        <v>331</v>
      </c>
      <c r="M171" s="2" t="s">
        <v>56</v>
      </c>
      <c r="N171" s="2" t="s">
        <v>57</v>
      </c>
      <c r="O171" s="3">
        <v>1274</v>
      </c>
      <c r="P171" s="3">
        <v>1274</v>
      </c>
      <c r="Q171" s="3">
        <v>1274</v>
      </c>
      <c r="R171" s="3">
        <v>1274</v>
      </c>
      <c r="S171" s="3">
        <v>1274</v>
      </c>
      <c r="T171" s="3">
        <v>1274</v>
      </c>
      <c r="U171" s="3">
        <v>1274</v>
      </c>
      <c r="V171" s="3">
        <v>1274</v>
      </c>
      <c r="W171" s="3">
        <v>1274</v>
      </c>
      <c r="X171" s="3">
        <v>1274</v>
      </c>
      <c r="Y171" s="3">
        <v>1274</v>
      </c>
      <c r="Z171" s="3">
        <v>1274</v>
      </c>
      <c r="AA171" s="3">
        <v>15288</v>
      </c>
      <c r="AB171" s="8">
        <f>IF(N171="EUR",AA171,IF(N171="GBP",AA171/Rate!$C$3,AA171/Rate!$C$5))</f>
        <v>15288</v>
      </c>
      <c r="AC171" s="43">
        <f>IFERROR(VLOOKUP(K171,'4.2 Simplify Savings'!K:AB,18,0),0)</f>
        <v>0</v>
      </c>
      <c r="AD171" s="44">
        <f t="shared" si="11"/>
        <v>15288</v>
      </c>
    </row>
    <row r="172" spans="1:30" x14ac:dyDescent="0.3">
      <c r="A172" t="str">
        <f>_xlfn.XLOOKUP(B172*1,'Reference '!I:I,'Reference '!K:K)</f>
        <v>Olivier Lepret</v>
      </c>
      <c r="B172" s="2" t="str">
        <f t="shared" si="10"/>
        <v>606</v>
      </c>
      <c r="C172" s="2" t="s">
        <v>325</v>
      </c>
      <c r="D172" s="2" t="s">
        <v>325</v>
      </c>
      <c r="E172" s="2" t="s">
        <v>132</v>
      </c>
      <c r="F172" s="2" t="s">
        <v>132</v>
      </c>
      <c r="G172" s="2" t="s">
        <v>53</v>
      </c>
      <c r="H172" s="2" t="s">
        <v>53</v>
      </c>
      <c r="I172" s="2" t="s">
        <v>54</v>
      </c>
      <c r="J172" s="2" t="s">
        <v>54</v>
      </c>
      <c r="K172" s="2" t="s">
        <v>338</v>
      </c>
      <c r="L172" s="2"/>
      <c r="M172" s="2" t="s">
        <v>56</v>
      </c>
      <c r="N172" s="2" t="s">
        <v>57</v>
      </c>
      <c r="O172" s="3">
        <v>1698</v>
      </c>
      <c r="P172" s="3">
        <v>1698</v>
      </c>
      <c r="Q172" s="3">
        <v>1698</v>
      </c>
      <c r="R172" s="3">
        <v>1698</v>
      </c>
      <c r="S172" s="3">
        <v>1698</v>
      </c>
      <c r="T172" s="3">
        <v>1698</v>
      </c>
      <c r="U172" s="3">
        <v>1698</v>
      </c>
      <c r="V172" s="3">
        <v>1698</v>
      </c>
      <c r="W172" s="3">
        <v>1698</v>
      </c>
      <c r="X172" s="3">
        <v>1698</v>
      </c>
      <c r="Y172" s="3">
        <v>1698</v>
      </c>
      <c r="Z172" s="3">
        <v>1698</v>
      </c>
      <c r="AA172" s="3">
        <v>20376</v>
      </c>
      <c r="AB172" s="8">
        <f>IF(N172="EUR",AA172,IF(N172="GBP",AA172/Rate!$C$3,AA172/Rate!$C$5))</f>
        <v>20376</v>
      </c>
      <c r="AC172" s="43">
        <f>IFERROR(VLOOKUP(K172,'4.2 Simplify Savings'!K:AB,18,0),0)</f>
        <v>0</v>
      </c>
      <c r="AD172" s="44">
        <f t="shared" si="11"/>
        <v>20376</v>
      </c>
    </row>
    <row r="173" spans="1:30" x14ac:dyDescent="0.3">
      <c r="A173" t="str">
        <f>_xlfn.XLOOKUP(B173*1,'Reference '!I:I,'Reference '!K:K)</f>
        <v>Laurent Bellan</v>
      </c>
      <c r="B173" s="2" t="str">
        <f t="shared" si="10"/>
        <v>600</v>
      </c>
      <c r="C173" s="2" t="s">
        <v>51</v>
      </c>
      <c r="D173" s="2" t="s">
        <v>51</v>
      </c>
      <c r="E173" s="2" t="s">
        <v>64</v>
      </c>
      <c r="F173" s="2" t="s">
        <v>64</v>
      </c>
      <c r="G173" s="2" t="s">
        <v>53</v>
      </c>
      <c r="H173" s="2" t="s">
        <v>53</v>
      </c>
      <c r="I173" s="2" t="s">
        <v>54</v>
      </c>
      <c r="J173" s="2" t="s">
        <v>54</v>
      </c>
      <c r="K173" s="2" t="s">
        <v>65</v>
      </c>
      <c r="L173" s="2"/>
      <c r="M173" s="2" t="s">
        <v>56</v>
      </c>
      <c r="N173" s="2" t="s">
        <v>57</v>
      </c>
      <c r="O173" s="3">
        <v>3851.67</v>
      </c>
      <c r="P173" s="3">
        <v>3851.67</v>
      </c>
      <c r="Q173" s="3">
        <v>3851.67</v>
      </c>
      <c r="R173" s="3">
        <v>3851.67</v>
      </c>
      <c r="S173" s="3">
        <v>3851.67</v>
      </c>
      <c r="T173" s="3">
        <v>3851.67</v>
      </c>
      <c r="U173" s="3">
        <v>3851.67</v>
      </c>
      <c r="V173" s="3">
        <v>3851.67</v>
      </c>
      <c r="W173" s="3">
        <v>3851.67</v>
      </c>
      <c r="X173" s="3">
        <v>3851.67</v>
      </c>
      <c r="Y173" s="3">
        <v>3851.67</v>
      </c>
      <c r="Z173" s="3">
        <v>3851.67</v>
      </c>
      <c r="AA173" s="3">
        <v>46220.039999999986</v>
      </c>
      <c r="AB173" s="8">
        <f>IF(N173="EUR",AA173,IF(N173="GBP",AA173/Rate!$C$3,AA173/Rate!$C$5))</f>
        <v>46220.039999999986</v>
      </c>
      <c r="AC173" s="43">
        <f>IFERROR(VLOOKUP(K173,'4.2 Simplify Savings'!K:AB,18,0),0)</f>
        <v>-105000</v>
      </c>
      <c r="AD173" s="44">
        <f t="shared" si="11"/>
        <v>-58779.960000000014</v>
      </c>
    </row>
    <row r="174" spans="1:30" x14ac:dyDescent="0.3">
      <c r="A174" t="str">
        <f>_xlfn.XLOOKUP(B174*1,'Reference '!I:I,'Reference '!K:K)</f>
        <v>Ben Gbeve</v>
      </c>
      <c r="B174" s="2" t="str">
        <f t="shared" si="10"/>
        <v>601</v>
      </c>
      <c r="C174" s="2" t="s">
        <v>110</v>
      </c>
      <c r="D174" s="2" t="s">
        <v>110</v>
      </c>
      <c r="E174" s="2" t="s">
        <v>64</v>
      </c>
      <c r="F174" s="2" t="s">
        <v>64</v>
      </c>
      <c r="G174" s="2" t="s">
        <v>53</v>
      </c>
      <c r="H174" s="2" t="s">
        <v>53</v>
      </c>
      <c r="I174" s="2" t="s">
        <v>54</v>
      </c>
      <c r="J174" s="2" t="s">
        <v>54</v>
      </c>
      <c r="K174" s="2" t="s">
        <v>124</v>
      </c>
      <c r="L174" s="2" t="s">
        <v>121</v>
      </c>
      <c r="M174" s="2" t="s">
        <v>56</v>
      </c>
      <c r="N174" s="2" t="s">
        <v>72</v>
      </c>
      <c r="O174" s="3">
        <v>1000</v>
      </c>
      <c r="P174" s="3">
        <v>1000</v>
      </c>
      <c r="Q174" s="3">
        <v>1000</v>
      </c>
      <c r="R174" s="3">
        <v>1000</v>
      </c>
      <c r="S174" s="3">
        <v>1000</v>
      </c>
      <c r="T174" s="3">
        <v>1000</v>
      </c>
      <c r="U174" s="3">
        <v>1000</v>
      </c>
      <c r="V174" s="3">
        <v>1000</v>
      </c>
      <c r="W174" s="3">
        <v>1000</v>
      </c>
      <c r="X174" s="3">
        <v>1000</v>
      </c>
      <c r="Y174" s="3">
        <v>1000</v>
      </c>
      <c r="Z174" s="3">
        <v>1000</v>
      </c>
      <c r="AA174" s="3">
        <v>12000</v>
      </c>
      <c r="AB174" s="8">
        <f>IF(N174="EUR",AA174,IF(N174="GBP",AA174/Rate!$C$3,AA174/Rate!$C$5))</f>
        <v>13793.103448275862</v>
      </c>
      <c r="AC174" s="43">
        <f>IFERROR(VLOOKUP(K174,'4.2 Simplify Savings'!K:AB,18,0),0)</f>
        <v>0</v>
      </c>
      <c r="AD174" s="44">
        <f t="shared" si="11"/>
        <v>13793.103448275862</v>
      </c>
    </row>
    <row r="175" spans="1:30" x14ac:dyDescent="0.3">
      <c r="A175" t="str">
        <f>_xlfn.XLOOKUP(B175*1,'Reference '!I:I,'Reference '!K:K)</f>
        <v>Laurent Bellan</v>
      </c>
      <c r="B175" s="2" t="str">
        <f t="shared" si="10"/>
        <v>600</v>
      </c>
      <c r="C175" s="2" t="s">
        <v>51</v>
      </c>
      <c r="D175" s="2" t="s">
        <v>51</v>
      </c>
      <c r="E175" s="2" t="s">
        <v>66</v>
      </c>
      <c r="F175" s="2" t="s">
        <v>66</v>
      </c>
      <c r="G175" s="2" t="s">
        <v>53</v>
      </c>
      <c r="H175" s="2" t="s">
        <v>53</v>
      </c>
      <c r="I175" s="2" t="s">
        <v>54</v>
      </c>
      <c r="J175" s="2" t="s">
        <v>54</v>
      </c>
      <c r="K175" s="2" t="s">
        <v>67</v>
      </c>
      <c r="L175" s="2"/>
      <c r="M175" s="2" t="s">
        <v>56</v>
      </c>
      <c r="N175" s="2" t="s">
        <v>57</v>
      </c>
      <c r="O175" s="3">
        <v>13944.67</v>
      </c>
      <c r="P175" s="3">
        <v>13944.67</v>
      </c>
      <c r="Q175" s="3">
        <v>13944.67</v>
      </c>
      <c r="R175" s="3">
        <v>13944.67</v>
      </c>
      <c r="S175" s="3">
        <v>13944.67</v>
      </c>
      <c r="T175" s="3">
        <v>13944.67</v>
      </c>
      <c r="U175" s="3">
        <v>13944.67</v>
      </c>
      <c r="V175" s="3">
        <v>13944.67</v>
      </c>
      <c r="W175" s="3">
        <v>13944.67</v>
      </c>
      <c r="X175" s="3">
        <v>13944.67</v>
      </c>
      <c r="Y175" s="3">
        <v>13944.67</v>
      </c>
      <c r="Z175" s="3">
        <v>13944.67</v>
      </c>
      <c r="AA175" s="3">
        <v>167336.04000000004</v>
      </c>
      <c r="AB175" s="8">
        <f>IF(N175="EUR",AA175,IF(N175="GBP",AA175/Rate!$C$3,AA175/Rate!$C$5))</f>
        <v>167336.04000000004</v>
      </c>
      <c r="AC175" s="43">
        <f>IFERROR(VLOOKUP(K175,'4.2 Simplify Savings'!K:AB,18,0),0)</f>
        <v>0</v>
      </c>
      <c r="AD175" s="44">
        <f t="shared" si="11"/>
        <v>167336.04000000004</v>
      </c>
    </row>
    <row r="176" spans="1:30" x14ac:dyDescent="0.3">
      <c r="A176" t="str">
        <f>_xlfn.XLOOKUP(B176*1,'Reference '!I:I,'Reference '!K:K)</f>
        <v>Ben Gbeve</v>
      </c>
      <c r="B176" s="2" t="str">
        <f t="shared" si="10"/>
        <v>601</v>
      </c>
      <c r="C176" s="2" t="s">
        <v>110</v>
      </c>
      <c r="D176" s="2" t="s">
        <v>110</v>
      </c>
      <c r="E176" s="2" t="s">
        <v>66</v>
      </c>
      <c r="F176" s="2" t="s">
        <v>66</v>
      </c>
      <c r="G176" s="2" t="s">
        <v>53</v>
      </c>
      <c r="H176" s="2" t="s">
        <v>53</v>
      </c>
      <c r="I176" s="2" t="s">
        <v>54</v>
      </c>
      <c r="J176" s="2" t="s">
        <v>54</v>
      </c>
      <c r="K176" s="2" t="s">
        <v>209</v>
      </c>
      <c r="L176" s="2"/>
      <c r="M176" s="2" t="s">
        <v>56</v>
      </c>
      <c r="N176" s="2" t="s">
        <v>72</v>
      </c>
      <c r="O176" s="3">
        <v>1250</v>
      </c>
      <c r="P176" s="3">
        <v>1250</v>
      </c>
      <c r="Q176" s="3">
        <v>1250</v>
      </c>
      <c r="R176" s="3">
        <v>1250</v>
      </c>
      <c r="S176" s="3">
        <v>1250</v>
      </c>
      <c r="T176" s="3">
        <v>1250</v>
      </c>
      <c r="U176" s="3">
        <v>1250</v>
      </c>
      <c r="V176" s="3">
        <v>1250</v>
      </c>
      <c r="W176" s="3">
        <v>1250</v>
      </c>
      <c r="X176" s="3">
        <v>1250</v>
      </c>
      <c r="Y176" s="3">
        <v>1250</v>
      </c>
      <c r="Z176" s="3">
        <v>1250</v>
      </c>
      <c r="AA176" s="3">
        <v>15000</v>
      </c>
      <c r="AB176" s="8">
        <f>IF(N176="EUR",AA176,IF(N176="GBP",AA176/Rate!$C$3,AA176/Rate!$C$5))</f>
        <v>17241.379310344826</v>
      </c>
      <c r="AC176" s="43">
        <f>IFERROR(VLOOKUP(K176,'4.2 Simplify Savings'!K:AB,18,0),0)</f>
        <v>0</v>
      </c>
      <c r="AD176" s="44">
        <f t="shared" si="11"/>
        <v>17241.379310344826</v>
      </c>
    </row>
    <row r="177" spans="1:30" x14ac:dyDescent="0.3">
      <c r="A177" t="str">
        <f>_xlfn.XLOOKUP(B177*1,'Reference '!I:I,'Reference '!K:K)</f>
        <v>Laurent Bellan</v>
      </c>
      <c r="B177" s="2" t="str">
        <f t="shared" si="10"/>
        <v>600</v>
      </c>
      <c r="C177" s="2" t="s">
        <v>51</v>
      </c>
      <c r="D177" s="2" t="s">
        <v>51</v>
      </c>
      <c r="E177" s="2" t="s">
        <v>58</v>
      </c>
      <c r="F177" s="2" t="s">
        <v>58</v>
      </c>
      <c r="G177" s="2" t="s">
        <v>53</v>
      </c>
      <c r="H177" s="2" t="s">
        <v>53</v>
      </c>
      <c r="I177" s="2" t="s">
        <v>54</v>
      </c>
      <c r="J177" s="2" t="s">
        <v>54</v>
      </c>
      <c r="K177" s="2" t="s">
        <v>59</v>
      </c>
      <c r="L177" s="2"/>
      <c r="M177" s="2" t="s">
        <v>56</v>
      </c>
      <c r="N177" s="2" t="s">
        <v>57</v>
      </c>
      <c r="O177" s="3">
        <v>173.83</v>
      </c>
      <c r="P177" s="3">
        <v>173.83</v>
      </c>
      <c r="Q177" s="3">
        <v>173.83</v>
      </c>
      <c r="R177" s="3">
        <v>173.83</v>
      </c>
      <c r="S177" s="3">
        <v>173.83</v>
      </c>
      <c r="T177" s="3">
        <v>173.83</v>
      </c>
      <c r="U177" s="3">
        <v>173.83</v>
      </c>
      <c r="V177" s="3">
        <v>173.83</v>
      </c>
      <c r="W177" s="3">
        <v>173.83</v>
      </c>
      <c r="X177" s="3">
        <v>173.83</v>
      </c>
      <c r="Y177" s="3">
        <v>173.83</v>
      </c>
      <c r="Z177" s="3">
        <v>173.83</v>
      </c>
      <c r="AA177" s="3">
        <v>2085.9599999999996</v>
      </c>
      <c r="AB177" s="8">
        <f>IF(N177="EUR",AA177,IF(N177="GBP",AA177/Rate!$C$3,AA177/Rate!$C$5))</f>
        <v>2085.9599999999996</v>
      </c>
      <c r="AC177" s="43">
        <f>IFERROR(VLOOKUP(K177,'4.2 Simplify Savings'!K:AB,18,0),0)</f>
        <v>0</v>
      </c>
      <c r="AD177" s="44">
        <f t="shared" si="11"/>
        <v>2085.9599999999996</v>
      </c>
    </row>
    <row r="178" spans="1:30" x14ac:dyDescent="0.3">
      <c r="A178" t="str">
        <f>_xlfn.XLOOKUP(B178*1,'Reference '!I:I,'Reference '!K:K)</f>
        <v>Ben Gbeve</v>
      </c>
      <c r="B178" s="2" t="str">
        <f t="shared" si="10"/>
        <v>601</v>
      </c>
      <c r="C178" s="2" t="s">
        <v>75</v>
      </c>
      <c r="D178" s="2" t="s">
        <v>75</v>
      </c>
      <c r="E178" s="2" t="s">
        <v>85</v>
      </c>
      <c r="F178" s="2" t="s">
        <v>85</v>
      </c>
      <c r="G178" s="2" t="s">
        <v>53</v>
      </c>
      <c r="H178" s="2" t="s">
        <v>53</v>
      </c>
      <c r="I178" s="2" t="s">
        <v>54</v>
      </c>
      <c r="J178" s="2" t="s">
        <v>54</v>
      </c>
      <c r="K178" s="2" t="s">
        <v>86</v>
      </c>
      <c r="L178" s="2" t="s">
        <v>87</v>
      </c>
      <c r="M178" s="2" t="s">
        <v>56</v>
      </c>
      <c r="N178" s="2" t="s">
        <v>57</v>
      </c>
      <c r="O178" s="3">
        <v>2083.33</v>
      </c>
      <c r="P178" s="3">
        <v>2083.33</v>
      </c>
      <c r="Q178" s="3">
        <v>2083.33</v>
      </c>
      <c r="R178" s="3">
        <v>2083.33</v>
      </c>
      <c r="S178" s="3">
        <v>2083.33</v>
      </c>
      <c r="T178" s="3">
        <v>2083.33</v>
      </c>
      <c r="U178" s="3">
        <v>2083.33</v>
      </c>
      <c r="V178" s="3">
        <v>2083.33</v>
      </c>
      <c r="W178" s="3">
        <v>2083.33</v>
      </c>
      <c r="X178" s="3">
        <v>2083.33</v>
      </c>
      <c r="Y178" s="3">
        <v>2083.33</v>
      </c>
      <c r="Z178" s="3">
        <v>2083.33</v>
      </c>
      <c r="AA178" s="3">
        <v>24999.960000000006</v>
      </c>
      <c r="AB178" s="8">
        <f>IF(N178="EUR",AA178,IF(N178="GBP",AA178/Rate!$C$3,AA178/Rate!$C$5))</f>
        <v>24999.960000000006</v>
      </c>
      <c r="AC178" s="43">
        <f>IFERROR(VLOOKUP(K178,'4.2 Simplify Savings'!K:AB,18,0),0)</f>
        <v>0</v>
      </c>
      <c r="AD178" s="44">
        <f t="shared" si="11"/>
        <v>24999.960000000006</v>
      </c>
    </row>
    <row r="179" spans="1:30" x14ac:dyDescent="0.3">
      <c r="A179" t="str">
        <f>_xlfn.XLOOKUP(B179*1,'Reference '!I:I,'Reference '!K:K)</f>
        <v>Ben Gbeve</v>
      </c>
      <c r="B179" s="2" t="str">
        <f t="shared" si="10"/>
        <v>601</v>
      </c>
      <c r="C179" s="2" t="s">
        <v>75</v>
      </c>
      <c r="D179" s="2" t="s">
        <v>75</v>
      </c>
      <c r="E179" s="2" t="s">
        <v>85</v>
      </c>
      <c r="F179" s="2" t="s">
        <v>85</v>
      </c>
      <c r="G179" s="2" t="s">
        <v>53</v>
      </c>
      <c r="H179" s="2" t="s">
        <v>53</v>
      </c>
      <c r="I179" s="2" t="s">
        <v>54</v>
      </c>
      <c r="J179" s="2" t="s">
        <v>54</v>
      </c>
      <c r="K179" s="2" t="s">
        <v>88</v>
      </c>
      <c r="L179" s="2" t="s">
        <v>89</v>
      </c>
      <c r="M179" s="2" t="s">
        <v>56</v>
      </c>
      <c r="N179" s="2" t="s">
        <v>57</v>
      </c>
      <c r="O179" s="3">
        <v>1316.67</v>
      </c>
      <c r="P179" s="3">
        <v>1316.67</v>
      </c>
      <c r="Q179" s="3">
        <v>1316.67</v>
      </c>
      <c r="R179" s="3">
        <v>1316.67</v>
      </c>
      <c r="S179" s="3">
        <v>1316.67</v>
      </c>
      <c r="T179" s="3">
        <v>1316.67</v>
      </c>
      <c r="U179" s="3">
        <v>1316.67</v>
      </c>
      <c r="V179" s="3">
        <v>1316.67</v>
      </c>
      <c r="W179" s="3">
        <v>1316.67</v>
      </c>
      <c r="X179" s="3">
        <v>1316.67</v>
      </c>
      <c r="Y179" s="3">
        <v>1316.67</v>
      </c>
      <c r="Z179" s="3">
        <v>1316.67</v>
      </c>
      <c r="AA179" s="3">
        <v>15800.04</v>
      </c>
      <c r="AB179" s="8">
        <f>IF(N179="EUR",AA179,IF(N179="GBP",AA179/Rate!$C$3,AA179/Rate!$C$5))</f>
        <v>15800.04</v>
      </c>
      <c r="AC179" s="43">
        <f>IFERROR(VLOOKUP(K179,'4.2 Simplify Savings'!K:AB,18,0),0)</f>
        <v>-10008</v>
      </c>
      <c r="AD179" s="44">
        <f t="shared" si="11"/>
        <v>5792.0400000000009</v>
      </c>
    </row>
    <row r="180" spans="1:30" x14ac:dyDescent="0.3">
      <c r="A180" t="str">
        <f>_xlfn.XLOOKUP(B180*1,'Reference '!I:I,'Reference '!K:K)</f>
        <v>Ben Gbeve</v>
      </c>
      <c r="B180" s="2" t="str">
        <f t="shared" si="10"/>
        <v>601</v>
      </c>
      <c r="C180" s="2" t="s">
        <v>110</v>
      </c>
      <c r="D180" s="2" t="s">
        <v>110</v>
      </c>
      <c r="E180" s="2" t="s">
        <v>85</v>
      </c>
      <c r="F180" s="2" t="s">
        <v>85</v>
      </c>
      <c r="G180" s="2" t="s">
        <v>53</v>
      </c>
      <c r="H180" s="2" t="s">
        <v>53</v>
      </c>
      <c r="I180" s="2" t="s">
        <v>54</v>
      </c>
      <c r="J180" s="2" t="s">
        <v>54</v>
      </c>
      <c r="K180" s="2" t="s">
        <v>144</v>
      </c>
      <c r="L180" s="2" t="s">
        <v>89</v>
      </c>
      <c r="M180" s="2" t="s">
        <v>56</v>
      </c>
      <c r="N180" s="2" t="s">
        <v>72</v>
      </c>
      <c r="O180" s="3">
        <v>7916.67</v>
      </c>
      <c r="P180" s="3">
        <v>7916.67</v>
      </c>
      <c r="Q180" s="3">
        <v>7916.67</v>
      </c>
      <c r="R180" s="3">
        <v>7916.67</v>
      </c>
      <c r="S180" s="3">
        <v>7916.67</v>
      </c>
      <c r="T180" s="3">
        <v>7916.67</v>
      </c>
      <c r="U180" s="3">
        <v>7916.67</v>
      </c>
      <c r="V180" s="3">
        <v>7916.67</v>
      </c>
      <c r="W180" s="3">
        <v>7916.67</v>
      </c>
      <c r="X180" s="3">
        <v>7916.67</v>
      </c>
      <c r="Y180" s="3">
        <v>7916.67</v>
      </c>
      <c r="Z180" s="3">
        <v>7916.67</v>
      </c>
      <c r="AA180" s="3">
        <v>95000.04</v>
      </c>
      <c r="AB180" s="8">
        <f>IF(N180="EUR",AA180,IF(N180="GBP",AA180/Rate!$C$3,AA180/Rate!$C$5))</f>
        <v>109195.44827586206</v>
      </c>
      <c r="AC180" s="43">
        <f>IFERROR(VLOOKUP(K180,'4.2 Simplify Savings'!K:AB,18,0),0)</f>
        <v>0</v>
      </c>
      <c r="AD180" s="44">
        <f t="shared" si="11"/>
        <v>109195.44827586206</v>
      </c>
    </row>
    <row r="181" spans="1:30" x14ac:dyDescent="0.3">
      <c r="A181" t="str">
        <f>_xlfn.XLOOKUP(B181*1,'Reference '!I:I,'Reference '!K:K)</f>
        <v>Laurent Bellan</v>
      </c>
      <c r="B181" s="2" t="str">
        <f t="shared" si="10"/>
        <v>600</v>
      </c>
      <c r="C181" s="2" t="s">
        <v>51</v>
      </c>
      <c r="D181" s="2" t="s">
        <v>51</v>
      </c>
      <c r="E181" s="2" t="s">
        <v>52</v>
      </c>
      <c r="F181" s="2" t="s">
        <v>52</v>
      </c>
      <c r="G181" s="2" t="s">
        <v>53</v>
      </c>
      <c r="H181" s="2" t="s">
        <v>53</v>
      </c>
      <c r="I181" s="2" t="s">
        <v>54</v>
      </c>
      <c r="J181" s="2" t="s">
        <v>54</v>
      </c>
      <c r="K181" s="2" t="s">
        <v>55</v>
      </c>
      <c r="L181" s="2"/>
      <c r="M181" s="2" t="s">
        <v>56</v>
      </c>
      <c r="N181" s="2" t="s">
        <v>57</v>
      </c>
      <c r="O181" s="3">
        <v>12907.33</v>
      </c>
      <c r="P181" s="3">
        <v>12907.33</v>
      </c>
      <c r="Q181" s="3">
        <v>12907.33</v>
      </c>
      <c r="R181" s="3">
        <v>12907.33</v>
      </c>
      <c r="S181" s="3">
        <v>12907.33</v>
      </c>
      <c r="T181" s="3">
        <v>12907.33</v>
      </c>
      <c r="U181" s="3">
        <v>12907.33</v>
      </c>
      <c r="V181" s="3">
        <v>12907.33</v>
      </c>
      <c r="W181" s="3">
        <v>12907.33</v>
      </c>
      <c r="X181" s="3">
        <v>12907.33</v>
      </c>
      <c r="Y181" s="3">
        <v>12907.33</v>
      </c>
      <c r="Z181" s="3">
        <v>12907.33</v>
      </c>
      <c r="AA181" s="3">
        <v>154887.96</v>
      </c>
      <c r="AB181" s="8">
        <f>IF(N181="EUR",AA181,IF(N181="GBP",AA181/Rate!$C$3,AA181/Rate!$C$5))</f>
        <v>154887.96</v>
      </c>
      <c r="AC181" s="43">
        <f>IFERROR(VLOOKUP(K181,'4.2 Simplify Savings'!K:AB,18,0),0)</f>
        <v>0</v>
      </c>
      <c r="AD181" s="44">
        <f t="shared" si="11"/>
        <v>154887.96</v>
      </c>
    </row>
    <row r="182" spans="1:30" x14ac:dyDescent="0.3">
      <c r="A182" t="str">
        <f>_xlfn.XLOOKUP(B182*1,'Reference '!I:I,'Reference '!K:K)</f>
        <v>Laurent Bellan</v>
      </c>
      <c r="B182" s="2" t="str">
        <f t="shared" si="10"/>
        <v>600</v>
      </c>
      <c r="C182" s="2" t="s">
        <v>68</v>
      </c>
      <c r="D182" s="2" t="s">
        <v>68</v>
      </c>
      <c r="E182" s="2" t="s">
        <v>52</v>
      </c>
      <c r="F182" s="2" t="s">
        <v>52</v>
      </c>
      <c r="G182" s="2" t="s">
        <v>53</v>
      </c>
      <c r="H182" s="2" t="s">
        <v>53</v>
      </c>
      <c r="I182" s="2" t="s">
        <v>54</v>
      </c>
      <c r="J182" s="2" t="s">
        <v>54</v>
      </c>
      <c r="K182" s="2" t="s">
        <v>73</v>
      </c>
      <c r="L182" s="2" t="s">
        <v>74</v>
      </c>
      <c r="M182" s="2" t="s">
        <v>56</v>
      </c>
      <c r="N182" s="2" t="s">
        <v>72</v>
      </c>
      <c r="O182" s="3">
        <v>11574.95</v>
      </c>
      <c r="P182" s="3">
        <v>11574.95</v>
      </c>
      <c r="Q182" s="3">
        <v>11574.95</v>
      </c>
      <c r="R182" s="3">
        <v>11574.95</v>
      </c>
      <c r="S182" s="3">
        <v>11574.95</v>
      </c>
      <c r="T182" s="3">
        <v>11574.95</v>
      </c>
      <c r="U182" s="3">
        <v>11574.95</v>
      </c>
      <c r="V182" s="3">
        <v>11574.95</v>
      </c>
      <c r="W182" s="3">
        <v>11574.95</v>
      </c>
      <c r="X182" s="3">
        <v>11574.95</v>
      </c>
      <c r="Y182" s="3">
        <v>11574.95</v>
      </c>
      <c r="Z182" s="3">
        <v>11574.95</v>
      </c>
      <c r="AA182" s="3">
        <v>138899.4</v>
      </c>
      <c r="AB182" s="8">
        <f>IF(N182="EUR",AA182,IF(N182="GBP",AA182/Rate!$C$3,AA182/Rate!$C$5))</f>
        <v>159654.4827586207</v>
      </c>
      <c r="AC182" s="43">
        <v>0</v>
      </c>
      <c r="AD182" s="44">
        <f t="shared" si="11"/>
        <v>159654.4827586207</v>
      </c>
    </row>
    <row r="183" spans="1:30" x14ac:dyDescent="0.3">
      <c r="A183" t="str">
        <f>_xlfn.XLOOKUP(B183*1,'Reference '!I:I,'Reference '!K:K)</f>
        <v>Laurent Bellan</v>
      </c>
      <c r="B183" s="2" t="str">
        <f t="shared" si="10"/>
        <v>600</v>
      </c>
      <c r="C183" s="2" t="s">
        <v>51</v>
      </c>
      <c r="D183" s="2" t="s">
        <v>51</v>
      </c>
      <c r="E183" s="2" t="s">
        <v>60</v>
      </c>
      <c r="F183" s="2" t="s">
        <v>60</v>
      </c>
      <c r="G183" s="2" t="s">
        <v>53</v>
      </c>
      <c r="H183" s="2" t="s">
        <v>53</v>
      </c>
      <c r="I183" s="2" t="s">
        <v>54</v>
      </c>
      <c r="J183" s="2" t="s">
        <v>54</v>
      </c>
      <c r="K183" s="2" t="s">
        <v>61</v>
      </c>
      <c r="L183" s="2"/>
      <c r="M183" s="2" t="s">
        <v>56</v>
      </c>
      <c r="N183" s="2" t="s">
        <v>57</v>
      </c>
      <c r="O183" s="3">
        <v>127.16</v>
      </c>
      <c r="P183" s="3">
        <v>127.16</v>
      </c>
      <c r="Q183" s="3">
        <v>127.16</v>
      </c>
      <c r="R183" s="3">
        <v>127.16</v>
      </c>
      <c r="S183" s="3">
        <v>127.16</v>
      </c>
      <c r="T183" s="3">
        <v>127.16</v>
      </c>
      <c r="U183" s="3">
        <v>127.16</v>
      </c>
      <c r="V183" s="3">
        <v>127.16</v>
      </c>
      <c r="W183" s="3">
        <v>127.16</v>
      </c>
      <c r="X183" s="3">
        <v>127.16</v>
      </c>
      <c r="Y183" s="3">
        <v>127.16</v>
      </c>
      <c r="Z183" s="3">
        <v>127.16</v>
      </c>
      <c r="AA183" s="3">
        <v>1525.92</v>
      </c>
      <c r="AB183" s="8">
        <f>IF(N183="EUR",AA183,IF(N183="GBP",AA183/Rate!$C$3,AA183/Rate!$C$5))</f>
        <v>1525.92</v>
      </c>
      <c r="AC183" s="43">
        <f>IFERROR(VLOOKUP(K183,'4.2 Simplify Savings'!K:AB,18,0),0)</f>
        <v>0</v>
      </c>
      <c r="AD183" s="44">
        <f t="shared" si="11"/>
        <v>1525.92</v>
      </c>
    </row>
    <row r="184" spans="1:30" x14ac:dyDescent="0.3">
      <c r="A184" t="str">
        <f>_xlfn.XLOOKUP(B184*1,'Reference '!I:I,'Reference '!K:K)</f>
        <v>Ben Gbeve</v>
      </c>
      <c r="B184" s="2" t="str">
        <f t="shared" si="10"/>
        <v>601</v>
      </c>
      <c r="C184" s="2" t="s">
        <v>110</v>
      </c>
      <c r="D184" s="2" t="s">
        <v>110</v>
      </c>
      <c r="E184" s="2" t="s">
        <v>195</v>
      </c>
      <c r="F184" s="2" t="s">
        <v>195</v>
      </c>
      <c r="G184" s="2" t="s">
        <v>53</v>
      </c>
      <c r="H184" s="2" t="s">
        <v>53</v>
      </c>
      <c r="I184" s="2" t="s">
        <v>54</v>
      </c>
      <c r="J184" s="2" t="s">
        <v>54</v>
      </c>
      <c r="K184" s="2" t="s">
        <v>196</v>
      </c>
      <c r="L184" s="2" t="s">
        <v>197</v>
      </c>
      <c r="M184" s="2" t="s">
        <v>56</v>
      </c>
      <c r="N184" s="2" t="s">
        <v>72</v>
      </c>
      <c r="O184" s="3">
        <v>500</v>
      </c>
      <c r="P184" s="3">
        <v>500</v>
      </c>
      <c r="Q184" s="3">
        <v>500</v>
      </c>
      <c r="R184" s="3">
        <v>500</v>
      </c>
      <c r="S184" s="3">
        <v>500</v>
      </c>
      <c r="T184" s="3">
        <v>500</v>
      </c>
      <c r="U184" s="3">
        <v>500</v>
      </c>
      <c r="V184" s="3">
        <v>500</v>
      </c>
      <c r="W184" s="3">
        <v>500</v>
      </c>
      <c r="X184" s="3">
        <v>500</v>
      </c>
      <c r="Y184" s="3">
        <v>500</v>
      </c>
      <c r="Z184" s="3">
        <v>500</v>
      </c>
      <c r="AA184" s="3">
        <v>6000</v>
      </c>
      <c r="AB184" s="8">
        <f>IF(N184="EUR",AA184,IF(N184="GBP",AA184/Rate!$C$3,AA184/Rate!$C$5))</f>
        <v>6896.5517241379312</v>
      </c>
      <c r="AC184" s="43">
        <f>IFERROR(VLOOKUP(K184,'4.2 Simplify Savings'!K:AB,18,0),0)</f>
        <v>0</v>
      </c>
      <c r="AD184" s="44">
        <f t="shared" si="11"/>
        <v>6896.5517241379312</v>
      </c>
    </row>
  </sheetData>
  <autoFilter ref="A4:AB184"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B1F1-7E26-494B-B373-25D71740CC67}">
  <sheetPr>
    <tabColor theme="3"/>
  </sheetPr>
  <dimension ref="A3:Z22"/>
  <sheetViews>
    <sheetView zoomScale="80" workbookViewId="0">
      <selection activeCell="K11" sqref="K11"/>
    </sheetView>
  </sheetViews>
  <sheetFormatPr defaultColWidth="9.21875" defaultRowHeight="14.4" outlineLevelCol="1" x14ac:dyDescent="0.3"/>
  <cols>
    <col min="1" max="1" width="18.44140625" style="16" bestFit="1" customWidth="1"/>
    <col min="2" max="2" width="7.77734375" style="16" customWidth="1"/>
    <col min="3" max="3" width="30.77734375" style="16" hidden="1" customWidth="1" outlineLevel="1"/>
    <col min="4" max="4" width="10.5546875" style="16" hidden="1" customWidth="1" outlineLevel="1"/>
    <col min="5" max="5" width="17" style="16" hidden="1" customWidth="1" outlineLevel="1"/>
    <col min="6" max="6" width="35.77734375" style="16" bestFit="1" customWidth="1" collapsed="1"/>
    <col min="7" max="7" width="16.77734375" style="16" customWidth="1"/>
    <col min="8" max="8" width="17.21875" style="16" hidden="1" customWidth="1" outlineLevel="1"/>
    <col min="9" max="9" width="11.44140625" style="16" hidden="1" customWidth="1" outlineLevel="1"/>
    <col min="10" max="10" width="18.5546875" style="16" bestFit="1" customWidth="1" collapsed="1"/>
    <col min="11" max="11" width="41.5546875" style="16" bestFit="1" customWidth="1"/>
    <col min="12" max="12" width="13.21875" style="16" customWidth="1"/>
    <col min="13" max="24" width="9" style="16" customWidth="1"/>
    <col min="25" max="25" width="13.21875" style="16" bestFit="1" customWidth="1"/>
    <col min="26" max="26" width="11.5546875" style="16" bestFit="1" customWidth="1"/>
    <col min="27" max="16384" width="9.21875" style="16"/>
  </cols>
  <sheetData>
    <row r="3" spans="1:26" x14ac:dyDescent="0.3">
      <c r="Y3" s="18" t="s">
        <v>21</v>
      </c>
      <c r="Z3" s="18">
        <f>SUBTOTAL(9,Z5:Z22)</f>
        <v>13274936.049460653</v>
      </c>
    </row>
    <row r="4" spans="1:26" x14ac:dyDescent="0.3">
      <c r="A4" s="65" t="s">
        <v>22</v>
      </c>
      <c r="B4" s="14" t="s">
        <v>23</v>
      </c>
      <c r="C4" s="14" t="s">
        <v>24</v>
      </c>
      <c r="D4" s="14" t="s">
        <v>25</v>
      </c>
      <c r="E4" s="14" t="s">
        <v>26</v>
      </c>
      <c r="F4" s="14" t="s">
        <v>27</v>
      </c>
      <c r="G4" s="14" t="s">
        <v>28</v>
      </c>
      <c r="H4" s="14" t="s">
        <v>29</v>
      </c>
      <c r="I4" s="14" t="s">
        <v>30</v>
      </c>
      <c r="J4" s="14" t="s">
        <v>31</v>
      </c>
      <c r="K4" s="14" t="s">
        <v>414</v>
      </c>
      <c r="L4" s="14" t="s">
        <v>415</v>
      </c>
      <c r="M4" s="14" t="s">
        <v>36</v>
      </c>
      <c r="N4" s="14" t="s">
        <v>37</v>
      </c>
      <c r="O4" s="14" t="s">
        <v>38</v>
      </c>
      <c r="P4" s="14" t="s">
        <v>39</v>
      </c>
      <c r="Q4" s="14" t="s">
        <v>40</v>
      </c>
      <c r="R4" s="14" t="s">
        <v>41</v>
      </c>
      <c r="S4" s="14" t="s">
        <v>42</v>
      </c>
      <c r="T4" s="14" t="s">
        <v>43</v>
      </c>
      <c r="U4" s="14" t="s">
        <v>44</v>
      </c>
      <c r="V4" s="14" t="s">
        <v>45</v>
      </c>
      <c r="W4" s="14" t="s">
        <v>46</v>
      </c>
      <c r="X4" s="14" t="s">
        <v>47</v>
      </c>
      <c r="Y4" s="14" t="s">
        <v>48</v>
      </c>
      <c r="Z4" s="15" t="s">
        <v>416</v>
      </c>
    </row>
    <row r="5" spans="1:26" x14ac:dyDescent="0.3">
      <c r="A5" t="str">
        <f>_xlfn.XLOOKUP(B5*1,'Reference '!I:I,'Reference '!K:K)</f>
        <v>Xavier Romanet</v>
      </c>
      <c r="B5" s="17" t="str">
        <f>LEFT(C5,3)</f>
        <v>605</v>
      </c>
      <c r="C5" s="17" t="s">
        <v>417</v>
      </c>
      <c r="D5" s="17" t="s">
        <v>417</v>
      </c>
      <c r="E5" s="17" t="s">
        <v>418</v>
      </c>
      <c r="F5" s="17" t="s">
        <v>418</v>
      </c>
      <c r="G5" s="17" t="s">
        <v>53</v>
      </c>
      <c r="H5" s="17" t="s">
        <v>53</v>
      </c>
      <c r="I5" s="17" t="s">
        <v>54</v>
      </c>
      <c r="J5" s="17" t="s">
        <v>54</v>
      </c>
      <c r="K5" s="17" t="s">
        <v>419</v>
      </c>
      <c r="L5" s="17" t="s">
        <v>57</v>
      </c>
      <c r="M5" s="18">
        <v>230</v>
      </c>
      <c r="N5" s="18">
        <v>230</v>
      </c>
      <c r="O5" s="18">
        <v>230</v>
      </c>
      <c r="P5" s="18">
        <v>230</v>
      </c>
      <c r="Q5" s="18">
        <v>230</v>
      </c>
      <c r="R5" s="18">
        <v>230</v>
      </c>
      <c r="S5" s="18">
        <v>230</v>
      </c>
      <c r="T5" s="18">
        <v>230</v>
      </c>
      <c r="U5" s="18">
        <v>230</v>
      </c>
      <c r="V5" s="18">
        <v>230</v>
      </c>
      <c r="W5" s="18">
        <v>230</v>
      </c>
      <c r="X5" s="18">
        <v>230</v>
      </c>
      <c r="Y5" s="18">
        <v>2760</v>
      </c>
      <c r="Z5" s="18">
        <f>IF(L5="EUR",Y5,IF(L5="GBP",Y5/[74]Rate!$C$3,Y5/[74]Rate!$C$5))</f>
        <v>2760</v>
      </c>
    </row>
    <row r="6" spans="1:26" x14ac:dyDescent="0.3">
      <c r="A6" t="str">
        <f>_xlfn.XLOOKUP(B6*1,'Reference '!I:I,'Reference '!K:K)</f>
        <v>Xavier Romanet</v>
      </c>
      <c r="B6" s="17" t="str">
        <f t="shared" ref="B6:B22" si="0">LEFT(C6,3)</f>
        <v>605</v>
      </c>
      <c r="C6" s="17" t="s">
        <v>420</v>
      </c>
      <c r="D6" s="17" t="s">
        <v>420</v>
      </c>
      <c r="E6" s="17" t="s">
        <v>418</v>
      </c>
      <c r="F6" s="17" t="s">
        <v>418</v>
      </c>
      <c r="G6" s="17" t="s">
        <v>53</v>
      </c>
      <c r="H6" s="17" t="s">
        <v>53</v>
      </c>
      <c r="I6" s="17" t="s">
        <v>54</v>
      </c>
      <c r="J6" s="17" t="s">
        <v>54</v>
      </c>
      <c r="K6" s="17" t="s">
        <v>421</v>
      </c>
      <c r="L6" s="17" t="s">
        <v>213</v>
      </c>
      <c r="M6" s="18">
        <v>594</v>
      </c>
      <c r="N6" s="18">
        <v>594</v>
      </c>
      <c r="O6" s="18">
        <v>594</v>
      </c>
      <c r="P6" s="18">
        <v>594</v>
      </c>
      <c r="Q6" s="18">
        <v>594</v>
      </c>
      <c r="R6" s="18">
        <v>594</v>
      </c>
      <c r="S6" s="18">
        <v>594</v>
      </c>
      <c r="T6" s="18">
        <v>594</v>
      </c>
      <c r="U6" s="18">
        <v>594</v>
      </c>
      <c r="V6" s="18">
        <v>594</v>
      </c>
      <c r="W6" s="18">
        <v>594</v>
      </c>
      <c r="X6" s="18">
        <v>594</v>
      </c>
      <c r="Y6" s="18">
        <v>7128</v>
      </c>
      <c r="Z6" s="18">
        <f>IF(L6="EUR",Y6,IF(L6="GBP",Y6/[74]Rate!$C$3,Y6/[74]Rate!$C$5))</f>
        <v>6092.3076923076924</v>
      </c>
    </row>
    <row r="7" spans="1:26" x14ac:dyDescent="0.3">
      <c r="A7" t="str">
        <f>_xlfn.XLOOKUP(B7*1,'Reference '!I:I,'Reference '!K:K)</f>
        <v>Xavier Romanet</v>
      </c>
      <c r="B7" s="17" t="str">
        <f t="shared" si="0"/>
        <v>605</v>
      </c>
      <c r="C7" s="17" t="s">
        <v>420</v>
      </c>
      <c r="D7" s="17" t="s">
        <v>420</v>
      </c>
      <c r="E7" s="17" t="s">
        <v>422</v>
      </c>
      <c r="F7" s="17" t="s">
        <v>422</v>
      </c>
      <c r="G7" s="17" t="s">
        <v>53</v>
      </c>
      <c r="H7" s="17" t="s">
        <v>53</v>
      </c>
      <c r="I7" s="17" t="s">
        <v>54</v>
      </c>
      <c r="J7" s="17" t="s">
        <v>54</v>
      </c>
      <c r="K7" s="17" t="s">
        <v>423</v>
      </c>
      <c r="L7" s="17" t="s">
        <v>213</v>
      </c>
      <c r="M7" s="18">
        <v>96200</v>
      </c>
      <c r="N7" s="18">
        <v>96200</v>
      </c>
      <c r="O7" s="18">
        <v>96200</v>
      </c>
      <c r="P7" s="18">
        <v>96200</v>
      </c>
      <c r="Q7" s="18">
        <v>96200</v>
      </c>
      <c r="R7" s="18">
        <v>96200</v>
      </c>
      <c r="S7" s="18">
        <v>96200</v>
      </c>
      <c r="T7" s="18">
        <v>96200</v>
      </c>
      <c r="U7" s="18">
        <v>96200</v>
      </c>
      <c r="V7" s="18">
        <v>96200</v>
      </c>
      <c r="W7" s="18">
        <v>96200</v>
      </c>
      <c r="X7" s="18">
        <v>96200</v>
      </c>
      <c r="Y7" s="18">
        <v>1154400</v>
      </c>
      <c r="Z7" s="18">
        <f>IF(L7="EUR",Y7,IF(L7="GBP",Y7/[74]Rate!$C$3,Y7/[74]Rate!$C$5))</f>
        <v>986666.66666666674</v>
      </c>
    </row>
    <row r="8" spans="1:26" x14ac:dyDescent="0.3">
      <c r="A8" t="str">
        <f>_xlfn.XLOOKUP(B8*1,'Reference '!I:I,'Reference '!K:K)</f>
        <v>Xavier Romanet</v>
      </c>
      <c r="B8" s="17" t="str">
        <f t="shared" si="0"/>
        <v>605</v>
      </c>
      <c r="C8" s="17" t="s">
        <v>417</v>
      </c>
      <c r="D8" s="17" t="s">
        <v>417</v>
      </c>
      <c r="E8" s="17" t="s">
        <v>418</v>
      </c>
      <c r="F8" s="17" t="s">
        <v>418</v>
      </c>
      <c r="G8" s="17" t="s">
        <v>53</v>
      </c>
      <c r="H8" s="17" t="s">
        <v>53</v>
      </c>
      <c r="I8" s="17" t="s">
        <v>54</v>
      </c>
      <c r="J8" s="17" t="s">
        <v>54</v>
      </c>
      <c r="K8" s="17" t="s">
        <v>424</v>
      </c>
      <c r="L8" s="17" t="s">
        <v>57</v>
      </c>
      <c r="M8" s="18">
        <v>60000</v>
      </c>
      <c r="N8" s="18">
        <v>60000</v>
      </c>
      <c r="O8" s="18">
        <v>60000</v>
      </c>
      <c r="P8" s="18">
        <v>60000</v>
      </c>
      <c r="Q8" s="18">
        <v>60000</v>
      </c>
      <c r="R8" s="18">
        <v>60000</v>
      </c>
      <c r="S8" s="18">
        <v>60000</v>
      </c>
      <c r="T8" s="18">
        <v>60000</v>
      </c>
      <c r="U8" s="18">
        <v>60000</v>
      </c>
      <c r="V8" s="18">
        <v>60000</v>
      </c>
      <c r="W8" s="18">
        <v>60000</v>
      </c>
      <c r="X8" s="18">
        <v>60000</v>
      </c>
      <c r="Y8" s="18">
        <v>720000</v>
      </c>
      <c r="Z8" s="18">
        <f>IF(L8="EUR",Y8,IF(L8="GBP",Y8/[74]Rate!$C$3,Y8/[74]Rate!$C$5))</f>
        <v>720000</v>
      </c>
    </row>
    <row r="9" spans="1:26" x14ac:dyDescent="0.3">
      <c r="A9" t="str">
        <f>_xlfn.XLOOKUP(B9*1,'Reference '!I:I,'Reference '!K:K)</f>
        <v>Mael Delmas</v>
      </c>
      <c r="B9" s="17" t="str">
        <f t="shared" si="0"/>
        <v>604</v>
      </c>
      <c r="C9" s="17" t="s">
        <v>274</v>
      </c>
      <c r="D9" s="17" t="s">
        <v>274</v>
      </c>
      <c r="E9" s="17" t="s">
        <v>422</v>
      </c>
      <c r="F9" s="17" t="s">
        <v>422</v>
      </c>
      <c r="G9" s="17" t="s">
        <v>53</v>
      </c>
      <c r="H9" s="17" t="s">
        <v>53</v>
      </c>
      <c r="I9" s="17" t="s">
        <v>425</v>
      </c>
      <c r="J9" s="17" t="s">
        <v>425</v>
      </c>
      <c r="K9" s="17" t="s">
        <v>426</v>
      </c>
      <c r="L9" s="17" t="s">
        <v>72</v>
      </c>
      <c r="M9" s="18">
        <v>82083.33</v>
      </c>
      <c r="N9" s="18">
        <v>82083.33</v>
      </c>
      <c r="O9" s="18">
        <v>82083.33</v>
      </c>
      <c r="P9" s="18">
        <v>82083.33</v>
      </c>
      <c r="Q9" s="18">
        <v>82083.33</v>
      </c>
      <c r="R9" s="18">
        <v>82083.33</v>
      </c>
      <c r="S9" s="18">
        <v>82083.33</v>
      </c>
      <c r="T9" s="18">
        <v>82083.33</v>
      </c>
      <c r="U9" s="18">
        <v>82083.33</v>
      </c>
      <c r="V9" s="18">
        <v>82083.33</v>
      </c>
      <c r="W9" s="18">
        <v>82083.33</v>
      </c>
      <c r="X9" s="18">
        <v>82083.33</v>
      </c>
      <c r="Y9" s="18">
        <v>984999.95999999985</v>
      </c>
      <c r="Z9" s="18">
        <f>IF(L9="EUR",Y9,IF(L9="GBP",Y9/[74]Rate!$C$3,Y9/[74]Rate!$C$5))</f>
        <v>1132183.8620689653</v>
      </c>
    </row>
    <row r="10" spans="1:26" x14ac:dyDescent="0.3">
      <c r="A10" t="str">
        <f>_xlfn.XLOOKUP(B10*1,'Reference '!I:I,'Reference '!K:K)</f>
        <v>Xavier Romanet</v>
      </c>
      <c r="B10" s="17" t="str">
        <f t="shared" si="0"/>
        <v>605</v>
      </c>
      <c r="C10" s="17" t="s">
        <v>417</v>
      </c>
      <c r="D10" s="17" t="s">
        <v>417</v>
      </c>
      <c r="E10" s="17" t="s">
        <v>418</v>
      </c>
      <c r="F10" s="17" t="s">
        <v>418</v>
      </c>
      <c r="G10" s="17" t="s">
        <v>53</v>
      </c>
      <c r="H10" s="17" t="s">
        <v>53</v>
      </c>
      <c r="I10" s="17" t="s">
        <v>54</v>
      </c>
      <c r="J10" s="17" t="s">
        <v>54</v>
      </c>
      <c r="K10" s="17" t="s">
        <v>427</v>
      </c>
      <c r="L10" s="17" t="s">
        <v>57</v>
      </c>
      <c r="M10" s="18">
        <v>164988.46</v>
      </c>
      <c r="N10" s="18">
        <v>124206.88</v>
      </c>
      <c r="O10" s="18">
        <v>134532.67000000001</v>
      </c>
      <c r="P10" s="18">
        <v>125092.51</v>
      </c>
      <c r="Q10" s="18">
        <v>118038.11</v>
      </c>
      <c r="R10" s="18">
        <v>111436.85</v>
      </c>
      <c r="S10" s="18">
        <v>105348.33</v>
      </c>
      <c r="T10" s="18">
        <v>104518.25</v>
      </c>
      <c r="U10" s="18">
        <v>130928.57</v>
      </c>
      <c r="V10" s="18">
        <v>124422.8</v>
      </c>
      <c r="W10" s="18">
        <v>114303.11</v>
      </c>
      <c r="X10" s="18">
        <v>90037.49</v>
      </c>
      <c r="Y10" s="18">
        <v>1447854.03</v>
      </c>
      <c r="Z10" s="18">
        <f>IF(L10="EUR",Y10,IF(L10="GBP",Y10/[74]Rate!$C$3,Y10/[74]Rate!$C$5))</f>
        <v>1447854.03</v>
      </c>
    </row>
    <row r="11" spans="1:26" x14ac:dyDescent="0.3">
      <c r="A11" t="str">
        <f>_xlfn.XLOOKUP(B11*1,'Reference '!I:I,'Reference '!K:K)</f>
        <v>Xavier Romanet</v>
      </c>
      <c r="B11" s="17" t="str">
        <f t="shared" si="0"/>
        <v>605</v>
      </c>
      <c r="C11" s="17" t="s">
        <v>417</v>
      </c>
      <c r="D11" s="17" t="s">
        <v>417</v>
      </c>
      <c r="E11" s="17" t="s">
        <v>428</v>
      </c>
      <c r="F11" s="17" t="s">
        <v>428</v>
      </c>
      <c r="G11" s="17" t="s">
        <v>229</v>
      </c>
      <c r="H11" s="17" t="s">
        <v>229</v>
      </c>
      <c r="I11" s="17" t="s">
        <v>54</v>
      </c>
      <c r="J11" s="17" t="s">
        <v>54</v>
      </c>
      <c r="K11" s="17" t="s">
        <v>429</v>
      </c>
      <c r="L11" s="17" t="s">
        <v>57</v>
      </c>
      <c r="M11" s="18">
        <v>18971.580000000002</v>
      </c>
      <c r="N11" s="18">
        <v>14233.67</v>
      </c>
      <c r="O11" s="18">
        <v>15361.69</v>
      </c>
      <c r="P11" s="18">
        <v>14252.91</v>
      </c>
      <c r="Q11" s="18">
        <v>13447.31</v>
      </c>
      <c r="R11" s="18">
        <v>12719.11</v>
      </c>
      <c r="S11" s="18">
        <v>11972.06</v>
      </c>
      <c r="T11" s="18">
        <v>11724.41</v>
      </c>
      <c r="U11" s="18">
        <v>14919.74</v>
      </c>
      <c r="V11" s="18">
        <v>14280.46</v>
      </c>
      <c r="W11" s="18">
        <v>13143.71</v>
      </c>
      <c r="X11" s="18">
        <v>10396.31</v>
      </c>
      <c r="Y11" s="18">
        <v>165422.96</v>
      </c>
      <c r="Z11" s="18">
        <f>IF(L11="EUR",Y11,IF(L11="GBP",Y11/[74]Rate!$C$3,Y11/[74]Rate!$C$5))</f>
        <v>165422.96</v>
      </c>
    </row>
    <row r="12" spans="1:26" x14ac:dyDescent="0.3">
      <c r="A12" t="str">
        <f>_xlfn.XLOOKUP(B12*1,'Reference '!I:I,'Reference '!K:K)</f>
        <v>Xavier Romanet</v>
      </c>
      <c r="B12" s="17" t="str">
        <f t="shared" si="0"/>
        <v>605</v>
      </c>
      <c r="C12" s="17" t="s">
        <v>417</v>
      </c>
      <c r="D12" s="17" t="s">
        <v>417</v>
      </c>
      <c r="E12" s="17" t="s">
        <v>428</v>
      </c>
      <c r="F12" s="17" t="s">
        <v>428</v>
      </c>
      <c r="G12" s="17" t="s">
        <v>229</v>
      </c>
      <c r="H12" s="17" t="s">
        <v>229</v>
      </c>
      <c r="I12" s="17" t="s">
        <v>54</v>
      </c>
      <c r="J12" s="17" t="s">
        <v>54</v>
      </c>
      <c r="K12" s="17" t="s">
        <v>430</v>
      </c>
      <c r="L12" s="17" t="s">
        <v>57</v>
      </c>
      <c r="M12" s="18">
        <v>56132.5</v>
      </c>
      <c r="N12" s="18">
        <v>41928.5</v>
      </c>
      <c r="O12" s="18">
        <v>41280.019999999997</v>
      </c>
      <c r="P12" s="18">
        <v>16457.04</v>
      </c>
      <c r="Q12" s="18">
        <v>16552.68</v>
      </c>
      <c r="R12" s="18">
        <v>24251.02</v>
      </c>
      <c r="S12" s="18">
        <v>53873.79</v>
      </c>
      <c r="T12" s="18">
        <v>44944.93</v>
      </c>
      <c r="U12" s="18">
        <v>68142.92</v>
      </c>
      <c r="V12" s="18">
        <v>54763.37</v>
      </c>
      <c r="W12" s="18">
        <v>44037.58</v>
      </c>
      <c r="X12" s="18">
        <v>29885.49</v>
      </c>
      <c r="Y12" s="18">
        <v>492249.83999999997</v>
      </c>
      <c r="Z12" s="18">
        <f>IF(L12="EUR",Y12,IF(L12="GBP",Y12/[74]Rate!$C$3,Y12/[74]Rate!$C$5))</f>
        <v>492249.83999999997</v>
      </c>
    </row>
    <row r="13" spans="1:26" x14ac:dyDescent="0.3">
      <c r="A13" t="str">
        <f>_xlfn.XLOOKUP(B13*1,'Reference '!I:I,'Reference '!K:K)</f>
        <v>Xavier Romanet</v>
      </c>
      <c r="B13" s="17" t="str">
        <f t="shared" si="0"/>
        <v>605</v>
      </c>
      <c r="C13" s="17" t="s">
        <v>420</v>
      </c>
      <c r="D13" s="17" t="s">
        <v>420</v>
      </c>
      <c r="E13" s="17" t="s">
        <v>418</v>
      </c>
      <c r="F13" s="17" t="s">
        <v>418</v>
      </c>
      <c r="G13" s="17" t="s">
        <v>53</v>
      </c>
      <c r="H13" s="17" t="s">
        <v>53</v>
      </c>
      <c r="I13" s="17" t="s">
        <v>54</v>
      </c>
      <c r="J13" s="17" t="s">
        <v>54</v>
      </c>
      <c r="K13" s="17" t="s">
        <v>431</v>
      </c>
      <c r="L13" s="17" t="s">
        <v>213</v>
      </c>
      <c r="M13" s="18">
        <v>176132.32</v>
      </c>
      <c r="N13" s="18">
        <v>132596.22</v>
      </c>
      <c r="O13" s="18">
        <v>143619.45000000001</v>
      </c>
      <c r="P13" s="18">
        <v>133541.66</v>
      </c>
      <c r="Q13" s="18">
        <v>126010.79</v>
      </c>
      <c r="R13" s="18">
        <v>118963.66</v>
      </c>
      <c r="S13" s="18">
        <v>112463.9</v>
      </c>
      <c r="T13" s="18">
        <v>111577.76</v>
      </c>
      <c r="U13" s="18">
        <v>139771.92000000001</v>
      </c>
      <c r="V13" s="18">
        <v>132826.72</v>
      </c>
      <c r="W13" s="18">
        <v>122023.51</v>
      </c>
      <c r="X13" s="18">
        <v>96118.92</v>
      </c>
      <c r="Y13" s="18">
        <v>1545646.8299999998</v>
      </c>
      <c r="Z13" s="18">
        <f>IF(L13="EUR",Y13,IF(L13="GBP",Y13/[74]Rate!$C$3,Y13/[74]Rate!$C$5))</f>
        <v>1321065.6666666665</v>
      </c>
    </row>
    <row r="14" spans="1:26" x14ac:dyDescent="0.3">
      <c r="A14" t="str">
        <f>_xlfn.XLOOKUP(B14*1,'Reference '!I:I,'Reference '!K:K)</f>
        <v>Xavier Romanet</v>
      </c>
      <c r="B14" s="17" t="str">
        <f t="shared" si="0"/>
        <v>605</v>
      </c>
      <c r="C14" s="17" t="s">
        <v>417</v>
      </c>
      <c r="D14" s="17" t="s">
        <v>417</v>
      </c>
      <c r="E14" s="17" t="s">
        <v>428</v>
      </c>
      <c r="F14" s="17" t="s">
        <v>428</v>
      </c>
      <c r="G14" s="17" t="s">
        <v>53</v>
      </c>
      <c r="H14" s="17" t="s">
        <v>53</v>
      </c>
      <c r="I14" s="17" t="s">
        <v>54</v>
      </c>
      <c r="J14" s="17" t="s">
        <v>54</v>
      </c>
      <c r="K14" s="17" t="s">
        <v>432</v>
      </c>
      <c r="L14" s="17" t="s">
        <v>57</v>
      </c>
      <c r="M14" s="18">
        <v>492229.77</v>
      </c>
      <c r="N14" s="18">
        <v>369301.58</v>
      </c>
      <c r="O14" s="18">
        <v>526680.15</v>
      </c>
      <c r="P14" s="18">
        <v>607529.78</v>
      </c>
      <c r="Q14" s="18">
        <v>573191.18000000005</v>
      </c>
      <c r="R14" s="18">
        <v>542151.78</v>
      </c>
      <c r="S14" s="18">
        <v>510308.66</v>
      </c>
      <c r="T14" s="18">
        <v>499752.91</v>
      </c>
      <c r="U14" s="18">
        <v>440512.67</v>
      </c>
      <c r="V14" s="18">
        <v>370515.77</v>
      </c>
      <c r="W14" s="18">
        <v>341021.85</v>
      </c>
      <c r="X14" s="18">
        <v>269738.93</v>
      </c>
      <c r="Y14" s="18">
        <v>5542935.0299999993</v>
      </c>
      <c r="Z14" s="18">
        <f>IF(L14="EUR",Y14,IF(L14="GBP",Y14/[74]Rate!$C$3,Y14/[74]Rate!$C$5))</f>
        <v>5542935.0299999993</v>
      </c>
    </row>
    <row r="15" spans="1:26" x14ac:dyDescent="0.3">
      <c r="A15" t="str">
        <f>_xlfn.XLOOKUP(B15*1,'Reference '!I:I,'Reference '!K:K)</f>
        <v>Xavier Romanet</v>
      </c>
      <c r="B15" s="17" t="str">
        <f t="shared" si="0"/>
        <v>605</v>
      </c>
      <c r="C15" s="17" t="s">
        <v>324</v>
      </c>
      <c r="D15" s="17" t="s">
        <v>324</v>
      </c>
      <c r="E15" s="17" t="s">
        <v>418</v>
      </c>
      <c r="F15" s="17" t="s">
        <v>418</v>
      </c>
      <c r="G15" s="17" t="s">
        <v>53</v>
      </c>
      <c r="H15" s="17" t="s">
        <v>53</v>
      </c>
      <c r="I15" s="17" t="s">
        <v>54</v>
      </c>
      <c r="J15" s="17" t="s">
        <v>54</v>
      </c>
      <c r="K15" s="17" t="s">
        <v>433</v>
      </c>
      <c r="L15" s="17" t="s">
        <v>72</v>
      </c>
      <c r="M15" s="18">
        <v>94291.56</v>
      </c>
      <c r="N15" s="18">
        <v>70984.73</v>
      </c>
      <c r="O15" s="18">
        <v>76885.960000000006</v>
      </c>
      <c r="P15" s="18">
        <v>71490.86</v>
      </c>
      <c r="Q15" s="18">
        <v>67459.25</v>
      </c>
      <c r="R15" s="18">
        <v>63686.6</v>
      </c>
      <c r="S15" s="18">
        <v>60206.99</v>
      </c>
      <c r="T15" s="18">
        <v>59732.6</v>
      </c>
      <c r="U15" s="18">
        <v>74826.2</v>
      </c>
      <c r="V15" s="18">
        <v>71108.12</v>
      </c>
      <c r="W15" s="18">
        <v>65324.68</v>
      </c>
      <c r="X15" s="18">
        <v>51456.78</v>
      </c>
      <c r="Y15" s="18">
        <v>827454.33</v>
      </c>
      <c r="Z15" s="18">
        <f>IF(L15="EUR",Y15,IF(L15="GBP",Y15/[74]Rate!$C$3,Y15/[74]Rate!$C$5))</f>
        <v>951096.93103448267</v>
      </c>
    </row>
    <row r="16" spans="1:26" x14ac:dyDescent="0.3">
      <c r="A16" t="str">
        <f>_xlfn.XLOOKUP(B16*1,'Reference '!I:I,'Reference '!K:K)</f>
        <v>Xavier Romanet</v>
      </c>
      <c r="B16" s="17" t="str">
        <f t="shared" si="0"/>
        <v>605</v>
      </c>
      <c r="C16" s="17" t="s">
        <v>417</v>
      </c>
      <c r="D16" s="17" t="s">
        <v>417</v>
      </c>
      <c r="E16" s="17" t="s">
        <v>418</v>
      </c>
      <c r="F16" s="17" t="s">
        <v>418</v>
      </c>
      <c r="G16" s="17" t="s">
        <v>53</v>
      </c>
      <c r="H16" s="17" t="s">
        <v>53</v>
      </c>
      <c r="I16" s="17" t="s">
        <v>54</v>
      </c>
      <c r="J16" s="17" t="s">
        <v>54</v>
      </c>
      <c r="K16" s="17" t="s">
        <v>434</v>
      </c>
      <c r="L16" s="17" t="s">
        <v>57</v>
      </c>
      <c r="M16" s="18">
        <v>8182.49</v>
      </c>
      <c r="N16" s="18">
        <v>8182.49</v>
      </c>
      <c r="O16" s="18">
        <v>8182.49</v>
      </c>
      <c r="P16" s="18">
        <v>8182.49</v>
      </c>
      <c r="Q16" s="18">
        <v>8182.49</v>
      </c>
      <c r="R16" s="18">
        <v>8182.49</v>
      </c>
      <c r="S16" s="18">
        <v>8182.49</v>
      </c>
      <c r="T16" s="18">
        <v>8182.49</v>
      </c>
      <c r="U16" s="18">
        <v>8182.49</v>
      </c>
      <c r="V16" s="18">
        <v>8182.49</v>
      </c>
      <c r="W16" s="18">
        <v>8182.49</v>
      </c>
      <c r="X16" s="18">
        <v>8182.49</v>
      </c>
      <c r="Y16" s="18">
        <v>98189.88</v>
      </c>
      <c r="Z16" s="18">
        <f>IF(L16="EUR",Y16,IF(L16="GBP",Y16/[74]Rate!$C$3,Y16/[74]Rate!$C$5))</f>
        <v>98189.88</v>
      </c>
    </row>
    <row r="17" spans="1:26" x14ac:dyDescent="0.3">
      <c r="A17" t="str">
        <f>_xlfn.XLOOKUP(B17*1,'Reference '!I:I,'Reference '!K:K)</f>
        <v>Xavier Romanet</v>
      </c>
      <c r="B17" s="17" t="str">
        <f t="shared" si="0"/>
        <v>605</v>
      </c>
      <c r="C17" s="17" t="s">
        <v>420</v>
      </c>
      <c r="D17" s="17" t="s">
        <v>420</v>
      </c>
      <c r="E17" s="17" t="s">
        <v>418</v>
      </c>
      <c r="F17" s="17" t="s">
        <v>418</v>
      </c>
      <c r="G17" s="17" t="s">
        <v>53</v>
      </c>
      <c r="H17" s="17" t="s">
        <v>53</v>
      </c>
      <c r="I17" s="17" t="s">
        <v>54</v>
      </c>
      <c r="J17" s="17" t="s">
        <v>54</v>
      </c>
      <c r="K17" s="17" t="s">
        <v>435</v>
      </c>
      <c r="L17" s="17" t="s">
        <v>213</v>
      </c>
      <c r="M17" s="18">
        <v>1000</v>
      </c>
      <c r="N17" s="18">
        <v>1000</v>
      </c>
      <c r="O17" s="18">
        <v>1000</v>
      </c>
      <c r="P17" s="18">
        <v>1000</v>
      </c>
      <c r="Q17" s="18">
        <v>1000</v>
      </c>
      <c r="R17" s="18">
        <v>1000</v>
      </c>
      <c r="S17" s="18">
        <v>1000</v>
      </c>
      <c r="T17" s="18">
        <v>1000</v>
      </c>
      <c r="U17" s="18">
        <v>1000</v>
      </c>
      <c r="V17" s="18">
        <v>1000</v>
      </c>
      <c r="W17" s="18">
        <v>1000</v>
      </c>
      <c r="X17" s="18">
        <v>1000</v>
      </c>
      <c r="Y17" s="18">
        <v>12000</v>
      </c>
      <c r="Z17" s="18">
        <f>IF(L17="EUR",Y17,IF(L17="GBP",Y17/[74]Rate!$C$3,Y17/[74]Rate!$C$5))</f>
        <v>10256.410256410258</v>
      </c>
    </row>
    <row r="18" spans="1:26" x14ac:dyDescent="0.3">
      <c r="A18" t="str">
        <f>_xlfn.XLOOKUP(B18*1,'Reference '!I:I,'Reference '!K:K)</f>
        <v>Xavier Romanet</v>
      </c>
      <c r="B18" s="17" t="str">
        <f t="shared" si="0"/>
        <v>605</v>
      </c>
      <c r="C18" s="17" t="s">
        <v>420</v>
      </c>
      <c r="D18" s="17" t="s">
        <v>420</v>
      </c>
      <c r="E18" s="17" t="s">
        <v>418</v>
      </c>
      <c r="F18" s="17" t="s">
        <v>418</v>
      </c>
      <c r="G18" s="17" t="s">
        <v>53</v>
      </c>
      <c r="H18" s="17" t="s">
        <v>53</v>
      </c>
      <c r="I18" s="17" t="s">
        <v>54</v>
      </c>
      <c r="J18" s="17" t="s">
        <v>54</v>
      </c>
      <c r="K18" s="17" t="s">
        <v>436</v>
      </c>
      <c r="L18" s="17" t="s">
        <v>213</v>
      </c>
      <c r="M18" s="18">
        <v>11687.03</v>
      </c>
      <c r="N18" s="18">
        <v>11687.03</v>
      </c>
      <c r="O18" s="18">
        <v>11687.03</v>
      </c>
      <c r="P18" s="18">
        <v>11687.03</v>
      </c>
      <c r="Q18" s="18">
        <v>11687.03</v>
      </c>
      <c r="R18" s="18">
        <v>11687.03</v>
      </c>
      <c r="S18" s="18">
        <v>11687.03</v>
      </c>
      <c r="T18" s="18">
        <v>11687.03</v>
      </c>
      <c r="U18" s="18">
        <v>11687.03</v>
      </c>
      <c r="V18" s="18">
        <v>11687.03</v>
      </c>
      <c r="W18" s="18">
        <v>11687.03</v>
      </c>
      <c r="X18" s="18">
        <v>11687.03</v>
      </c>
      <c r="Y18" s="18">
        <v>140244.36000000002</v>
      </c>
      <c r="Z18" s="18">
        <f>IF(L18="EUR",Y18,IF(L18="GBP",Y18/[74]Rate!$C$3,Y18/[74]Rate!$C$5))</f>
        <v>119866.97435897437</v>
      </c>
    </row>
    <row r="19" spans="1:26" x14ac:dyDescent="0.3">
      <c r="A19" t="str">
        <f>_xlfn.XLOOKUP(B19*1,'Reference '!I:I,'Reference '!K:K)</f>
        <v>Xavier Romanet</v>
      </c>
      <c r="B19" s="17" t="str">
        <f t="shared" si="0"/>
        <v>605</v>
      </c>
      <c r="C19" s="17" t="s">
        <v>420</v>
      </c>
      <c r="D19" s="17" t="s">
        <v>420</v>
      </c>
      <c r="E19" s="17" t="s">
        <v>418</v>
      </c>
      <c r="F19" s="17" t="s">
        <v>418</v>
      </c>
      <c r="G19" s="17" t="s">
        <v>53</v>
      </c>
      <c r="H19" s="17" t="s">
        <v>53</v>
      </c>
      <c r="I19" s="17" t="s">
        <v>54</v>
      </c>
      <c r="J19" s="17" t="s">
        <v>54</v>
      </c>
      <c r="K19" s="17" t="s">
        <v>437</v>
      </c>
      <c r="L19" s="17" t="s">
        <v>213</v>
      </c>
      <c r="M19" s="18">
        <v>450</v>
      </c>
      <c r="N19" s="18">
        <v>450</v>
      </c>
      <c r="O19" s="18">
        <v>450</v>
      </c>
      <c r="P19" s="18">
        <v>450</v>
      </c>
      <c r="Q19" s="18">
        <v>450</v>
      </c>
      <c r="R19" s="18">
        <v>450</v>
      </c>
      <c r="S19" s="18">
        <v>450</v>
      </c>
      <c r="T19" s="18">
        <v>450</v>
      </c>
      <c r="U19" s="18">
        <v>450</v>
      </c>
      <c r="V19" s="18">
        <v>450</v>
      </c>
      <c r="W19" s="18">
        <v>450</v>
      </c>
      <c r="X19" s="18">
        <v>450</v>
      </c>
      <c r="Y19" s="18">
        <v>5400</v>
      </c>
      <c r="Z19" s="18">
        <f>IF(L19="EUR",Y19,IF(L19="GBP",Y19/[74]Rate!$C$3,Y19/[74]Rate!$C$5))</f>
        <v>4615.3846153846152</v>
      </c>
    </row>
    <row r="20" spans="1:26" x14ac:dyDescent="0.3">
      <c r="A20" t="str">
        <f>_xlfn.XLOOKUP(B20*1,'Reference '!I:I,'Reference '!K:K)</f>
        <v>Xavier Romanet</v>
      </c>
      <c r="B20" s="17" t="str">
        <f t="shared" si="0"/>
        <v>605</v>
      </c>
      <c r="C20" s="17" t="s">
        <v>420</v>
      </c>
      <c r="D20" s="17" t="s">
        <v>420</v>
      </c>
      <c r="E20" s="17" t="s">
        <v>418</v>
      </c>
      <c r="F20" s="17" t="s">
        <v>418</v>
      </c>
      <c r="G20" s="17" t="s">
        <v>53</v>
      </c>
      <c r="H20" s="17" t="s">
        <v>53</v>
      </c>
      <c r="I20" s="17" t="s">
        <v>54</v>
      </c>
      <c r="J20" s="17" t="s">
        <v>54</v>
      </c>
      <c r="K20" s="17" t="s">
        <v>438</v>
      </c>
      <c r="L20" s="17" t="s">
        <v>213</v>
      </c>
      <c r="M20" s="18">
        <v>225</v>
      </c>
      <c r="N20" s="18">
        <v>225</v>
      </c>
      <c r="O20" s="18">
        <v>225</v>
      </c>
      <c r="P20" s="18">
        <v>225</v>
      </c>
      <c r="Q20" s="18">
        <v>225</v>
      </c>
      <c r="R20" s="18">
        <v>225</v>
      </c>
      <c r="S20" s="18">
        <v>225</v>
      </c>
      <c r="T20" s="18">
        <v>225</v>
      </c>
      <c r="U20" s="18">
        <v>225</v>
      </c>
      <c r="V20" s="18">
        <v>225</v>
      </c>
      <c r="W20" s="18">
        <v>225</v>
      </c>
      <c r="X20" s="18">
        <v>225</v>
      </c>
      <c r="Y20" s="18">
        <v>2700</v>
      </c>
      <c r="Z20" s="18">
        <f>IF(L20="EUR",Y20,IF(L20="GBP",Y20/[74]Rate!$C$3,Y20/[74]Rate!$C$5))</f>
        <v>2307.6923076923076</v>
      </c>
    </row>
    <row r="21" spans="1:26" x14ac:dyDescent="0.3">
      <c r="A21" t="str">
        <f>_xlfn.XLOOKUP(B21*1,'Reference '!I:I,'Reference '!K:K)</f>
        <v>Xavier Romanet</v>
      </c>
      <c r="B21" s="17" t="str">
        <f t="shared" si="0"/>
        <v>605</v>
      </c>
      <c r="C21" s="17" t="s">
        <v>417</v>
      </c>
      <c r="D21" s="17" t="s">
        <v>417</v>
      </c>
      <c r="E21" s="17" t="s">
        <v>428</v>
      </c>
      <c r="F21" s="17" t="s">
        <v>428</v>
      </c>
      <c r="G21" s="17" t="s">
        <v>229</v>
      </c>
      <c r="H21" s="17" t="s">
        <v>229</v>
      </c>
      <c r="I21" s="17" t="s">
        <v>54</v>
      </c>
      <c r="J21" s="17" t="s">
        <v>54</v>
      </c>
      <c r="K21" s="17" t="s">
        <v>439</v>
      </c>
      <c r="L21" s="17" t="s">
        <v>57</v>
      </c>
      <c r="M21" s="18">
        <v>1350</v>
      </c>
      <c r="N21" s="18">
        <v>1350</v>
      </c>
      <c r="O21" s="18">
        <v>1350</v>
      </c>
      <c r="P21" s="18">
        <v>1350</v>
      </c>
      <c r="Q21" s="18">
        <v>1350</v>
      </c>
      <c r="R21" s="18">
        <v>1350</v>
      </c>
      <c r="S21" s="18">
        <v>1350</v>
      </c>
      <c r="T21" s="18">
        <v>1350</v>
      </c>
      <c r="U21" s="18">
        <v>1350</v>
      </c>
      <c r="V21" s="18">
        <v>1350</v>
      </c>
      <c r="W21" s="18">
        <v>1350</v>
      </c>
      <c r="X21" s="18">
        <v>1350</v>
      </c>
      <c r="Y21" s="18">
        <v>16200</v>
      </c>
      <c r="Z21" s="18">
        <f>IF(L21="EUR",Y21,IF(L21="GBP",Y21/[74]Rate!$C$3,Y21/[74]Rate!$C$5))</f>
        <v>16200</v>
      </c>
    </row>
    <row r="22" spans="1:26" x14ac:dyDescent="0.3">
      <c r="A22" t="str">
        <f>_xlfn.XLOOKUP(B22*1,'Reference '!I:I,'Reference '!K:K)</f>
        <v>Xavier Romanet</v>
      </c>
      <c r="B22" s="17" t="str">
        <f t="shared" si="0"/>
        <v>605</v>
      </c>
      <c r="C22" s="17" t="s">
        <v>324</v>
      </c>
      <c r="D22" s="17" t="s">
        <v>324</v>
      </c>
      <c r="E22" s="17" t="s">
        <v>443</v>
      </c>
      <c r="F22" s="17" t="s">
        <v>443</v>
      </c>
      <c r="G22" s="17" t="s">
        <v>53</v>
      </c>
      <c r="H22" s="17" t="s">
        <v>53</v>
      </c>
      <c r="I22" s="17" t="s">
        <v>54</v>
      </c>
      <c r="J22" s="17" t="s">
        <v>54</v>
      </c>
      <c r="K22" s="17" t="s">
        <v>444</v>
      </c>
      <c r="L22" s="17" t="s">
        <v>72</v>
      </c>
      <c r="M22" s="18">
        <v>18500</v>
      </c>
      <c r="N22" s="18">
        <v>18500</v>
      </c>
      <c r="O22" s="18">
        <v>18500</v>
      </c>
      <c r="P22" s="18">
        <v>18500</v>
      </c>
      <c r="Q22" s="18">
        <v>18500</v>
      </c>
      <c r="R22" s="18">
        <v>18500</v>
      </c>
      <c r="S22" s="18">
        <v>18500</v>
      </c>
      <c r="T22" s="18">
        <v>18500</v>
      </c>
      <c r="U22" s="18">
        <v>18500</v>
      </c>
      <c r="V22" s="18">
        <v>18500</v>
      </c>
      <c r="W22" s="18">
        <v>18500</v>
      </c>
      <c r="X22" s="18">
        <v>18500</v>
      </c>
      <c r="Y22" s="18">
        <v>222000</v>
      </c>
      <c r="Z22" s="18">
        <f>IF(L22="EUR",Y22,IF(L22="GBP",Y22/[74]Rate!$C$3,Y22/[74]Rate!$C$5))</f>
        <v>255172.41379310345</v>
      </c>
    </row>
  </sheetData>
  <autoFilter ref="B4:Z22" xr:uid="{00000000-0001-0000-00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0731F-CA6C-4060-8F45-A60CE2452DC8}">
  <sheetPr>
    <tabColor theme="3"/>
  </sheetPr>
  <dimension ref="A1:AQ88"/>
  <sheetViews>
    <sheetView topLeftCell="AE1" workbookViewId="0">
      <selection activeCell="AP3" sqref="AP3"/>
    </sheetView>
  </sheetViews>
  <sheetFormatPr defaultColWidth="8.77734375" defaultRowHeight="13.8" outlineLevelCol="1" x14ac:dyDescent="0.3"/>
  <cols>
    <col min="1" max="1" width="15.21875" style="76" hidden="1" customWidth="1"/>
    <col min="2" max="2" width="15.77734375" style="76" hidden="1" customWidth="1"/>
    <col min="3" max="3" width="14.44140625" style="76" hidden="1" customWidth="1"/>
    <col min="4" max="4" width="14.44140625" style="76" customWidth="1"/>
    <col min="5" max="5" width="21.21875" style="76" customWidth="1"/>
    <col min="6" max="6" width="21.77734375" style="76" hidden="1" customWidth="1"/>
    <col min="7" max="7" width="11.44140625" style="76" hidden="1" customWidth="1"/>
    <col min="8" max="8" width="12.21875" style="76" customWidth="1"/>
    <col min="9" max="9" width="13.44140625" style="76" customWidth="1"/>
    <col min="10" max="10" width="17.44140625" style="76" hidden="1" customWidth="1"/>
    <col min="11" max="11" width="15.21875" style="76" hidden="1" customWidth="1"/>
    <col min="12" max="12" width="9.44140625" style="76" hidden="1" customWidth="1" outlineLevel="1"/>
    <col min="13" max="13" width="9.77734375" style="76" customWidth="1" collapsed="1"/>
    <col min="14" max="14" width="18.44140625" style="76" hidden="1" customWidth="1"/>
    <col min="15" max="15" width="20.21875" style="76" hidden="1" customWidth="1"/>
    <col min="16" max="16" width="20.77734375" style="76" hidden="1" customWidth="1"/>
    <col min="17" max="17" width="23.5546875" style="76" hidden="1" customWidth="1"/>
    <col min="18" max="18" width="24.44140625" style="76" hidden="1" customWidth="1"/>
    <col min="19" max="19" width="25.21875" style="76" hidden="1" customWidth="1"/>
    <col min="20" max="20" width="11" style="76" customWidth="1"/>
    <col min="21" max="21" width="120.5546875" style="76" bestFit="1" customWidth="1"/>
    <col min="22" max="22" width="9" style="76" hidden="1" customWidth="1"/>
    <col min="23" max="23" width="33.44140625" style="76" hidden="1" customWidth="1"/>
    <col min="24" max="24" width="26" style="76" hidden="1" customWidth="1"/>
    <col min="25" max="25" width="25.77734375" style="76" hidden="1" customWidth="1"/>
    <col min="26" max="28" width="16.21875" style="76" hidden="1" customWidth="1"/>
    <col min="29" max="40" width="9" style="76" customWidth="1"/>
    <col min="41" max="41" width="9" style="102" customWidth="1"/>
    <col min="42" max="42" width="12.77734375" style="100" bestFit="1" customWidth="1"/>
    <col min="43" max="16384" width="8.77734375" style="76"/>
  </cols>
  <sheetData>
    <row r="1" spans="1:43" x14ac:dyDescent="0.3">
      <c r="AO1" s="111"/>
    </row>
    <row r="3" spans="1:43" x14ac:dyDescent="0.3">
      <c r="AO3" s="110"/>
      <c r="AP3" s="103">
        <f>SUBTOTAL(9,AP5:AP79)</f>
        <v>26992810.793103449</v>
      </c>
    </row>
    <row r="4" spans="1:43" x14ac:dyDescent="0.3">
      <c r="A4" s="14" t="s">
        <v>23</v>
      </c>
      <c r="B4" s="14" t="s">
        <v>445</v>
      </c>
      <c r="C4" s="14" t="s">
        <v>446</v>
      </c>
      <c r="D4" s="65" t="s">
        <v>22</v>
      </c>
      <c r="E4" s="14" t="s">
        <v>447</v>
      </c>
      <c r="F4" s="14" t="s">
        <v>448</v>
      </c>
      <c r="G4" s="14" t="s">
        <v>30</v>
      </c>
      <c r="H4" s="14" t="s">
        <v>31</v>
      </c>
      <c r="I4" s="14" t="s">
        <v>28</v>
      </c>
      <c r="J4" s="14" t="s">
        <v>29</v>
      </c>
      <c r="K4" s="14" t="s">
        <v>449</v>
      </c>
      <c r="L4" s="14" t="s">
        <v>450</v>
      </c>
      <c r="M4" s="14" t="s">
        <v>451</v>
      </c>
      <c r="N4" s="14" t="s">
        <v>452</v>
      </c>
      <c r="O4" s="14" t="s">
        <v>453</v>
      </c>
      <c r="P4" s="14" t="s">
        <v>454</v>
      </c>
      <c r="Q4" s="14" t="s">
        <v>455</v>
      </c>
      <c r="R4" s="14" t="s">
        <v>456</v>
      </c>
      <c r="S4" s="14" t="s">
        <v>457</v>
      </c>
      <c r="T4" s="14" t="s">
        <v>458</v>
      </c>
      <c r="U4" s="14" t="s">
        <v>414</v>
      </c>
      <c r="V4" s="14" t="s">
        <v>459</v>
      </c>
      <c r="W4" s="14" t="s">
        <v>460</v>
      </c>
      <c r="X4" s="14" t="s">
        <v>461</v>
      </c>
      <c r="Y4" s="14" t="s">
        <v>462</v>
      </c>
      <c r="Z4" s="14" t="s">
        <v>463</v>
      </c>
      <c r="AA4" s="14" t="s">
        <v>464</v>
      </c>
      <c r="AB4" s="14" t="s">
        <v>465</v>
      </c>
      <c r="AC4" s="14" t="s">
        <v>36</v>
      </c>
      <c r="AD4" s="14" t="s">
        <v>37</v>
      </c>
      <c r="AE4" s="14" t="s">
        <v>38</v>
      </c>
      <c r="AF4" s="14" t="s">
        <v>39</v>
      </c>
      <c r="AG4" s="14" t="s">
        <v>40</v>
      </c>
      <c r="AH4" s="14" t="s">
        <v>41</v>
      </c>
      <c r="AI4" s="14" t="s">
        <v>42</v>
      </c>
      <c r="AJ4" s="14" t="s">
        <v>43</v>
      </c>
      <c r="AK4" s="14" t="s">
        <v>44</v>
      </c>
      <c r="AL4" s="14" t="s">
        <v>45</v>
      </c>
      <c r="AM4" s="14" t="s">
        <v>46</v>
      </c>
      <c r="AN4" s="14" t="s">
        <v>47</v>
      </c>
      <c r="AO4" s="14" t="s">
        <v>48</v>
      </c>
      <c r="AP4" s="101" t="s">
        <v>466</v>
      </c>
    </row>
    <row r="5" spans="1:43" x14ac:dyDescent="0.3">
      <c r="A5" s="17" t="s">
        <v>467</v>
      </c>
      <c r="B5" s="17"/>
      <c r="C5" s="17" t="s">
        <v>468</v>
      </c>
      <c r="D5" s="17" t="s">
        <v>789</v>
      </c>
      <c r="E5" s="17" t="s">
        <v>51</v>
      </c>
      <c r="F5" s="17" t="s">
        <v>51</v>
      </c>
      <c r="G5" s="17" t="s">
        <v>54</v>
      </c>
      <c r="H5" s="17" t="s">
        <v>54</v>
      </c>
      <c r="I5" s="17" t="s">
        <v>53</v>
      </c>
      <c r="J5" s="17" t="s">
        <v>53</v>
      </c>
      <c r="K5" s="17" t="s">
        <v>512</v>
      </c>
      <c r="L5" s="17" t="s">
        <v>512</v>
      </c>
      <c r="M5" s="17" t="s">
        <v>57</v>
      </c>
      <c r="N5" s="17" t="s">
        <v>57</v>
      </c>
      <c r="O5" s="17" t="s">
        <v>470</v>
      </c>
      <c r="P5" s="17" t="s">
        <v>470</v>
      </c>
      <c r="Q5" s="17" t="s">
        <v>471</v>
      </c>
      <c r="R5" s="17" t="s">
        <v>471</v>
      </c>
      <c r="S5" s="17" t="s">
        <v>471</v>
      </c>
      <c r="T5" s="17" t="s">
        <v>471</v>
      </c>
      <c r="U5" s="17" t="s">
        <v>513</v>
      </c>
      <c r="V5" s="17" t="s">
        <v>473</v>
      </c>
      <c r="W5" s="73">
        <v>-5525316</v>
      </c>
      <c r="X5" s="18">
        <v>48</v>
      </c>
      <c r="Y5" s="74" t="s">
        <v>474</v>
      </c>
      <c r="Z5" s="17" t="s">
        <v>475</v>
      </c>
      <c r="AA5" s="17" t="s">
        <v>475</v>
      </c>
      <c r="AB5" s="17" t="s">
        <v>476</v>
      </c>
      <c r="AC5" s="18">
        <v>-460443</v>
      </c>
      <c r="AD5" s="18">
        <v>-460443</v>
      </c>
      <c r="AE5" s="18">
        <v>-460443</v>
      </c>
      <c r="AF5" s="18">
        <v>-460443</v>
      </c>
      <c r="AG5" s="18">
        <v>-460443</v>
      </c>
      <c r="AH5" s="18">
        <v>-460443</v>
      </c>
      <c r="AI5" s="18">
        <v>-460443</v>
      </c>
      <c r="AJ5" s="18">
        <v>-460443</v>
      </c>
      <c r="AK5" s="18">
        <v>-460443</v>
      </c>
      <c r="AL5" s="18">
        <v>-460443</v>
      </c>
      <c r="AM5" s="18">
        <v>-460443</v>
      </c>
      <c r="AN5" s="18">
        <v>-460443</v>
      </c>
      <c r="AO5" s="18">
        <v>-5525316</v>
      </c>
      <c r="AP5" s="103">
        <f>IF(N5="EUR",AO5,IF(N5="GBP",AO5/Rate!$C$3,'2.3 EIL Capex '!AO34/Rate!$C$5))</f>
        <v>-5525316</v>
      </c>
      <c r="AQ5" s="76" t="s">
        <v>1073</v>
      </c>
    </row>
    <row r="6" spans="1:43" x14ac:dyDescent="0.3">
      <c r="A6" s="17" t="s">
        <v>467</v>
      </c>
      <c r="B6" s="17"/>
      <c r="C6" s="17" t="s">
        <v>468</v>
      </c>
      <c r="D6" s="17" t="s">
        <v>744</v>
      </c>
      <c r="E6" s="17" t="s">
        <v>75</v>
      </c>
      <c r="F6" s="17" t="s">
        <v>75</v>
      </c>
      <c r="G6" s="17" t="s">
        <v>54</v>
      </c>
      <c r="H6" s="17" t="s">
        <v>54</v>
      </c>
      <c r="I6" s="17" t="s">
        <v>53</v>
      </c>
      <c r="J6" s="17" t="s">
        <v>53</v>
      </c>
      <c r="K6" s="17" t="s">
        <v>501</v>
      </c>
      <c r="L6" s="17" t="s">
        <v>501</v>
      </c>
      <c r="M6" s="17" t="s">
        <v>57</v>
      </c>
      <c r="N6" s="17" t="s">
        <v>57</v>
      </c>
      <c r="O6" s="17" t="s">
        <v>470</v>
      </c>
      <c r="P6" s="17" t="s">
        <v>470</v>
      </c>
      <c r="Q6" s="17" t="s">
        <v>471</v>
      </c>
      <c r="R6" s="17" t="s">
        <v>471</v>
      </c>
      <c r="S6" s="17" t="s">
        <v>471</v>
      </c>
      <c r="T6" s="17" t="s">
        <v>471</v>
      </c>
      <c r="U6" s="17" t="s">
        <v>502</v>
      </c>
      <c r="V6" s="17" t="s">
        <v>473</v>
      </c>
      <c r="W6" s="73">
        <v>125004</v>
      </c>
      <c r="X6" s="18">
        <v>48</v>
      </c>
      <c r="Y6" s="74" t="s">
        <v>474</v>
      </c>
      <c r="Z6" s="17" t="s">
        <v>475</v>
      </c>
      <c r="AA6" s="17" t="s">
        <v>475</v>
      </c>
      <c r="AB6" s="17" t="s">
        <v>476</v>
      </c>
      <c r="AC6" s="18">
        <v>10417</v>
      </c>
      <c r="AD6" s="18">
        <v>10417</v>
      </c>
      <c r="AE6" s="18">
        <v>10417</v>
      </c>
      <c r="AF6" s="18">
        <v>10417</v>
      </c>
      <c r="AG6" s="18">
        <v>10417</v>
      </c>
      <c r="AH6" s="18">
        <v>10417</v>
      </c>
      <c r="AI6" s="18">
        <v>10417</v>
      </c>
      <c r="AJ6" s="18">
        <v>10417</v>
      </c>
      <c r="AK6" s="18">
        <v>10417</v>
      </c>
      <c r="AL6" s="18">
        <v>10417</v>
      </c>
      <c r="AM6" s="18">
        <v>10417</v>
      </c>
      <c r="AN6" s="18">
        <v>10417</v>
      </c>
      <c r="AO6" s="18">
        <v>125004</v>
      </c>
      <c r="AP6" s="103">
        <f>IF(N6="EUR",AO6,IF(N6="GBP",AO6/Rate!$C$3,'2.3 EIL Capex '!AO25/Rate!$C$5))</f>
        <v>125004</v>
      </c>
    </row>
    <row r="7" spans="1:43" x14ac:dyDescent="0.3">
      <c r="A7" s="17" t="s">
        <v>467</v>
      </c>
      <c r="B7" s="17"/>
      <c r="C7" s="17" t="s">
        <v>468</v>
      </c>
      <c r="D7" s="17" t="s">
        <v>744</v>
      </c>
      <c r="E7" s="17" t="s">
        <v>75</v>
      </c>
      <c r="F7" s="17" t="s">
        <v>75</v>
      </c>
      <c r="G7" s="17" t="s">
        <v>54</v>
      </c>
      <c r="H7" s="17" t="s">
        <v>54</v>
      </c>
      <c r="I7" s="17" t="s">
        <v>53</v>
      </c>
      <c r="J7" s="17" t="s">
        <v>53</v>
      </c>
      <c r="K7" s="17" t="s">
        <v>501</v>
      </c>
      <c r="L7" s="17" t="s">
        <v>501</v>
      </c>
      <c r="M7" s="17" t="s">
        <v>57</v>
      </c>
      <c r="N7" s="17" t="s">
        <v>57</v>
      </c>
      <c r="O7" s="17" t="s">
        <v>470</v>
      </c>
      <c r="P7" s="17" t="s">
        <v>470</v>
      </c>
      <c r="Q7" s="17" t="s">
        <v>471</v>
      </c>
      <c r="R7" s="17" t="s">
        <v>471</v>
      </c>
      <c r="S7" s="17" t="s">
        <v>471</v>
      </c>
      <c r="T7" s="17" t="s">
        <v>471</v>
      </c>
      <c r="U7" s="17" t="s">
        <v>505</v>
      </c>
      <c r="V7" s="17" t="s">
        <v>473</v>
      </c>
      <c r="W7" s="73">
        <v>50004</v>
      </c>
      <c r="X7" s="18">
        <v>48</v>
      </c>
      <c r="Y7" s="74" t="s">
        <v>474</v>
      </c>
      <c r="Z7" s="17" t="s">
        <v>475</v>
      </c>
      <c r="AA7" s="17" t="s">
        <v>475</v>
      </c>
      <c r="AB7" s="17" t="s">
        <v>476</v>
      </c>
      <c r="AC7" s="18">
        <v>4167</v>
      </c>
      <c r="AD7" s="18">
        <v>4167</v>
      </c>
      <c r="AE7" s="18">
        <v>4167</v>
      </c>
      <c r="AF7" s="18">
        <v>4167</v>
      </c>
      <c r="AG7" s="18">
        <v>4167</v>
      </c>
      <c r="AH7" s="18">
        <v>4167</v>
      </c>
      <c r="AI7" s="18">
        <v>4167</v>
      </c>
      <c r="AJ7" s="18">
        <v>4167</v>
      </c>
      <c r="AK7" s="18">
        <v>4167</v>
      </c>
      <c r="AL7" s="18">
        <v>4167</v>
      </c>
      <c r="AM7" s="18">
        <v>4167</v>
      </c>
      <c r="AN7" s="18">
        <v>4167</v>
      </c>
      <c r="AO7" s="18">
        <v>50004</v>
      </c>
      <c r="AP7" s="103">
        <f>IF(N7="EUR",AO7,IF(N7="GBP",AO7/Rate!$C$3,'2.3 EIL Capex '!AO28/Rate!$C$5))</f>
        <v>50004</v>
      </c>
    </row>
    <row r="8" spans="1:43" x14ac:dyDescent="0.3">
      <c r="A8" s="17" t="s">
        <v>467</v>
      </c>
      <c r="B8" s="17"/>
      <c r="C8" s="17" t="s">
        <v>468</v>
      </c>
      <c r="D8" s="17" t="s">
        <v>744</v>
      </c>
      <c r="E8" s="17" t="s">
        <v>75</v>
      </c>
      <c r="F8" s="17" t="s">
        <v>75</v>
      </c>
      <c r="G8" s="17" t="s">
        <v>54</v>
      </c>
      <c r="H8" s="17" t="s">
        <v>54</v>
      </c>
      <c r="I8" s="17" t="s">
        <v>53</v>
      </c>
      <c r="J8" s="17" t="s">
        <v>53</v>
      </c>
      <c r="K8" s="17" t="s">
        <v>501</v>
      </c>
      <c r="L8" s="17" t="s">
        <v>501</v>
      </c>
      <c r="M8" s="17" t="s">
        <v>57</v>
      </c>
      <c r="N8" s="17" t="s">
        <v>57</v>
      </c>
      <c r="O8" s="17" t="s">
        <v>470</v>
      </c>
      <c r="P8" s="17" t="s">
        <v>470</v>
      </c>
      <c r="Q8" s="17" t="s">
        <v>471</v>
      </c>
      <c r="R8" s="17" t="s">
        <v>471</v>
      </c>
      <c r="S8" s="17" t="s">
        <v>471</v>
      </c>
      <c r="T8" s="17" t="s">
        <v>471</v>
      </c>
      <c r="U8" s="17" t="s">
        <v>508</v>
      </c>
      <c r="V8" s="17" t="s">
        <v>473</v>
      </c>
      <c r="W8" s="73">
        <v>99996</v>
      </c>
      <c r="X8" s="18">
        <v>48</v>
      </c>
      <c r="Y8" s="74" t="s">
        <v>474</v>
      </c>
      <c r="Z8" s="17" t="s">
        <v>475</v>
      </c>
      <c r="AA8" s="17" t="s">
        <v>475</v>
      </c>
      <c r="AB8" s="17" t="s">
        <v>476</v>
      </c>
      <c r="AC8" s="18">
        <v>8333</v>
      </c>
      <c r="AD8" s="18">
        <v>8333</v>
      </c>
      <c r="AE8" s="18">
        <v>8333</v>
      </c>
      <c r="AF8" s="18">
        <v>8333</v>
      </c>
      <c r="AG8" s="18">
        <v>8333</v>
      </c>
      <c r="AH8" s="18">
        <v>8333</v>
      </c>
      <c r="AI8" s="18">
        <v>8333</v>
      </c>
      <c r="AJ8" s="18">
        <v>8333</v>
      </c>
      <c r="AK8" s="18">
        <v>8333</v>
      </c>
      <c r="AL8" s="18">
        <v>8333</v>
      </c>
      <c r="AM8" s="18">
        <v>8333</v>
      </c>
      <c r="AN8" s="18">
        <v>8333</v>
      </c>
      <c r="AO8" s="18">
        <v>99996</v>
      </c>
      <c r="AP8" s="103">
        <f>IF(N8="EUR",AO8,IF(N8="GBP",AO8/Rate!$C$3,'2.3 EIL Capex '!AO30/Rate!$C$5))</f>
        <v>99996</v>
      </c>
    </row>
    <row r="9" spans="1:43" x14ac:dyDescent="0.3">
      <c r="A9" s="17" t="s">
        <v>467</v>
      </c>
      <c r="B9" s="17"/>
      <c r="C9" s="17" t="s">
        <v>468</v>
      </c>
      <c r="D9" s="17" t="s">
        <v>744</v>
      </c>
      <c r="E9" s="17" t="s">
        <v>75</v>
      </c>
      <c r="F9" s="17" t="s">
        <v>75</v>
      </c>
      <c r="G9" s="17" t="s">
        <v>54</v>
      </c>
      <c r="H9" s="17" t="s">
        <v>54</v>
      </c>
      <c r="I9" s="17" t="s">
        <v>53</v>
      </c>
      <c r="J9" s="17" t="s">
        <v>53</v>
      </c>
      <c r="K9" s="17" t="s">
        <v>501</v>
      </c>
      <c r="L9" s="17" t="s">
        <v>501</v>
      </c>
      <c r="M9" s="17" t="s">
        <v>57</v>
      </c>
      <c r="N9" s="17" t="s">
        <v>57</v>
      </c>
      <c r="O9" s="17" t="s">
        <v>470</v>
      </c>
      <c r="P9" s="17" t="s">
        <v>470</v>
      </c>
      <c r="Q9" s="17" t="s">
        <v>471</v>
      </c>
      <c r="R9" s="17" t="s">
        <v>471</v>
      </c>
      <c r="S9" s="17" t="s">
        <v>471</v>
      </c>
      <c r="T9" s="17" t="s">
        <v>471</v>
      </c>
      <c r="U9" s="17" t="s">
        <v>514</v>
      </c>
      <c r="V9" s="17" t="s">
        <v>473</v>
      </c>
      <c r="W9" s="73">
        <v>99996</v>
      </c>
      <c r="X9" s="18">
        <v>48</v>
      </c>
      <c r="Y9" s="74" t="s">
        <v>474</v>
      </c>
      <c r="Z9" s="17" t="s">
        <v>475</v>
      </c>
      <c r="AA9" s="17" t="s">
        <v>475</v>
      </c>
      <c r="AB9" s="17" t="s">
        <v>476</v>
      </c>
      <c r="AC9" s="18">
        <v>8333</v>
      </c>
      <c r="AD9" s="18">
        <v>8333</v>
      </c>
      <c r="AE9" s="18">
        <v>8333</v>
      </c>
      <c r="AF9" s="18">
        <v>8333</v>
      </c>
      <c r="AG9" s="18">
        <v>8333</v>
      </c>
      <c r="AH9" s="18">
        <v>8333</v>
      </c>
      <c r="AI9" s="18">
        <v>8333</v>
      </c>
      <c r="AJ9" s="18">
        <v>8333</v>
      </c>
      <c r="AK9" s="18">
        <v>8333</v>
      </c>
      <c r="AL9" s="18">
        <v>8333</v>
      </c>
      <c r="AM9" s="18">
        <v>8333</v>
      </c>
      <c r="AN9" s="18">
        <v>8333</v>
      </c>
      <c r="AO9" s="18">
        <v>99996</v>
      </c>
      <c r="AP9" s="103">
        <f>IF(N9="EUR",AO9,IF(N9="GBP",AO9/Rate!$C$3,'2.3 EIL Capex '!AO35/Rate!$C$5))</f>
        <v>99996</v>
      </c>
    </row>
    <row r="10" spans="1:43" x14ac:dyDescent="0.3">
      <c r="A10" s="17" t="s">
        <v>467</v>
      </c>
      <c r="B10" s="17"/>
      <c r="C10" s="17" t="s">
        <v>468</v>
      </c>
      <c r="D10" s="17" t="s">
        <v>744</v>
      </c>
      <c r="E10" s="17" t="s">
        <v>75</v>
      </c>
      <c r="F10" s="17" t="s">
        <v>75</v>
      </c>
      <c r="G10" s="17" t="s">
        <v>54</v>
      </c>
      <c r="H10" s="17" t="s">
        <v>54</v>
      </c>
      <c r="I10" s="17" t="s">
        <v>53</v>
      </c>
      <c r="J10" s="17" t="s">
        <v>53</v>
      </c>
      <c r="K10" s="17" t="s">
        <v>501</v>
      </c>
      <c r="L10" s="17" t="s">
        <v>501</v>
      </c>
      <c r="M10" s="17" t="s">
        <v>57</v>
      </c>
      <c r="N10" s="17" t="s">
        <v>57</v>
      </c>
      <c r="O10" s="17" t="s">
        <v>470</v>
      </c>
      <c r="P10" s="17" t="s">
        <v>470</v>
      </c>
      <c r="Q10" s="17" t="s">
        <v>471</v>
      </c>
      <c r="R10" s="17" t="s">
        <v>471</v>
      </c>
      <c r="S10" s="17" t="s">
        <v>471</v>
      </c>
      <c r="T10" s="17" t="s">
        <v>471</v>
      </c>
      <c r="U10" s="17" t="s">
        <v>518</v>
      </c>
      <c r="V10" s="17" t="s">
        <v>473</v>
      </c>
      <c r="W10" s="73">
        <v>9996</v>
      </c>
      <c r="X10" s="18">
        <v>48</v>
      </c>
      <c r="Y10" s="74" t="s">
        <v>474</v>
      </c>
      <c r="Z10" s="17" t="s">
        <v>475</v>
      </c>
      <c r="AA10" s="17" t="s">
        <v>475</v>
      </c>
      <c r="AB10" s="17" t="s">
        <v>476</v>
      </c>
      <c r="AC10" s="18">
        <v>833</v>
      </c>
      <c r="AD10" s="18">
        <v>833</v>
      </c>
      <c r="AE10" s="18">
        <v>833</v>
      </c>
      <c r="AF10" s="18">
        <v>833</v>
      </c>
      <c r="AG10" s="18">
        <v>833</v>
      </c>
      <c r="AH10" s="18">
        <v>833</v>
      </c>
      <c r="AI10" s="18">
        <v>833</v>
      </c>
      <c r="AJ10" s="18">
        <v>833</v>
      </c>
      <c r="AK10" s="18">
        <v>833</v>
      </c>
      <c r="AL10" s="18">
        <v>833</v>
      </c>
      <c r="AM10" s="18">
        <v>833</v>
      </c>
      <c r="AN10" s="18">
        <v>833</v>
      </c>
      <c r="AO10" s="18">
        <v>9996</v>
      </c>
      <c r="AP10" s="103">
        <f>IF(N10="EUR",AO10,IF(N10="GBP",AO10/Rate!$C$3,'2.3 EIL Capex '!AO39/Rate!$C$5))</f>
        <v>9996</v>
      </c>
    </row>
    <row r="11" spans="1:43" x14ac:dyDescent="0.3">
      <c r="A11" s="17" t="s">
        <v>467</v>
      </c>
      <c r="B11" s="17"/>
      <c r="C11" s="17" t="s">
        <v>468</v>
      </c>
      <c r="D11" s="17" t="s">
        <v>744</v>
      </c>
      <c r="E11" s="17" t="s">
        <v>75</v>
      </c>
      <c r="F11" s="17" t="s">
        <v>75</v>
      </c>
      <c r="G11" s="17" t="s">
        <v>54</v>
      </c>
      <c r="H11" s="17" t="s">
        <v>54</v>
      </c>
      <c r="I11" s="17" t="s">
        <v>53</v>
      </c>
      <c r="J11" s="17" t="s">
        <v>53</v>
      </c>
      <c r="K11" s="17" t="s">
        <v>501</v>
      </c>
      <c r="L11" s="17" t="s">
        <v>501</v>
      </c>
      <c r="M11" s="17" t="s">
        <v>57</v>
      </c>
      <c r="N11" s="17" t="s">
        <v>57</v>
      </c>
      <c r="O11" s="17" t="s">
        <v>497</v>
      </c>
      <c r="P11" s="17" t="s">
        <v>497</v>
      </c>
      <c r="Q11" s="17" t="s">
        <v>498</v>
      </c>
      <c r="R11" s="17" t="s">
        <v>498</v>
      </c>
      <c r="S11" s="17" t="s">
        <v>499</v>
      </c>
      <c r="T11" s="17" t="s">
        <v>499</v>
      </c>
      <c r="U11" s="17" t="s">
        <v>526</v>
      </c>
      <c r="V11" s="17" t="s">
        <v>473</v>
      </c>
      <c r="W11" s="73">
        <v>219996</v>
      </c>
      <c r="X11" s="18">
        <v>48</v>
      </c>
      <c r="Y11" s="74" t="s">
        <v>474</v>
      </c>
      <c r="Z11" s="17" t="s">
        <v>475</v>
      </c>
      <c r="AA11" s="17" t="s">
        <v>475</v>
      </c>
      <c r="AB11" s="17" t="s">
        <v>476</v>
      </c>
      <c r="AC11" s="18">
        <v>18333</v>
      </c>
      <c r="AD11" s="18">
        <v>18333</v>
      </c>
      <c r="AE11" s="18">
        <v>18333</v>
      </c>
      <c r="AF11" s="18">
        <v>18333</v>
      </c>
      <c r="AG11" s="18">
        <v>18333</v>
      </c>
      <c r="AH11" s="18">
        <v>18333</v>
      </c>
      <c r="AI11" s="18">
        <v>18333</v>
      </c>
      <c r="AJ11" s="18">
        <v>18333</v>
      </c>
      <c r="AK11" s="18">
        <v>18333</v>
      </c>
      <c r="AL11" s="18">
        <v>18333</v>
      </c>
      <c r="AM11" s="18">
        <v>18333</v>
      </c>
      <c r="AN11" s="18">
        <v>18333</v>
      </c>
      <c r="AO11" s="18">
        <v>219996</v>
      </c>
      <c r="AP11" s="103">
        <f>IF(N11="EUR",AO11,IF(N11="GBP",AO11/Rate!$C$3,'2.3 EIL Capex '!AO45/Rate!$C$5))</f>
        <v>219996</v>
      </c>
    </row>
    <row r="12" spans="1:43" x14ac:dyDescent="0.3">
      <c r="A12" s="17" t="s">
        <v>467</v>
      </c>
      <c r="B12" s="17"/>
      <c r="C12" s="17" t="s">
        <v>468</v>
      </c>
      <c r="D12" s="17" t="s">
        <v>744</v>
      </c>
      <c r="E12" s="17" t="s">
        <v>75</v>
      </c>
      <c r="F12" s="17" t="s">
        <v>75</v>
      </c>
      <c r="G12" s="17" t="s">
        <v>54</v>
      </c>
      <c r="H12" s="17" t="s">
        <v>54</v>
      </c>
      <c r="I12" s="17" t="s">
        <v>53</v>
      </c>
      <c r="J12" s="17" t="s">
        <v>53</v>
      </c>
      <c r="K12" s="17" t="s">
        <v>501</v>
      </c>
      <c r="L12" s="17" t="s">
        <v>501</v>
      </c>
      <c r="M12" s="17" t="s">
        <v>57</v>
      </c>
      <c r="N12" s="17" t="s">
        <v>57</v>
      </c>
      <c r="O12" s="17" t="s">
        <v>470</v>
      </c>
      <c r="P12" s="17" t="s">
        <v>470</v>
      </c>
      <c r="Q12" s="17" t="s">
        <v>471</v>
      </c>
      <c r="R12" s="17" t="s">
        <v>471</v>
      </c>
      <c r="S12" s="17" t="s">
        <v>471</v>
      </c>
      <c r="T12" s="17" t="s">
        <v>471</v>
      </c>
      <c r="U12" s="17" t="s">
        <v>527</v>
      </c>
      <c r="V12" s="17" t="s">
        <v>473</v>
      </c>
      <c r="W12" s="73">
        <v>60000</v>
      </c>
      <c r="X12" s="18">
        <v>48</v>
      </c>
      <c r="Y12" s="74" t="s">
        <v>474</v>
      </c>
      <c r="Z12" s="17" t="s">
        <v>475</v>
      </c>
      <c r="AA12" s="17" t="s">
        <v>475</v>
      </c>
      <c r="AB12" s="17" t="s">
        <v>476</v>
      </c>
      <c r="AC12" s="18">
        <v>5000</v>
      </c>
      <c r="AD12" s="18">
        <v>5000</v>
      </c>
      <c r="AE12" s="18">
        <v>5000</v>
      </c>
      <c r="AF12" s="18">
        <v>5000</v>
      </c>
      <c r="AG12" s="18">
        <v>5000</v>
      </c>
      <c r="AH12" s="18">
        <v>5000</v>
      </c>
      <c r="AI12" s="18">
        <v>5000</v>
      </c>
      <c r="AJ12" s="18">
        <v>5000</v>
      </c>
      <c r="AK12" s="18">
        <v>5000</v>
      </c>
      <c r="AL12" s="18">
        <v>5000</v>
      </c>
      <c r="AM12" s="18">
        <v>5000</v>
      </c>
      <c r="AN12" s="18">
        <v>5000</v>
      </c>
      <c r="AO12" s="18">
        <v>60000</v>
      </c>
      <c r="AP12" s="103">
        <f>IF(N12="EUR",AO12,IF(N12="GBP",AO12/Rate!$C$3,'2.3 EIL Capex '!AO46/Rate!$C$5))</f>
        <v>60000</v>
      </c>
    </row>
    <row r="13" spans="1:43" x14ac:dyDescent="0.3">
      <c r="A13" s="17" t="s">
        <v>467</v>
      </c>
      <c r="B13" s="17"/>
      <c r="C13" s="17" t="s">
        <v>468</v>
      </c>
      <c r="D13" s="17" t="s">
        <v>744</v>
      </c>
      <c r="E13" s="17" t="s">
        <v>75</v>
      </c>
      <c r="F13" s="17" t="s">
        <v>75</v>
      </c>
      <c r="G13" s="17" t="s">
        <v>54</v>
      </c>
      <c r="H13" s="17" t="s">
        <v>54</v>
      </c>
      <c r="I13" s="17" t="s">
        <v>53</v>
      </c>
      <c r="J13" s="17" t="s">
        <v>53</v>
      </c>
      <c r="K13" s="17" t="s">
        <v>501</v>
      </c>
      <c r="L13" s="17" t="s">
        <v>501</v>
      </c>
      <c r="M13" s="17" t="s">
        <v>57</v>
      </c>
      <c r="N13" s="17" t="s">
        <v>57</v>
      </c>
      <c r="O13" s="17" t="s">
        <v>470</v>
      </c>
      <c r="P13" s="17" t="s">
        <v>470</v>
      </c>
      <c r="Q13" s="17" t="s">
        <v>471</v>
      </c>
      <c r="R13" s="17" t="s">
        <v>471</v>
      </c>
      <c r="S13" s="17" t="s">
        <v>471</v>
      </c>
      <c r="T13" s="17" t="s">
        <v>471</v>
      </c>
      <c r="U13" s="17" t="s">
        <v>529</v>
      </c>
      <c r="V13" s="17" t="s">
        <v>473</v>
      </c>
      <c r="W13" s="73">
        <v>60000</v>
      </c>
      <c r="X13" s="18">
        <v>48</v>
      </c>
      <c r="Y13" s="74" t="s">
        <v>474</v>
      </c>
      <c r="Z13" s="17" t="s">
        <v>475</v>
      </c>
      <c r="AA13" s="17" t="s">
        <v>475</v>
      </c>
      <c r="AB13" s="17" t="s">
        <v>476</v>
      </c>
      <c r="AC13" s="18">
        <v>5000</v>
      </c>
      <c r="AD13" s="18">
        <v>5000</v>
      </c>
      <c r="AE13" s="18">
        <v>5000</v>
      </c>
      <c r="AF13" s="18">
        <v>5000</v>
      </c>
      <c r="AG13" s="18">
        <v>5000</v>
      </c>
      <c r="AH13" s="18">
        <v>5000</v>
      </c>
      <c r="AI13" s="18">
        <v>5000</v>
      </c>
      <c r="AJ13" s="18">
        <v>5000</v>
      </c>
      <c r="AK13" s="18">
        <v>5000</v>
      </c>
      <c r="AL13" s="18">
        <v>5000</v>
      </c>
      <c r="AM13" s="18">
        <v>5000</v>
      </c>
      <c r="AN13" s="18">
        <v>5000</v>
      </c>
      <c r="AO13" s="18">
        <v>60000</v>
      </c>
      <c r="AP13" s="103">
        <f>IF(N13="EUR",AO13,IF(N13="GBP",AO13/Rate!$C$3,'2.3 EIL Capex '!AO48/Rate!$C$5))</f>
        <v>60000</v>
      </c>
    </row>
    <row r="14" spans="1:43" x14ac:dyDescent="0.3">
      <c r="A14" s="17" t="s">
        <v>467</v>
      </c>
      <c r="B14" s="17"/>
      <c r="C14" s="17" t="s">
        <v>468</v>
      </c>
      <c r="D14" s="17" t="s">
        <v>744</v>
      </c>
      <c r="E14" s="17" t="s">
        <v>75</v>
      </c>
      <c r="F14" s="17" t="s">
        <v>75</v>
      </c>
      <c r="G14" s="17" t="s">
        <v>54</v>
      </c>
      <c r="H14" s="17" t="s">
        <v>54</v>
      </c>
      <c r="I14" s="17" t="s">
        <v>53</v>
      </c>
      <c r="J14" s="17" t="s">
        <v>53</v>
      </c>
      <c r="K14" s="17" t="s">
        <v>501</v>
      </c>
      <c r="L14" s="17" t="s">
        <v>501</v>
      </c>
      <c r="M14" s="17" t="s">
        <v>57</v>
      </c>
      <c r="N14" s="17" t="s">
        <v>57</v>
      </c>
      <c r="O14" s="17" t="s">
        <v>470</v>
      </c>
      <c r="P14" s="17" t="s">
        <v>470</v>
      </c>
      <c r="Q14" s="17" t="s">
        <v>471</v>
      </c>
      <c r="R14" s="17" t="s">
        <v>471</v>
      </c>
      <c r="S14" s="17" t="s">
        <v>471</v>
      </c>
      <c r="T14" s="17" t="s">
        <v>471</v>
      </c>
      <c r="U14" s="17" t="s">
        <v>530</v>
      </c>
      <c r="V14" s="17" t="s">
        <v>473</v>
      </c>
      <c r="W14" s="73">
        <v>90000</v>
      </c>
      <c r="X14" s="18">
        <v>48</v>
      </c>
      <c r="Y14" s="74" t="s">
        <v>474</v>
      </c>
      <c r="Z14" s="17" t="s">
        <v>475</v>
      </c>
      <c r="AA14" s="17" t="s">
        <v>475</v>
      </c>
      <c r="AB14" s="17" t="s">
        <v>476</v>
      </c>
      <c r="AC14" s="18">
        <v>7500</v>
      </c>
      <c r="AD14" s="18">
        <v>7500</v>
      </c>
      <c r="AE14" s="18">
        <v>7500</v>
      </c>
      <c r="AF14" s="18">
        <v>7500</v>
      </c>
      <c r="AG14" s="18">
        <v>7500</v>
      </c>
      <c r="AH14" s="18">
        <v>7500</v>
      </c>
      <c r="AI14" s="18">
        <v>7500</v>
      </c>
      <c r="AJ14" s="18">
        <v>7500</v>
      </c>
      <c r="AK14" s="18">
        <v>7500</v>
      </c>
      <c r="AL14" s="18">
        <v>7500</v>
      </c>
      <c r="AM14" s="18">
        <v>7500</v>
      </c>
      <c r="AN14" s="18">
        <v>7500</v>
      </c>
      <c r="AO14" s="18">
        <v>90000</v>
      </c>
      <c r="AP14" s="103">
        <f>IF(N14="EUR",AO14,IF(N14="GBP",AO14/Rate!$C$3,'2.3 EIL Capex '!AO49/Rate!$C$5))</f>
        <v>90000</v>
      </c>
    </row>
    <row r="15" spans="1:43" x14ac:dyDescent="0.3">
      <c r="A15" s="17" t="s">
        <v>467</v>
      </c>
      <c r="B15" s="17"/>
      <c r="C15" s="17" t="s">
        <v>468</v>
      </c>
      <c r="D15" s="17" t="s">
        <v>744</v>
      </c>
      <c r="E15" s="17" t="s">
        <v>75</v>
      </c>
      <c r="F15" s="17" t="s">
        <v>75</v>
      </c>
      <c r="G15" s="17" t="s">
        <v>54</v>
      </c>
      <c r="H15" s="17" t="s">
        <v>54</v>
      </c>
      <c r="I15" s="17" t="s">
        <v>53</v>
      </c>
      <c r="J15" s="17" t="s">
        <v>53</v>
      </c>
      <c r="K15" s="17" t="s">
        <v>501</v>
      </c>
      <c r="L15" s="17" t="s">
        <v>501</v>
      </c>
      <c r="M15" s="17" t="s">
        <v>57</v>
      </c>
      <c r="N15" s="17" t="s">
        <v>57</v>
      </c>
      <c r="O15" s="17" t="s">
        <v>470</v>
      </c>
      <c r="P15" s="17" t="s">
        <v>470</v>
      </c>
      <c r="Q15" s="17" t="s">
        <v>471</v>
      </c>
      <c r="R15" s="17" t="s">
        <v>471</v>
      </c>
      <c r="S15" s="17" t="s">
        <v>471</v>
      </c>
      <c r="T15" s="17" t="s">
        <v>471</v>
      </c>
      <c r="U15" s="17" t="s">
        <v>535</v>
      </c>
      <c r="V15" s="17" t="s">
        <v>473</v>
      </c>
      <c r="W15" s="73">
        <v>60000</v>
      </c>
      <c r="X15" s="18">
        <v>48</v>
      </c>
      <c r="Y15" s="74" t="s">
        <v>474</v>
      </c>
      <c r="Z15" s="17" t="s">
        <v>475</v>
      </c>
      <c r="AA15" s="17" t="s">
        <v>475</v>
      </c>
      <c r="AB15" s="17" t="s">
        <v>476</v>
      </c>
      <c r="AC15" s="18">
        <v>5000</v>
      </c>
      <c r="AD15" s="18">
        <v>5000</v>
      </c>
      <c r="AE15" s="18">
        <v>5000</v>
      </c>
      <c r="AF15" s="18">
        <v>5000</v>
      </c>
      <c r="AG15" s="18">
        <v>5000</v>
      </c>
      <c r="AH15" s="18">
        <v>5000</v>
      </c>
      <c r="AI15" s="18">
        <v>5000</v>
      </c>
      <c r="AJ15" s="18">
        <v>5000</v>
      </c>
      <c r="AK15" s="18">
        <v>5000</v>
      </c>
      <c r="AL15" s="18">
        <v>5000</v>
      </c>
      <c r="AM15" s="18">
        <v>5000</v>
      </c>
      <c r="AN15" s="18">
        <v>5000</v>
      </c>
      <c r="AO15" s="18">
        <v>60000</v>
      </c>
      <c r="AP15" s="103">
        <f>IF(N15="EUR",AO15,IF(N15="GBP",AO15/Rate!$C$3,'2.3 EIL Capex '!AO54/Rate!$C$5))</f>
        <v>60000</v>
      </c>
    </row>
    <row r="16" spans="1:43" x14ac:dyDescent="0.3">
      <c r="A16" s="17" t="s">
        <v>467</v>
      </c>
      <c r="B16" s="17"/>
      <c r="C16" s="17" t="s">
        <v>468</v>
      </c>
      <c r="D16" s="17" t="s">
        <v>744</v>
      </c>
      <c r="E16" s="17" t="s">
        <v>75</v>
      </c>
      <c r="F16" s="17" t="s">
        <v>75</v>
      </c>
      <c r="G16" s="17" t="s">
        <v>54</v>
      </c>
      <c r="H16" s="17" t="s">
        <v>54</v>
      </c>
      <c r="I16" s="17" t="s">
        <v>53</v>
      </c>
      <c r="J16" s="17" t="s">
        <v>53</v>
      </c>
      <c r="K16" s="17" t="s">
        <v>501</v>
      </c>
      <c r="L16" s="17" t="s">
        <v>501</v>
      </c>
      <c r="M16" s="17" t="s">
        <v>57</v>
      </c>
      <c r="N16" s="17" t="s">
        <v>57</v>
      </c>
      <c r="O16" s="17" t="s">
        <v>497</v>
      </c>
      <c r="P16" s="17" t="s">
        <v>497</v>
      </c>
      <c r="Q16" s="17" t="s">
        <v>498</v>
      </c>
      <c r="R16" s="17" t="s">
        <v>498</v>
      </c>
      <c r="S16" s="17" t="s">
        <v>499</v>
      </c>
      <c r="T16" s="17" t="s">
        <v>499</v>
      </c>
      <c r="U16" s="17" t="s">
        <v>542</v>
      </c>
      <c r="V16" s="17" t="s">
        <v>473</v>
      </c>
      <c r="W16" s="73">
        <v>401268</v>
      </c>
      <c r="X16" s="18">
        <v>48</v>
      </c>
      <c r="Y16" s="74" t="s">
        <v>474</v>
      </c>
      <c r="Z16" s="17" t="s">
        <v>475</v>
      </c>
      <c r="AA16" s="17" t="s">
        <v>475</v>
      </c>
      <c r="AB16" s="17" t="s">
        <v>476</v>
      </c>
      <c r="AC16" s="18">
        <v>33439</v>
      </c>
      <c r="AD16" s="18">
        <v>33439</v>
      </c>
      <c r="AE16" s="18">
        <v>33439</v>
      </c>
      <c r="AF16" s="18">
        <v>33439</v>
      </c>
      <c r="AG16" s="18">
        <v>33439</v>
      </c>
      <c r="AH16" s="18">
        <v>33439</v>
      </c>
      <c r="AI16" s="18">
        <v>33439</v>
      </c>
      <c r="AJ16" s="18">
        <v>33439</v>
      </c>
      <c r="AK16" s="18">
        <v>33439</v>
      </c>
      <c r="AL16" s="18">
        <v>33439</v>
      </c>
      <c r="AM16" s="18">
        <v>33439</v>
      </c>
      <c r="AN16" s="18">
        <v>33439</v>
      </c>
      <c r="AO16" s="18">
        <v>401268</v>
      </c>
      <c r="AP16" s="103">
        <f>IF(N16="EUR",AO16,IF(N16="GBP",AO16/Rate!$C$3,'2.3 EIL Capex '!AO59/Rate!$C$5))</f>
        <v>401268</v>
      </c>
    </row>
    <row r="17" spans="1:42" x14ac:dyDescent="0.3">
      <c r="A17" s="17" t="s">
        <v>467</v>
      </c>
      <c r="B17" s="17"/>
      <c r="C17" s="17" t="s">
        <v>468</v>
      </c>
      <c r="D17" s="17" t="s">
        <v>744</v>
      </c>
      <c r="E17" s="17" t="s">
        <v>75</v>
      </c>
      <c r="F17" s="17" t="s">
        <v>75</v>
      </c>
      <c r="G17" s="17" t="s">
        <v>54</v>
      </c>
      <c r="H17" s="17" t="s">
        <v>54</v>
      </c>
      <c r="I17" s="17" t="s">
        <v>53</v>
      </c>
      <c r="J17" s="17" t="s">
        <v>53</v>
      </c>
      <c r="K17" s="17" t="s">
        <v>501</v>
      </c>
      <c r="L17" s="17" t="s">
        <v>501</v>
      </c>
      <c r="M17" s="17" t="s">
        <v>57</v>
      </c>
      <c r="N17" s="17" t="s">
        <v>57</v>
      </c>
      <c r="O17" s="17" t="s">
        <v>470</v>
      </c>
      <c r="P17" s="17" t="s">
        <v>470</v>
      </c>
      <c r="Q17" s="17" t="s">
        <v>471</v>
      </c>
      <c r="R17" s="17" t="s">
        <v>471</v>
      </c>
      <c r="S17" s="17" t="s">
        <v>471</v>
      </c>
      <c r="T17" s="17" t="s">
        <v>471</v>
      </c>
      <c r="U17" s="17" t="s">
        <v>543</v>
      </c>
      <c r="V17" s="17" t="s">
        <v>473</v>
      </c>
      <c r="W17" s="73">
        <v>9996</v>
      </c>
      <c r="X17" s="18">
        <v>48</v>
      </c>
      <c r="Y17" s="74" t="s">
        <v>474</v>
      </c>
      <c r="Z17" s="17" t="s">
        <v>475</v>
      </c>
      <c r="AA17" s="17" t="s">
        <v>475</v>
      </c>
      <c r="AB17" s="17" t="s">
        <v>476</v>
      </c>
      <c r="AC17" s="18">
        <v>833</v>
      </c>
      <c r="AD17" s="18">
        <v>833</v>
      </c>
      <c r="AE17" s="18">
        <v>833</v>
      </c>
      <c r="AF17" s="18">
        <v>833</v>
      </c>
      <c r="AG17" s="18">
        <v>833</v>
      </c>
      <c r="AH17" s="18">
        <v>833</v>
      </c>
      <c r="AI17" s="18">
        <v>833</v>
      </c>
      <c r="AJ17" s="18">
        <v>833</v>
      </c>
      <c r="AK17" s="18">
        <v>833</v>
      </c>
      <c r="AL17" s="18">
        <v>833</v>
      </c>
      <c r="AM17" s="18">
        <v>833</v>
      </c>
      <c r="AN17" s="18">
        <v>833</v>
      </c>
      <c r="AO17" s="18">
        <v>9996</v>
      </c>
      <c r="AP17" s="103">
        <f>IF(N17="EUR",AO17,IF(N17="GBP",AO17/Rate!$C$3,'2.3 EIL Capex '!AO60/Rate!$C$5))</f>
        <v>9996</v>
      </c>
    </row>
    <row r="18" spans="1:42" x14ac:dyDescent="0.3">
      <c r="A18" s="17" t="s">
        <v>467</v>
      </c>
      <c r="B18" s="17"/>
      <c r="C18" s="17" t="s">
        <v>468</v>
      </c>
      <c r="D18" s="17" t="s">
        <v>744</v>
      </c>
      <c r="E18" s="17" t="s">
        <v>75</v>
      </c>
      <c r="F18" s="17" t="s">
        <v>75</v>
      </c>
      <c r="G18" s="17" t="s">
        <v>54</v>
      </c>
      <c r="H18" s="17" t="s">
        <v>54</v>
      </c>
      <c r="I18" s="17" t="s">
        <v>53</v>
      </c>
      <c r="J18" s="17" t="s">
        <v>53</v>
      </c>
      <c r="K18" s="17" t="s">
        <v>501</v>
      </c>
      <c r="L18" s="17" t="s">
        <v>501</v>
      </c>
      <c r="M18" s="17" t="s">
        <v>57</v>
      </c>
      <c r="N18" s="17" t="s">
        <v>57</v>
      </c>
      <c r="O18" s="17" t="s">
        <v>470</v>
      </c>
      <c r="P18" s="17" t="s">
        <v>470</v>
      </c>
      <c r="Q18" s="17" t="s">
        <v>471</v>
      </c>
      <c r="R18" s="17" t="s">
        <v>471</v>
      </c>
      <c r="S18" s="17" t="s">
        <v>471</v>
      </c>
      <c r="T18" s="17" t="s">
        <v>471</v>
      </c>
      <c r="U18" s="17" t="s">
        <v>546</v>
      </c>
      <c r="V18" s="17" t="s">
        <v>473</v>
      </c>
      <c r="W18" s="73">
        <v>200004</v>
      </c>
      <c r="X18" s="18">
        <v>48</v>
      </c>
      <c r="Y18" s="74" t="s">
        <v>474</v>
      </c>
      <c r="Z18" s="17" t="s">
        <v>475</v>
      </c>
      <c r="AA18" s="17" t="s">
        <v>475</v>
      </c>
      <c r="AB18" s="17" t="s">
        <v>476</v>
      </c>
      <c r="AC18" s="18">
        <v>16667</v>
      </c>
      <c r="AD18" s="18">
        <v>16667</v>
      </c>
      <c r="AE18" s="18">
        <v>16667</v>
      </c>
      <c r="AF18" s="18">
        <v>16667</v>
      </c>
      <c r="AG18" s="18">
        <v>16667</v>
      </c>
      <c r="AH18" s="18">
        <v>16667</v>
      </c>
      <c r="AI18" s="18">
        <v>16667</v>
      </c>
      <c r="AJ18" s="18">
        <v>16667</v>
      </c>
      <c r="AK18" s="18">
        <v>16667</v>
      </c>
      <c r="AL18" s="18">
        <v>16667</v>
      </c>
      <c r="AM18" s="18">
        <v>16667</v>
      </c>
      <c r="AN18" s="18">
        <v>16667</v>
      </c>
      <c r="AO18" s="18">
        <v>200004</v>
      </c>
      <c r="AP18" s="103">
        <f>IF(N18="EUR",AO18,IF(N18="GBP",AO18/Rate!$C$3,'2.3 EIL Capex '!AO63/Rate!$C$5))</f>
        <v>200004</v>
      </c>
    </row>
    <row r="19" spans="1:42" x14ac:dyDescent="0.3">
      <c r="A19" s="17" t="s">
        <v>467</v>
      </c>
      <c r="B19" s="17"/>
      <c r="C19" s="17" t="s">
        <v>468</v>
      </c>
      <c r="D19" s="17" t="s">
        <v>744</v>
      </c>
      <c r="E19" s="17" t="s">
        <v>75</v>
      </c>
      <c r="F19" s="17" t="s">
        <v>75</v>
      </c>
      <c r="G19" s="17" t="s">
        <v>54</v>
      </c>
      <c r="H19" s="17" t="s">
        <v>54</v>
      </c>
      <c r="I19" s="17" t="s">
        <v>53</v>
      </c>
      <c r="J19" s="17" t="s">
        <v>53</v>
      </c>
      <c r="K19" s="17" t="s">
        <v>501</v>
      </c>
      <c r="L19" s="17" t="s">
        <v>501</v>
      </c>
      <c r="M19" s="17" t="s">
        <v>57</v>
      </c>
      <c r="N19" s="17" t="s">
        <v>57</v>
      </c>
      <c r="O19" s="17" t="s">
        <v>470</v>
      </c>
      <c r="P19" s="17" t="s">
        <v>470</v>
      </c>
      <c r="Q19" s="17" t="s">
        <v>471</v>
      </c>
      <c r="R19" s="17" t="s">
        <v>471</v>
      </c>
      <c r="S19" s="17" t="s">
        <v>471</v>
      </c>
      <c r="T19" s="17" t="s">
        <v>471</v>
      </c>
      <c r="U19" s="17" t="s">
        <v>552</v>
      </c>
      <c r="V19" s="17" t="s">
        <v>473</v>
      </c>
      <c r="W19" s="73">
        <v>99996</v>
      </c>
      <c r="X19" s="18">
        <v>48</v>
      </c>
      <c r="Y19" s="74" t="s">
        <v>474</v>
      </c>
      <c r="Z19" s="17" t="s">
        <v>475</v>
      </c>
      <c r="AA19" s="17" t="s">
        <v>475</v>
      </c>
      <c r="AB19" s="17" t="s">
        <v>476</v>
      </c>
      <c r="AC19" s="18">
        <v>8333</v>
      </c>
      <c r="AD19" s="18">
        <v>8333</v>
      </c>
      <c r="AE19" s="18">
        <v>8333</v>
      </c>
      <c r="AF19" s="18">
        <v>8333</v>
      </c>
      <c r="AG19" s="18">
        <v>8333</v>
      </c>
      <c r="AH19" s="18">
        <v>8333</v>
      </c>
      <c r="AI19" s="18">
        <v>8333</v>
      </c>
      <c r="AJ19" s="18">
        <v>8333</v>
      </c>
      <c r="AK19" s="18">
        <v>8333</v>
      </c>
      <c r="AL19" s="18">
        <v>8333</v>
      </c>
      <c r="AM19" s="18">
        <v>8333</v>
      </c>
      <c r="AN19" s="18">
        <v>8333</v>
      </c>
      <c r="AO19" s="18">
        <v>99996</v>
      </c>
      <c r="AP19" s="103">
        <f>IF(N19="EUR",AO19,IF(N19="GBP",AO19/Rate!$C$3,'2.3 EIL Capex '!AO69/Rate!$C$5))</f>
        <v>99996</v>
      </c>
    </row>
    <row r="20" spans="1:42" x14ac:dyDescent="0.3">
      <c r="A20" s="17" t="s">
        <v>467</v>
      </c>
      <c r="B20" s="17"/>
      <c r="C20" s="17" t="s">
        <v>468</v>
      </c>
      <c r="D20" s="17" t="s">
        <v>744</v>
      </c>
      <c r="E20" s="17" t="s">
        <v>75</v>
      </c>
      <c r="F20" s="17" t="s">
        <v>75</v>
      </c>
      <c r="G20" s="17" t="s">
        <v>54</v>
      </c>
      <c r="H20" s="17" t="s">
        <v>54</v>
      </c>
      <c r="I20" s="17" t="s">
        <v>53</v>
      </c>
      <c r="J20" s="17" t="s">
        <v>53</v>
      </c>
      <c r="K20" s="17" t="s">
        <v>501</v>
      </c>
      <c r="L20" s="17" t="s">
        <v>501</v>
      </c>
      <c r="M20" s="17" t="s">
        <v>57</v>
      </c>
      <c r="N20" s="17" t="s">
        <v>57</v>
      </c>
      <c r="O20" s="17" t="s">
        <v>470</v>
      </c>
      <c r="P20" s="17" t="s">
        <v>470</v>
      </c>
      <c r="Q20" s="17" t="s">
        <v>471</v>
      </c>
      <c r="R20" s="17" t="s">
        <v>471</v>
      </c>
      <c r="S20" s="17" t="s">
        <v>471</v>
      </c>
      <c r="T20" s="17" t="s">
        <v>471</v>
      </c>
      <c r="U20" s="17" t="s">
        <v>554</v>
      </c>
      <c r="V20" s="17" t="s">
        <v>473</v>
      </c>
      <c r="W20" s="73">
        <v>174996</v>
      </c>
      <c r="X20" s="18">
        <v>48</v>
      </c>
      <c r="Y20" s="74" t="s">
        <v>474</v>
      </c>
      <c r="Z20" s="17" t="s">
        <v>475</v>
      </c>
      <c r="AA20" s="17" t="s">
        <v>475</v>
      </c>
      <c r="AB20" s="17" t="s">
        <v>476</v>
      </c>
      <c r="AC20" s="18">
        <v>14583</v>
      </c>
      <c r="AD20" s="18">
        <v>14583</v>
      </c>
      <c r="AE20" s="18">
        <v>14583</v>
      </c>
      <c r="AF20" s="18">
        <v>14583</v>
      </c>
      <c r="AG20" s="18">
        <v>14583</v>
      </c>
      <c r="AH20" s="18">
        <v>14583</v>
      </c>
      <c r="AI20" s="18">
        <v>14583</v>
      </c>
      <c r="AJ20" s="18">
        <v>14583</v>
      </c>
      <c r="AK20" s="18">
        <v>14583</v>
      </c>
      <c r="AL20" s="18">
        <v>14583</v>
      </c>
      <c r="AM20" s="18">
        <v>14583</v>
      </c>
      <c r="AN20" s="18">
        <v>14583</v>
      </c>
      <c r="AO20" s="18">
        <v>174996</v>
      </c>
      <c r="AP20" s="103">
        <f>IF(N20="EUR",AO20,IF(N20="GBP",AO20/Rate!$C$3,'2.3 EIL Capex '!AO71/Rate!$C$5))</f>
        <v>174996</v>
      </c>
    </row>
    <row r="21" spans="1:42" x14ac:dyDescent="0.3">
      <c r="A21" s="17" t="s">
        <v>467</v>
      </c>
      <c r="B21" s="17"/>
      <c r="C21" s="17" t="s">
        <v>468</v>
      </c>
      <c r="D21" s="17" t="s">
        <v>744</v>
      </c>
      <c r="E21" s="17" t="s">
        <v>75</v>
      </c>
      <c r="F21" s="17" t="s">
        <v>75</v>
      </c>
      <c r="G21" s="17" t="s">
        <v>54</v>
      </c>
      <c r="H21" s="17" t="s">
        <v>54</v>
      </c>
      <c r="I21" s="17" t="s">
        <v>53</v>
      </c>
      <c r="J21" s="17" t="s">
        <v>53</v>
      </c>
      <c r="K21" s="17" t="s">
        <v>501</v>
      </c>
      <c r="L21" s="17" t="s">
        <v>501</v>
      </c>
      <c r="M21" s="17" t="s">
        <v>57</v>
      </c>
      <c r="N21" s="17" t="s">
        <v>57</v>
      </c>
      <c r="O21" s="17" t="s">
        <v>470</v>
      </c>
      <c r="P21" s="17" t="s">
        <v>470</v>
      </c>
      <c r="Q21" s="17" t="s">
        <v>471</v>
      </c>
      <c r="R21" s="17" t="s">
        <v>471</v>
      </c>
      <c r="S21" s="17" t="s">
        <v>471</v>
      </c>
      <c r="T21" s="17" t="s">
        <v>471</v>
      </c>
      <c r="U21" s="17" t="s">
        <v>555</v>
      </c>
      <c r="V21" s="17" t="s">
        <v>473</v>
      </c>
      <c r="W21" s="73">
        <v>129996</v>
      </c>
      <c r="X21" s="18">
        <v>48</v>
      </c>
      <c r="Y21" s="74" t="s">
        <v>474</v>
      </c>
      <c r="Z21" s="17" t="s">
        <v>475</v>
      </c>
      <c r="AA21" s="17" t="s">
        <v>475</v>
      </c>
      <c r="AB21" s="17" t="s">
        <v>476</v>
      </c>
      <c r="AC21" s="18">
        <v>10833</v>
      </c>
      <c r="AD21" s="18">
        <v>10833</v>
      </c>
      <c r="AE21" s="18">
        <v>10833</v>
      </c>
      <c r="AF21" s="18">
        <v>10833</v>
      </c>
      <c r="AG21" s="18">
        <v>10833</v>
      </c>
      <c r="AH21" s="18">
        <v>10833</v>
      </c>
      <c r="AI21" s="18">
        <v>10833</v>
      </c>
      <c r="AJ21" s="18">
        <v>10833</v>
      </c>
      <c r="AK21" s="18">
        <v>10833</v>
      </c>
      <c r="AL21" s="18">
        <v>10833</v>
      </c>
      <c r="AM21" s="18">
        <v>10833</v>
      </c>
      <c r="AN21" s="18">
        <v>10833</v>
      </c>
      <c r="AO21" s="18">
        <v>129996</v>
      </c>
      <c r="AP21" s="103">
        <f>IF(N21="EUR",AO21,IF(N21="GBP",AO21/Rate!$C$3,'2.3 EIL Capex '!AO72/Rate!$C$5))</f>
        <v>129996</v>
      </c>
    </row>
    <row r="22" spans="1:42" x14ac:dyDescent="0.3">
      <c r="A22" s="17" t="s">
        <v>467</v>
      </c>
      <c r="B22" s="17"/>
      <c r="C22" s="17" t="s">
        <v>468</v>
      </c>
      <c r="D22" s="17" t="s">
        <v>744</v>
      </c>
      <c r="E22" s="17" t="s">
        <v>75</v>
      </c>
      <c r="F22" s="17" t="s">
        <v>75</v>
      </c>
      <c r="G22" s="17" t="s">
        <v>54</v>
      </c>
      <c r="H22" s="17" t="s">
        <v>54</v>
      </c>
      <c r="I22" s="17" t="s">
        <v>53</v>
      </c>
      <c r="J22" s="17" t="s">
        <v>53</v>
      </c>
      <c r="K22" s="17" t="s">
        <v>501</v>
      </c>
      <c r="L22" s="17" t="s">
        <v>501</v>
      </c>
      <c r="M22" s="17" t="s">
        <v>57</v>
      </c>
      <c r="N22" s="17" t="s">
        <v>57</v>
      </c>
      <c r="O22" s="17" t="s">
        <v>470</v>
      </c>
      <c r="P22" s="17" t="s">
        <v>470</v>
      </c>
      <c r="Q22" s="17" t="s">
        <v>471</v>
      </c>
      <c r="R22" s="17" t="s">
        <v>471</v>
      </c>
      <c r="S22" s="17" t="s">
        <v>471</v>
      </c>
      <c r="T22" s="17" t="s">
        <v>471</v>
      </c>
      <c r="U22" s="17" t="s">
        <v>557</v>
      </c>
      <c r="V22" s="17" t="s">
        <v>473</v>
      </c>
      <c r="W22" s="73">
        <v>150000</v>
      </c>
      <c r="X22" s="18">
        <v>48</v>
      </c>
      <c r="Y22" s="74" t="s">
        <v>474</v>
      </c>
      <c r="Z22" s="17" t="s">
        <v>475</v>
      </c>
      <c r="AA22" s="17" t="s">
        <v>475</v>
      </c>
      <c r="AB22" s="17" t="s">
        <v>476</v>
      </c>
      <c r="AC22" s="18">
        <v>12500</v>
      </c>
      <c r="AD22" s="18">
        <v>12500</v>
      </c>
      <c r="AE22" s="18">
        <v>12500</v>
      </c>
      <c r="AF22" s="18">
        <v>12500</v>
      </c>
      <c r="AG22" s="18">
        <v>12500</v>
      </c>
      <c r="AH22" s="18">
        <v>12500</v>
      </c>
      <c r="AI22" s="18">
        <v>12500</v>
      </c>
      <c r="AJ22" s="18">
        <v>12500</v>
      </c>
      <c r="AK22" s="18">
        <v>12500</v>
      </c>
      <c r="AL22" s="18">
        <v>12500</v>
      </c>
      <c r="AM22" s="18">
        <v>12500</v>
      </c>
      <c r="AN22" s="18">
        <v>12500</v>
      </c>
      <c r="AO22" s="18">
        <v>150000</v>
      </c>
      <c r="AP22" s="103">
        <f>IF(N22="EUR",AO22,IF(N22="GBP",AO22/Rate!$C$3,'2.3 EIL Capex '!AO74/Rate!$C$5))</f>
        <v>150000</v>
      </c>
    </row>
    <row r="23" spans="1:42" x14ac:dyDescent="0.3">
      <c r="A23" s="17" t="s">
        <v>467</v>
      </c>
      <c r="B23" s="17"/>
      <c r="C23" s="17" t="s">
        <v>468</v>
      </c>
      <c r="D23" s="17" t="s">
        <v>744</v>
      </c>
      <c r="E23" s="17" t="s">
        <v>75</v>
      </c>
      <c r="F23" s="17" t="s">
        <v>75</v>
      </c>
      <c r="G23" s="17" t="s">
        <v>54</v>
      </c>
      <c r="H23" s="17" t="s">
        <v>54</v>
      </c>
      <c r="I23" s="17" t="s">
        <v>53</v>
      </c>
      <c r="J23" s="17" t="s">
        <v>53</v>
      </c>
      <c r="K23" s="17" t="s">
        <v>501</v>
      </c>
      <c r="L23" s="17" t="s">
        <v>501</v>
      </c>
      <c r="M23" s="17" t="s">
        <v>57</v>
      </c>
      <c r="N23" s="17" t="s">
        <v>57</v>
      </c>
      <c r="O23" s="17" t="s">
        <v>470</v>
      </c>
      <c r="P23" s="17" t="s">
        <v>470</v>
      </c>
      <c r="Q23" s="17" t="s">
        <v>471</v>
      </c>
      <c r="R23" s="17" t="s">
        <v>471</v>
      </c>
      <c r="S23" s="17" t="s">
        <v>471</v>
      </c>
      <c r="T23" s="17" t="s">
        <v>471</v>
      </c>
      <c r="U23" s="17" t="s">
        <v>558</v>
      </c>
      <c r="V23" s="17" t="s">
        <v>473</v>
      </c>
      <c r="W23" s="73">
        <v>99996</v>
      </c>
      <c r="X23" s="18">
        <v>48</v>
      </c>
      <c r="Y23" s="74" t="s">
        <v>474</v>
      </c>
      <c r="Z23" s="17" t="s">
        <v>475</v>
      </c>
      <c r="AA23" s="17" t="s">
        <v>475</v>
      </c>
      <c r="AB23" s="17" t="s">
        <v>476</v>
      </c>
      <c r="AC23" s="18">
        <v>8333</v>
      </c>
      <c r="AD23" s="18">
        <v>8333</v>
      </c>
      <c r="AE23" s="18">
        <v>8333</v>
      </c>
      <c r="AF23" s="18">
        <v>8333</v>
      </c>
      <c r="AG23" s="18">
        <v>8333</v>
      </c>
      <c r="AH23" s="18">
        <v>8333</v>
      </c>
      <c r="AI23" s="18">
        <v>8333</v>
      </c>
      <c r="AJ23" s="18">
        <v>8333</v>
      </c>
      <c r="AK23" s="18">
        <v>8333</v>
      </c>
      <c r="AL23" s="18">
        <v>8333</v>
      </c>
      <c r="AM23" s="18">
        <v>8333</v>
      </c>
      <c r="AN23" s="18">
        <v>8333</v>
      </c>
      <c r="AO23" s="18">
        <v>99996</v>
      </c>
      <c r="AP23" s="103">
        <f>IF(N23="EUR",AO23,IF(N23="GBP",AO23/Rate!$C$3,'2.3 EIL Capex '!AO75/Rate!$C$5))</f>
        <v>99996</v>
      </c>
    </row>
    <row r="24" spans="1:42" x14ac:dyDescent="0.3">
      <c r="A24" s="17" t="s">
        <v>467</v>
      </c>
      <c r="B24" s="17"/>
      <c r="C24" s="17" t="s">
        <v>468</v>
      </c>
      <c r="D24" s="17" t="s">
        <v>744</v>
      </c>
      <c r="E24" s="17" t="s">
        <v>75</v>
      </c>
      <c r="F24" s="17" t="s">
        <v>75</v>
      </c>
      <c r="G24" s="17" t="s">
        <v>54</v>
      </c>
      <c r="H24" s="17" t="s">
        <v>54</v>
      </c>
      <c r="I24" s="17" t="s">
        <v>53</v>
      </c>
      <c r="J24" s="17" t="s">
        <v>53</v>
      </c>
      <c r="K24" s="17" t="s">
        <v>501</v>
      </c>
      <c r="L24" s="17" t="s">
        <v>501</v>
      </c>
      <c r="M24" s="17" t="s">
        <v>57</v>
      </c>
      <c r="N24" s="17" t="s">
        <v>57</v>
      </c>
      <c r="O24" s="17" t="s">
        <v>497</v>
      </c>
      <c r="P24" s="17" t="s">
        <v>497</v>
      </c>
      <c r="Q24" s="17" t="s">
        <v>498</v>
      </c>
      <c r="R24" s="17" t="s">
        <v>498</v>
      </c>
      <c r="S24" s="17" t="s">
        <v>499</v>
      </c>
      <c r="T24" s="17" t="s">
        <v>499</v>
      </c>
      <c r="U24" s="17" t="s">
        <v>559</v>
      </c>
      <c r="V24" s="17" t="s">
        <v>473</v>
      </c>
      <c r="W24" s="73">
        <v>211188</v>
      </c>
      <c r="X24" s="18">
        <v>48</v>
      </c>
      <c r="Y24" s="74" t="s">
        <v>474</v>
      </c>
      <c r="Z24" s="17" t="s">
        <v>475</v>
      </c>
      <c r="AA24" s="17" t="s">
        <v>475</v>
      </c>
      <c r="AB24" s="17" t="s">
        <v>476</v>
      </c>
      <c r="AC24" s="18">
        <v>17599</v>
      </c>
      <c r="AD24" s="18">
        <v>17599</v>
      </c>
      <c r="AE24" s="18">
        <v>17599</v>
      </c>
      <c r="AF24" s="18">
        <v>17599</v>
      </c>
      <c r="AG24" s="18">
        <v>17599</v>
      </c>
      <c r="AH24" s="18">
        <v>17599</v>
      </c>
      <c r="AI24" s="18">
        <v>17599</v>
      </c>
      <c r="AJ24" s="18">
        <v>17599</v>
      </c>
      <c r="AK24" s="18">
        <v>17599</v>
      </c>
      <c r="AL24" s="18">
        <v>17599</v>
      </c>
      <c r="AM24" s="18">
        <v>17599</v>
      </c>
      <c r="AN24" s="18">
        <v>17599</v>
      </c>
      <c r="AO24" s="18">
        <v>211188</v>
      </c>
      <c r="AP24" s="103">
        <f>IF(N24="EUR",AO24,IF(N24="GBP",AO24/Rate!$C$3,'2.3 EIL Capex '!AO76/Rate!$C$5))</f>
        <v>211188</v>
      </c>
    </row>
    <row r="25" spans="1:42" x14ac:dyDescent="0.3">
      <c r="A25" s="17" t="s">
        <v>467</v>
      </c>
      <c r="B25" s="17"/>
      <c r="C25" s="17" t="s">
        <v>468</v>
      </c>
      <c r="D25" s="17" t="s">
        <v>744</v>
      </c>
      <c r="E25" s="17" t="s">
        <v>75</v>
      </c>
      <c r="F25" s="17" t="s">
        <v>75</v>
      </c>
      <c r="G25" s="17" t="s">
        <v>54</v>
      </c>
      <c r="H25" s="17" t="s">
        <v>54</v>
      </c>
      <c r="I25" s="17" t="s">
        <v>53</v>
      </c>
      <c r="J25" s="17" t="s">
        <v>53</v>
      </c>
      <c r="K25" s="17" t="s">
        <v>501</v>
      </c>
      <c r="L25" s="17" t="s">
        <v>501</v>
      </c>
      <c r="M25" s="17" t="s">
        <v>57</v>
      </c>
      <c r="N25" s="17" t="s">
        <v>57</v>
      </c>
      <c r="O25" s="17" t="s">
        <v>470</v>
      </c>
      <c r="P25" s="17" t="s">
        <v>470</v>
      </c>
      <c r="Q25" s="17" t="s">
        <v>471</v>
      </c>
      <c r="R25" s="17" t="s">
        <v>471</v>
      </c>
      <c r="S25" s="17" t="s">
        <v>471</v>
      </c>
      <c r="T25" s="17" t="s">
        <v>471</v>
      </c>
      <c r="U25" s="17" t="s">
        <v>561</v>
      </c>
      <c r="V25" s="17" t="s">
        <v>473</v>
      </c>
      <c r="W25" s="73">
        <v>99996</v>
      </c>
      <c r="X25" s="18">
        <v>48</v>
      </c>
      <c r="Y25" s="74" t="s">
        <v>474</v>
      </c>
      <c r="Z25" s="17" t="s">
        <v>475</v>
      </c>
      <c r="AA25" s="17" t="s">
        <v>475</v>
      </c>
      <c r="AB25" s="17" t="s">
        <v>476</v>
      </c>
      <c r="AC25" s="18">
        <v>8333</v>
      </c>
      <c r="AD25" s="18">
        <v>8333</v>
      </c>
      <c r="AE25" s="18">
        <v>8333</v>
      </c>
      <c r="AF25" s="18">
        <v>8333</v>
      </c>
      <c r="AG25" s="18">
        <v>8333</v>
      </c>
      <c r="AH25" s="18">
        <v>8333</v>
      </c>
      <c r="AI25" s="18">
        <v>8333</v>
      </c>
      <c r="AJ25" s="18">
        <v>8333</v>
      </c>
      <c r="AK25" s="18">
        <v>8333</v>
      </c>
      <c r="AL25" s="18">
        <v>8333</v>
      </c>
      <c r="AM25" s="18">
        <v>8333</v>
      </c>
      <c r="AN25" s="18">
        <v>8333</v>
      </c>
      <c r="AO25" s="18">
        <v>99996</v>
      </c>
      <c r="AP25" s="103">
        <f>IF(N25="EUR",AO25,IF(N25="GBP",AO25/Rate!$C$3,'2.3 EIL Capex '!AO78/Rate!$C$5))</f>
        <v>99996</v>
      </c>
    </row>
    <row r="26" spans="1:42" x14ac:dyDescent="0.3">
      <c r="A26" s="17" t="s">
        <v>467</v>
      </c>
      <c r="B26" s="17"/>
      <c r="C26" s="17" t="s">
        <v>468</v>
      </c>
      <c r="D26" s="17" t="s">
        <v>744</v>
      </c>
      <c r="E26" s="17" t="s">
        <v>75</v>
      </c>
      <c r="F26" s="17" t="s">
        <v>75</v>
      </c>
      <c r="G26" s="17" t="s">
        <v>54</v>
      </c>
      <c r="H26" s="17" t="s">
        <v>54</v>
      </c>
      <c r="I26" s="17" t="s">
        <v>53</v>
      </c>
      <c r="J26" s="17" t="s">
        <v>53</v>
      </c>
      <c r="K26" s="17" t="s">
        <v>501</v>
      </c>
      <c r="L26" s="17" t="s">
        <v>501</v>
      </c>
      <c r="M26" s="17" t="s">
        <v>57</v>
      </c>
      <c r="N26" s="17" t="s">
        <v>57</v>
      </c>
      <c r="O26" s="17" t="s">
        <v>470</v>
      </c>
      <c r="P26" s="17" t="s">
        <v>470</v>
      </c>
      <c r="Q26" s="17" t="s">
        <v>471</v>
      </c>
      <c r="R26" s="17" t="s">
        <v>471</v>
      </c>
      <c r="S26" s="17" t="s">
        <v>471</v>
      </c>
      <c r="T26" s="17" t="s">
        <v>471</v>
      </c>
      <c r="U26" s="17" t="s">
        <v>562</v>
      </c>
      <c r="V26" s="17" t="s">
        <v>473</v>
      </c>
      <c r="W26" s="73">
        <v>80004</v>
      </c>
      <c r="X26" s="18">
        <v>48</v>
      </c>
      <c r="Y26" s="74" t="s">
        <v>474</v>
      </c>
      <c r="Z26" s="17" t="s">
        <v>475</v>
      </c>
      <c r="AA26" s="17" t="s">
        <v>475</v>
      </c>
      <c r="AB26" s="17" t="s">
        <v>476</v>
      </c>
      <c r="AC26" s="18">
        <v>6667</v>
      </c>
      <c r="AD26" s="18">
        <v>6667</v>
      </c>
      <c r="AE26" s="18">
        <v>6667</v>
      </c>
      <c r="AF26" s="18">
        <v>6667</v>
      </c>
      <c r="AG26" s="18">
        <v>6667</v>
      </c>
      <c r="AH26" s="18">
        <v>6667</v>
      </c>
      <c r="AI26" s="18">
        <v>6667</v>
      </c>
      <c r="AJ26" s="18">
        <v>6667</v>
      </c>
      <c r="AK26" s="18">
        <v>6667</v>
      </c>
      <c r="AL26" s="18">
        <v>6667</v>
      </c>
      <c r="AM26" s="18">
        <v>6667</v>
      </c>
      <c r="AN26" s="18">
        <v>6667</v>
      </c>
      <c r="AO26" s="18">
        <v>80004</v>
      </c>
      <c r="AP26" s="103">
        <f>IF(N26="EUR",AO26,IF(N26="GBP",AO26/Rate!$C$3,'2.3 EIL Capex '!AO79/Rate!$C$5))</f>
        <v>80004</v>
      </c>
    </row>
    <row r="27" spans="1:42" x14ac:dyDescent="0.3">
      <c r="A27" s="17" t="s">
        <v>467</v>
      </c>
      <c r="B27" s="17"/>
      <c r="C27" s="17" t="s">
        <v>468</v>
      </c>
      <c r="D27" s="17" t="s">
        <v>724</v>
      </c>
      <c r="E27" s="17" t="s">
        <v>222</v>
      </c>
      <c r="F27" s="17" t="s">
        <v>222</v>
      </c>
      <c r="G27" s="17" t="s">
        <v>54</v>
      </c>
      <c r="H27" s="17" t="s">
        <v>54</v>
      </c>
      <c r="I27" s="17" t="s">
        <v>53</v>
      </c>
      <c r="J27" s="17" t="s">
        <v>53</v>
      </c>
      <c r="K27" s="17" t="s">
        <v>483</v>
      </c>
      <c r="L27" s="17" t="s">
        <v>483</v>
      </c>
      <c r="M27" s="17" t="s">
        <v>57</v>
      </c>
      <c r="N27" s="17" t="s">
        <v>57</v>
      </c>
      <c r="O27" s="17" t="s">
        <v>470</v>
      </c>
      <c r="P27" s="17" t="s">
        <v>470</v>
      </c>
      <c r="Q27" s="17" t="s">
        <v>471</v>
      </c>
      <c r="R27" s="17" t="s">
        <v>471</v>
      </c>
      <c r="S27" s="17" t="s">
        <v>471</v>
      </c>
      <c r="T27" s="17" t="s">
        <v>471</v>
      </c>
      <c r="U27" s="17" t="s">
        <v>484</v>
      </c>
      <c r="V27" s="17" t="s">
        <v>473</v>
      </c>
      <c r="W27" s="73">
        <v>17004</v>
      </c>
      <c r="X27" s="18">
        <v>48</v>
      </c>
      <c r="Y27" s="74" t="s">
        <v>474</v>
      </c>
      <c r="Z27" s="17" t="s">
        <v>475</v>
      </c>
      <c r="AA27" s="17" t="s">
        <v>475</v>
      </c>
      <c r="AB27" s="17" t="s">
        <v>476</v>
      </c>
      <c r="AC27" s="18">
        <v>1417</v>
      </c>
      <c r="AD27" s="18">
        <v>1417</v>
      </c>
      <c r="AE27" s="18">
        <v>1417</v>
      </c>
      <c r="AF27" s="18">
        <v>1417</v>
      </c>
      <c r="AG27" s="18">
        <v>1417</v>
      </c>
      <c r="AH27" s="18">
        <v>1417</v>
      </c>
      <c r="AI27" s="18">
        <v>1417</v>
      </c>
      <c r="AJ27" s="18">
        <v>1417</v>
      </c>
      <c r="AK27" s="18">
        <v>1417</v>
      </c>
      <c r="AL27" s="18">
        <v>1417</v>
      </c>
      <c r="AM27" s="18">
        <v>1417</v>
      </c>
      <c r="AN27" s="18">
        <v>1417</v>
      </c>
      <c r="AO27" s="18">
        <v>17004</v>
      </c>
      <c r="AP27" s="103">
        <f>IF(N27="EUR",AO27,IF(N27="GBP",AO27/Rate!$C$3,'2.3 EIL Capex '!AO11/Rate!$C$5))</f>
        <v>17004</v>
      </c>
    </row>
    <row r="28" spans="1:42" x14ac:dyDescent="0.3">
      <c r="A28" s="17" t="s">
        <v>467</v>
      </c>
      <c r="B28" s="17"/>
      <c r="C28" s="17" t="s">
        <v>468</v>
      </c>
      <c r="D28" s="17" t="s">
        <v>724</v>
      </c>
      <c r="E28" s="17" t="s">
        <v>222</v>
      </c>
      <c r="F28" s="17" t="s">
        <v>222</v>
      </c>
      <c r="G28" s="17" t="s">
        <v>54</v>
      </c>
      <c r="H28" s="17" t="s">
        <v>54</v>
      </c>
      <c r="I28" s="17" t="s">
        <v>53</v>
      </c>
      <c r="J28" s="17" t="s">
        <v>53</v>
      </c>
      <c r="K28" s="17" t="s">
        <v>483</v>
      </c>
      <c r="L28" s="17" t="s">
        <v>483</v>
      </c>
      <c r="M28" s="17" t="s">
        <v>57</v>
      </c>
      <c r="N28" s="17" t="s">
        <v>57</v>
      </c>
      <c r="O28" s="17" t="s">
        <v>470</v>
      </c>
      <c r="P28" s="17" t="s">
        <v>470</v>
      </c>
      <c r="Q28" s="17" t="s">
        <v>471</v>
      </c>
      <c r="R28" s="17" t="s">
        <v>471</v>
      </c>
      <c r="S28" s="17" t="s">
        <v>471</v>
      </c>
      <c r="T28" s="17" t="s">
        <v>471</v>
      </c>
      <c r="U28" s="17" t="s">
        <v>485</v>
      </c>
      <c r="V28" s="17" t="s">
        <v>473</v>
      </c>
      <c r="W28" s="73">
        <v>99996</v>
      </c>
      <c r="X28" s="18">
        <v>48</v>
      </c>
      <c r="Y28" s="74" t="s">
        <v>474</v>
      </c>
      <c r="Z28" s="17" t="s">
        <v>475</v>
      </c>
      <c r="AA28" s="17" t="s">
        <v>475</v>
      </c>
      <c r="AB28" s="17" t="s">
        <v>476</v>
      </c>
      <c r="AC28" s="18">
        <v>8333</v>
      </c>
      <c r="AD28" s="18">
        <v>8333</v>
      </c>
      <c r="AE28" s="18">
        <v>8333</v>
      </c>
      <c r="AF28" s="18">
        <v>8333</v>
      </c>
      <c r="AG28" s="18">
        <v>8333</v>
      </c>
      <c r="AH28" s="18">
        <v>8333</v>
      </c>
      <c r="AI28" s="18">
        <v>8333</v>
      </c>
      <c r="AJ28" s="18">
        <v>8333</v>
      </c>
      <c r="AK28" s="18">
        <v>8333</v>
      </c>
      <c r="AL28" s="18">
        <v>8333</v>
      </c>
      <c r="AM28" s="18">
        <v>8333</v>
      </c>
      <c r="AN28" s="18">
        <v>8333</v>
      </c>
      <c r="AO28" s="18">
        <v>99996</v>
      </c>
      <c r="AP28" s="103">
        <f>IF(N28="EUR",AO28,IF(N28="GBP",AO28/Rate!$C$3,'2.3 EIL Capex '!AO12/Rate!$C$5))</f>
        <v>99996</v>
      </c>
    </row>
    <row r="29" spans="1:42" x14ac:dyDescent="0.3">
      <c r="A29" s="17" t="s">
        <v>467</v>
      </c>
      <c r="B29" s="17"/>
      <c r="C29" s="17" t="s">
        <v>468</v>
      </c>
      <c r="D29" s="17" t="s">
        <v>724</v>
      </c>
      <c r="E29" s="17" t="s">
        <v>222</v>
      </c>
      <c r="F29" s="17" t="s">
        <v>222</v>
      </c>
      <c r="G29" s="17" t="s">
        <v>54</v>
      </c>
      <c r="H29" s="17" t="s">
        <v>54</v>
      </c>
      <c r="I29" s="17" t="s">
        <v>53</v>
      </c>
      <c r="J29" s="17" t="s">
        <v>53</v>
      </c>
      <c r="K29" s="17" t="s">
        <v>483</v>
      </c>
      <c r="L29" s="17" t="s">
        <v>483</v>
      </c>
      <c r="M29" s="17" t="s">
        <v>57</v>
      </c>
      <c r="N29" s="17" t="s">
        <v>57</v>
      </c>
      <c r="O29" s="17" t="s">
        <v>470</v>
      </c>
      <c r="P29" s="17" t="s">
        <v>470</v>
      </c>
      <c r="Q29" s="17" t="s">
        <v>471</v>
      </c>
      <c r="R29" s="17" t="s">
        <v>471</v>
      </c>
      <c r="S29" s="17" t="s">
        <v>471</v>
      </c>
      <c r="T29" s="17" t="s">
        <v>471</v>
      </c>
      <c r="U29" s="17" t="s">
        <v>503</v>
      </c>
      <c r="V29" s="17" t="s">
        <v>473</v>
      </c>
      <c r="W29" s="73">
        <v>50004</v>
      </c>
      <c r="X29" s="18">
        <v>48</v>
      </c>
      <c r="Y29" s="74" t="s">
        <v>474</v>
      </c>
      <c r="Z29" s="17" t="s">
        <v>475</v>
      </c>
      <c r="AA29" s="17" t="s">
        <v>475</v>
      </c>
      <c r="AB29" s="17" t="s">
        <v>476</v>
      </c>
      <c r="AC29" s="18">
        <v>4167</v>
      </c>
      <c r="AD29" s="18">
        <v>4167</v>
      </c>
      <c r="AE29" s="18">
        <v>4167</v>
      </c>
      <c r="AF29" s="18">
        <v>4167</v>
      </c>
      <c r="AG29" s="18">
        <v>4167</v>
      </c>
      <c r="AH29" s="18">
        <v>4167</v>
      </c>
      <c r="AI29" s="18">
        <v>4167</v>
      </c>
      <c r="AJ29" s="18">
        <v>4167</v>
      </c>
      <c r="AK29" s="18">
        <v>4167</v>
      </c>
      <c r="AL29" s="18">
        <v>4167</v>
      </c>
      <c r="AM29" s="18">
        <v>4167</v>
      </c>
      <c r="AN29" s="18">
        <v>4167</v>
      </c>
      <c r="AO29" s="18">
        <v>50004</v>
      </c>
      <c r="AP29" s="103">
        <f>IF(N29="EUR",AO29,IF(N29="GBP",AO29/Rate!$C$3,'2.3 EIL Capex '!AO26/Rate!$C$5))</f>
        <v>50004</v>
      </c>
    </row>
    <row r="30" spans="1:42" x14ac:dyDescent="0.3">
      <c r="A30" s="17" t="s">
        <v>467</v>
      </c>
      <c r="B30" s="17"/>
      <c r="C30" s="17" t="s">
        <v>468</v>
      </c>
      <c r="D30" s="17" t="s">
        <v>724</v>
      </c>
      <c r="E30" s="17" t="s">
        <v>222</v>
      </c>
      <c r="F30" s="17" t="s">
        <v>222</v>
      </c>
      <c r="G30" s="17" t="s">
        <v>54</v>
      </c>
      <c r="H30" s="17" t="s">
        <v>54</v>
      </c>
      <c r="I30" s="17" t="s">
        <v>53</v>
      </c>
      <c r="J30" s="17" t="s">
        <v>53</v>
      </c>
      <c r="K30" s="17" t="s">
        <v>483</v>
      </c>
      <c r="L30" s="17" t="s">
        <v>483</v>
      </c>
      <c r="M30" s="17" t="s">
        <v>57</v>
      </c>
      <c r="N30" s="17" t="s">
        <v>57</v>
      </c>
      <c r="O30" s="17" t="s">
        <v>470</v>
      </c>
      <c r="P30" s="17" t="s">
        <v>470</v>
      </c>
      <c r="Q30" s="17" t="s">
        <v>471</v>
      </c>
      <c r="R30" s="17" t="s">
        <v>471</v>
      </c>
      <c r="S30" s="17" t="s">
        <v>471</v>
      </c>
      <c r="T30" s="17" t="s">
        <v>471</v>
      </c>
      <c r="U30" s="17" t="s">
        <v>504</v>
      </c>
      <c r="V30" s="17" t="s">
        <v>473</v>
      </c>
      <c r="W30" s="73">
        <v>57996</v>
      </c>
      <c r="X30" s="18">
        <v>48</v>
      </c>
      <c r="Y30" s="74" t="s">
        <v>474</v>
      </c>
      <c r="Z30" s="17" t="s">
        <v>475</v>
      </c>
      <c r="AA30" s="17" t="s">
        <v>475</v>
      </c>
      <c r="AB30" s="17" t="s">
        <v>476</v>
      </c>
      <c r="AC30" s="18">
        <v>4833</v>
      </c>
      <c r="AD30" s="18">
        <v>4833</v>
      </c>
      <c r="AE30" s="18">
        <v>4833</v>
      </c>
      <c r="AF30" s="18">
        <v>4833</v>
      </c>
      <c r="AG30" s="18">
        <v>4833</v>
      </c>
      <c r="AH30" s="18">
        <v>4833</v>
      </c>
      <c r="AI30" s="18">
        <v>4833</v>
      </c>
      <c r="AJ30" s="18">
        <v>4833</v>
      </c>
      <c r="AK30" s="18">
        <v>4833</v>
      </c>
      <c r="AL30" s="18">
        <v>4833</v>
      </c>
      <c r="AM30" s="18">
        <v>4833</v>
      </c>
      <c r="AN30" s="18">
        <v>4833</v>
      </c>
      <c r="AO30" s="18">
        <v>57996</v>
      </c>
      <c r="AP30" s="103">
        <f>IF(N30="EUR",AO30,IF(N30="GBP",AO30/Rate!$C$3,'2.3 EIL Capex '!AO27/Rate!$C$5))</f>
        <v>57996</v>
      </c>
    </row>
    <row r="31" spans="1:42" x14ac:dyDescent="0.3">
      <c r="A31" s="17" t="s">
        <v>467</v>
      </c>
      <c r="B31" s="17"/>
      <c r="C31" s="17" t="s">
        <v>468</v>
      </c>
      <c r="D31" s="17" t="s">
        <v>724</v>
      </c>
      <c r="E31" s="17" t="s">
        <v>222</v>
      </c>
      <c r="F31" s="17" t="s">
        <v>222</v>
      </c>
      <c r="G31" s="17" t="s">
        <v>54</v>
      </c>
      <c r="H31" s="17" t="s">
        <v>54</v>
      </c>
      <c r="I31" s="17" t="s">
        <v>53</v>
      </c>
      <c r="J31" s="17" t="s">
        <v>53</v>
      </c>
      <c r="K31" s="17" t="s">
        <v>483</v>
      </c>
      <c r="L31" s="17" t="s">
        <v>483</v>
      </c>
      <c r="M31" s="17" t="s">
        <v>57</v>
      </c>
      <c r="N31" s="17" t="s">
        <v>57</v>
      </c>
      <c r="O31" s="17" t="s">
        <v>497</v>
      </c>
      <c r="P31" s="17" t="s">
        <v>497</v>
      </c>
      <c r="Q31" s="17" t="s">
        <v>498</v>
      </c>
      <c r="R31" s="17" t="s">
        <v>498</v>
      </c>
      <c r="S31" s="17" t="s">
        <v>499</v>
      </c>
      <c r="T31" s="17" t="s">
        <v>499</v>
      </c>
      <c r="U31" s="17" t="s">
        <v>509</v>
      </c>
      <c r="V31" s="17" t="s">
        <v>473</v>
      </c>
      <c r="W31" s="73">
        <v>99996</v>
      </c>
      <c r="X31" s="18">
        <v>48</v>
      </c>
      <c r="Y31" s="74" t="s">
        <v>474</v>
      </c>
      <c r="Z31" s="17" t="s">
        <v>475</v>
      </c>
      <c r="AA31" s="17" t="s">
        <v>475</v>
      </c>
      <c r="AB31" s="17" t="s">
        <v>476</v>
      </c>
      <c r="AC31" s="18">
        <v>8333</v>
      </c>
      <c r="AD31" s="18">
        <v>8333</v>
      </c>
      <c r="AE31" s="18">
        <v>8333</v>
      </c>
      <c r="AF31" s="18">
        <v>8333</v>
      </c>
      <c r="AG31" s="18">
        <v>8333</v>
      </c>
      <c r="AH31" s="18">
        <v>8333</v>
      </c>
      <c r="AI31" s="18">
        <v>8333</v>
      </c>
      <c r="AJ31" s="18">
        <v>8333</v>
      </c>
      <c r="AK31" s="18">
        <v>8333</v>
      </c>
      <c r="AL31" s="18">
        <v>8333</v>
      </c>
      <c r="AM31" s="18">
        <v>8333</v>
      </c>
      <c r="AN31" s="18">
        <v>8333</v>
      </c>
      <c r="AO31" s="18">
        <v>99996</v>
      </c>
      <c r="AP31" s="103">
        <f>IF(N31="EUR",AO31,IF(N31="GBP",AO31/Rate!$C$3,'2.3 EIL Capex '!AO31/Rate!$C$5))</f>
        <v>99996</v>
      </c>
    </row>
    <row r="32" spans="1:42" x14ac:dyDescent="0.3">
      <c r="A32" s="17" t="s">
        <v>467</v>
      </c>
      <c r="B32" s="17"/>
      <c r="C32" s="17" t="s">
        <v>468</v>
      </c>
      <c r="D32" s="17" t="s">
        <v>724</v>
      </c>
      <c r="E32" s="17" t="s">
        <v>222</v>
      </c>
      <c r="F32" s="17" t="s">
        <v>222</v>
      </c>
      <c r="G32" s="17" t="s">
        <v>54</v>
      </c>
      <c r="H32" s="17" t="s">
        <v>54</v>
      </c>
      <c r="I32" s="17" t="s">
        <v>53</v>
      </c>
      <c r="J32" s="17" t="s">
        <v>53</v>
      </c>
      <c r="K32" s="17" t="s">
        <v>483</v>
      </c>
      <c r="L32" s="17" t="s">
        <v>483</v>
      </c>
      <c r="M32" s="17" t="s">
        <v>57</v>
      </c>
      <c r="N32" s="17" t="s">
        <v>57</v>
      </c>
      <c r="O32" s="17" t="s">
        <v>470</v>
      </c>
      <c r="P32" s="17" t="s">
        <v>470</v>
      </c>
      <c r="Q32" s="17" t="s">
        <v>471</v>
      </c>
      <c r="R32" s="17" t="s">
        <v>471</v>
      </c>
      <c r="S32" s="17" t="s">
        <v>471</v>
      </c>
      <c r="T32" s="17" t="s">
        <v>471</v>
      </c>
      <c r="U32" s="17" t="s">
        <v>510</v>
      </c>
      <c r="V32" s="17" t="s">
        <v>473</v>
      </c>
      <c r="W32" s="73">
        <v>200004</v>
      </c>
      <c r="X32" s="18">
        <v>48</v>
      </c>
      <c r="Y32" s="74" t="s">
        <v>474</v>
      </c>
      <c r="Z32" s="17" t="s">
        <v>475</v>
      </c>
      <c r="AA32" s="17" t="s">
        <v>475</v>
      </c>
      <c r="AB32" s="17" t="s">
        <v>476</v>
      </c>
      <c r="AC32" s="18">
        <v>16667</v>
      </c>
      <c r="AD32" s="18">
        <v>16667</v>
      </c>
      <c r="AE32" s="18">
        <v>16667</v>
      </c>
      <c r="AF32" s="18">
        <v>16667</v>
      </c>
      <c r="AG32" s="18">
        <v>16667</v>
      </c>
      <c r="AH32" s="18">
        <v>16667</v>
      </c>
      <c r="AI32" s="18">
        <v>16667</v>
      </c>
      <c r="AJ32" s="18">
        <v>16667</v>
      </c>
      <c r="AK32" s="18">
        <v>16667</v>
      </c>
      <c r="AL32" s="18">
        <v>16667</v>
      </c>
      <c r="AM32" s="18">
        <v>16667</v>
      </c>
      <c r="AN32" s="18">
        <v>16667</v>
      </c>
      <c r="AO32" s="18">
        <v>200004</v>
      </c>
      <c r="AP32" s="103">
        <f>IF(N32="EUR",AO32,IF(N32="GBP",AO32/Rate!$C$3,'2.3 EIL Capex '!AO32/Rate!$C$5))</f>
        <v>200004</v>
      </c>
    </row>
    <row r="33" spans="1:42" x14ac:dyDescent="0.3">
      <c r="A33" s="17" t="s">
        <v>467</v>
      </c>
      <c r="B33" s="17"/>
      <c r="C33" s="17" t="s">
        <v>468</v>
      </c>
      <c r="D33" s="17" t="s">
        <v>724</v>
      </c>
      <c r="E33" s="17" t="s">
        <v>222</v>
      </c>
      <c r="F33" s="17" t="s">
        <v>222</v>
      </c>
      <c r="G33" s="17" t="s">
        <v>54</v>
      </c>
      <c r="H33" s="17" t="s">
        <v>54</v>
      </c>
      <c r="I33" s="17" t="s">
        <v>53</v>
      </c>
      <c r="J33" s="17" t="s">
        <v>53</v>
      </c>
      <c r="K33" s="17" t="s">
        <v>483</v>
      </c>
      <c r="L33" s="17" t="s">
        <v>483</v>
      </c>
      <c r="M33" s="17" t="s">
        <v>57</v>
      </c>
      <c r="N33" s="17" t="s">
        <v>57</v>
      </c>
      <c r="O33" s="17" t="s">
        <v>470</v>
      </c>
      <c r="P33" s="17" t="s">
        <v>470</v>
      </c>
      <c r="Q33" s="17" t="s">
        <v>471</v>
      </c>
      <c r="R33" s="17" t="s">
        <v>471</v>
      </c>
      <c r="S33" s="17" t="s">
        <v>471</v>
      </c>
      <c r="T33" s="17" t="s">
        <v>471</v>
      </c>
      <c r="U33" s="17" t="s">
        <v>511</v>
      </c>
      <c r="V33" s="17" t="s">
        <v>473</v>
      </c>
      <c r="W33" s="73">
        <v>200004</v>
      </c>
      <c r="X33" s="18">
        <v>48</v>
      </c>
      <c r="Y33" s="74" t="s">
        <v>474</v>
      </c>
      <c r="Z33" s="17" t="s">
        <v>475</v>
      </c>
      <c r="AA33" s="17" t="s">
        <v>475</v>
      </c>
      <c r="AB33" s="17" t="s">
        <v>476</v>
      </c>
      <c r="AC33" s="18">
        <v>16667</v>
      </c>
      <c r="AD33" s="18">
        <v>16667</v>
      </c>
      <c r="AE33" s="18">
        <v>16667</v>
      </c>
      <c r="AF33" s="18">
        <v>16667</v>
      </c>
      <c r="AG33" s="18">
        <v>16667</v>
      </c>
      <c r="AH33" s="18">
        <v>16667</v>
      </c>
      <c r="AI33" s="18">
        <v>16667</v>
      </c>
      <c r="AJ33" s="18">
        <v>16667</v>
      </c>
      <c r="AK33" s="18">
        <v>16667</v>
      </c>
      <c r="AL33" s="18">
        <v>16667</v>
      </c>
      <c r="AM33" s="18">
        <v>16667</v>
      </c>
      <c r="AN33" s="18">
        <v>16667</v>
      </c>
      <c r="AO33" s="18">
        <v>200004</v>
      </c>
      <c r="AP33" s="103">
        <f>IF(N33="EUR",AO33,IF(N33="GBP",AO33/Rate!$C$3,'2.3 EIL Capex '!AO33/Rate!$C$5))</f>
        <v>200004</v>
      </c>
    </row>
    <row r="34" spans="1:42" x14ac:dyDescent="0.3">
      <c r="A34" s="17" t="s">
        <v>467</v>
      </c>
      <c r="B34" s="17"/>
      <c r="C34" s="17" t="s">
        <v>468</v>
      </c>
      <c r="D34" s="17" t="s">
        <v>724</v>
      </c>
      <c r="E34" s="17" t="s">
        <v>222</v>
      </c>
      <c r="F34" s="17" t="s">
        <v>222</v>
      </c>
      <c r="G34" s="17" t="s">
        <v>54</v>
      </c>
      <c r="H34" s="17" t="s">
        <v>54</v>
      </c>
      <c r="I34" s="17" t="s">
        <v>53</v>
      </c>
      <c r="J34" s="17" t="s">
        <v>53</v>
      </c>
      <c r="K34" s="17" t="s">
        <v>483</v>
      </c>
      <c r="L34" s="17" t="s">
        <v>483</v>
      </c>
      <c r="M34" s="17" t="s">
        <v>57</v>
      </c>
      <c r="N34" s="17" t="s">
        <v>57</v>
      </c>
      <c r="O34" s="17" t="s">
        <v>470</v>
      </c>
      <c r="P34" s="17" t="s">
        <v>470</v>
      </c>
      <c r="Q34" s="17" t="s">
        <v>471</v>
      </c>
      <c r="R34" s="17" t="s">
        <v>471</v>
      </c>
      <c r="S34" s="17" t="s">
        <v>471</v>
      </c>
      <c r="T34" s="17" t="s">
        <v>471</v>
      </c>
      <c r="U34" s="17" t="s">
        <v>517</v>
      </c>
      <c r="V34" s="17" t="s">
        <v>473</v>
      </c>
      <c r="W34" s="73">
        <v>99996</v>
      </c>
      <c r="X34" s="18">
        <v>48</v>
      </c>
      <c r="Y34" s="74" t="s">
        <v>474</v>
      </c>
      <c r="Z34" s="17" t="s">
        <v>475</v>
      </c>
      <c r="AA34" s="17" t="s">
        <v>475</v>
      </c>
      <c r="AB34" s="17" t="s">
        <v>476</v>
      </c>
      <c r="AC34" s="18">
        <v>8333</v>
      </c>
      <c r="AD34" s="18">
        <v>8333</v>
      </c>
      <c r="AE34" s="18">
        <v>8333</v>
      </c>
      <c r="AF34" s="18">
        <v>8333</v>
      </c>
      <c r="AG34" s="18">
        <v>8333</v>
      </c>
      <c r="AH34" s="18">
        <v>8333</v>
      </c>
      <c r="AI34" s="18">
        <v>8333</v>
      </c>
      <c r="AJ34" s="18">
        <v>8333</v>
      </c>
      <c r="AK34" s="18">
        <v>8333</v>
      </c>
      <c r="AL34" s="18">
        <v>8333</v>
      </c>
      <c r="AM34" s="18">
        <v>8333</v>
      </c>
      <c r="AN34" s="18">
        <v>8333</v>
      </c>
      <c r="AO34" s="18">
        <v>99996</v>
      </c>
      <c r="AP34" s="103">
        <f>IF(N34="EUR",AO34,IF(N34="GBP",AO34/Rate!$C$3,'2.3 EIL Capex '!AO38/Rate!$C$5))</f>
        <v>99996</v>
      </c>
    </row>
    <row r="35" spans="1:42" x14ac:dyDescent="0.3">
      <c r="A35" s="17" t="s">
        <v>467</v>
      </c>
      <c r="B35" s="17"/>
      <c r="C35" s="17" t="s">
        <v>468</v>
      </c>
      <c r="D35" s="17" t="s">
        <v>724</v>
      </c>
      <c r="E35" s="17" t="s">
        <v>222</v>
      </c>
      <c r="F35" s="17" t="s">
        <v>222</v>
      </c>
      <c r="G35" s="17" t="s">
        <v>54</v>
      </c>
      <c r="H35" s="17" t="s">
        <v>54</v>
      </c>
      <c r="I35" s="17" t="s">
        <v>53</v>
      </c>
      <c r="J35" s="17" t="s">
        <v>53</v>
      </c>
      <c r="K35" s="17" t="s">
        <v>483</v>
      </c>
      <c r="L35" s="17" t="s">
        <v>483</v>
      </c>
      <c r="M35" s="17" t="s">
        <v>57</v>
      </c>
      <c r="N35" s="17" t="s">
        <v>57</v>
      </c>
      <c r="O35" s="17" t="s">
        <v>470</v>
      </c>
      <c r="P35" s="17" t="s">
        <v>470</v>
      </c>
      <c r="Q35" s="17" t="s">
        <v>471</v>
      </c>
      <c r="R35" s="17" t="s">
        <v>471</v>
      </c>
      <c r="S35" s="17" t="s">
        <v>471</v>
      </c>
      <c r="T35" s="17" t="s">
        <v>471</v>
      </c>
      <c r="U35" s="17" t="s">
        <v>522</v>
      </c>
      <c r="V35" s="17" t="s">
        <v>473</v>
      </c>
      <c r="W35" s="73">
        <v>99996</v>
      </c>
      <c r="X35" s="18">
        <v>48</v>
      </c>
      <c r="Y35" s="74" t="s">
        <v>474</v>
      </c>
      <c r="Z35" s="17" t="s">
        <v>475</v>
      </c>
      <c r="AA35" s="17" t="s">
        <v>475</v>
      </c>
      <c r="AB35" s="17" t="s">
        <v>476</v>
      </c>
      <c r="AC35" s="18">
        <v>8333</v>
      </c>
      <c r="AD35" s="18">
        <v>8333</v>
      </c>
      <c r="AE35" s="18">
        <v>8333</v>
      </c>
      <c r="AF35" s="18">
        <v>8333</v>
      </c>
      <c r="AG35" s="18">
        <v>8333</v>
      </c>
      <c r="AH35" s="18">
        <v>8333</v>
      </c>
      <c r="AI35" s="18">
        <v>8333</v>
      </c>
      <c r="AJ35" s="18">
        <v>8333</v>
      </c>
      <c r="AK35" s="18">
        <v>8333</v>
      </c>
      <c r="AL35" s="18">
        <v>8333</v>
      </c>
      <c r="AM35" s="18">
        <v>8333</v>
      </c>
      <c r="AN35" s="18">
        <v>8333</v>
      </c>
      <c r="AO35" s="18">
        <v>99996</v>
      </c>
      <c r="AP35" s="103">
        <f>IF(N35="EUR",AO35,IF(N35="GBP",AO35/Rate!$C$3,'2.3 EIL Capex '!AO41/Rate!$C$5))</f>
        <v>99996</v>
      </c>
    </row>
    <row r="36" spans="1:42" x14ac:dyDescent="0.3">
      <c r="A36" s="17" t="s">
        <v>467</v>
      </c>
      <c r="B36" s="17"/>
      <c r="C36" s="17" t="s">
        <v>468</v>
      </c>
      <c r="D36" s="17" t="s">
        <v>724</v>
      </c>
      <c r="E36" s="17" t="s">
        <v>222</v>
      </c>
      <c r="F36" s="17" t="s">
        <v>222</v>
      </c>
      <c r="G36" s="17" t="s">
        <v>54</v>
      </c>
      <c r="H36" s="17" t="s">
        <v>54</v>
      </c>
      <c r="I36" s="17" t="s">
        <v>53</v>
      </c>
      <c r="J36" s="17" t="s">
        <v>53</v>
      </c>
      <c r="K36" s="17" t="s">
        <v>483</v>
      </c>
      <c r="L36" s="17" t="s">
        <v>483</v>
      </c>
      <c r="M36" s="17" t="s">
        <v>57</v>
      </c>
      <c r="N36" s="17" t="s">
        <v>57</v>
      </c>
      <c r="O36" s="17" t="s">
        <v>497</v>
      </c>
      <c r="P36" s="17" t="s">
        <v>497</v>
      </c>
      <c r="Q36" s="17" t="s">
        <v>498</v>
      </c>
      <c r="R36" s="17" t="s">
        <v>498</v>
      </c>
      <c r="S36" s="17" t="s">
        <v>499</v>
      </c>
      <c r="T36" s="17" t="s">
        <v>499</v>
      </c>
      <c r="U36" s="17" t="s">
        <v>523</v>
      </c>
      <c r="V36" s="17" t="s">
        <v>473</v>
      </c>
      <c r="W36" s="73">
        <v>5799996</v>
      </c>
      <c r="X36" s="18">
        <v>48</v>
      </c>
      <c r="Y36" s="74" t="s">
        <v>474</v>
      </c>
      <c r="Z36" s="17" t="s">
        <v>475</v>
      </c>
      <c r="AA36" s="17" t="s">
        <v>475</v>
      </c>
      <c r="AB36" s="17" t="s">
        <v>476</v>
      </c>
      <c r="AC36" s="18">
        <v>483333</v>
      </c>
      <c r="AD36" s="18">
        <v>483333</v>
      </c>
      <c r="AE36" s="18">
        <v>483333</v>
      </c>
      <c r="AF36" s="18">
        <v>483333</v>
      </c>
      <c r="AG36" s="18">
        <v>483333</v>
      </c>
      <c r="AH36" s="18">
        <v>483333</v>
      </c>
      <c r="AI36" s="18">
        <v>483333</v>
      </c>
      <c r="AJ36" s="18">
        <v>483333</v>
      </c>
      <c r="AK36" s="18">
        <v>483333</v>
      </c>
      <c r="AL36" s="18">
        <v>483333</v>
      </c>
      <c r="AM36" s="18">
        <v>483333</v>
      </c>
      <c r="AN36" s="18">
        <v>483333</v>
      </c>
      <c r="AO36" s="18">
        <v>5799996</v>
      </c>
      <c r="AP36" s="103">
        <f>IF(N36="EUR",AO36,IF(N36="GBP",AO36/Rate!$C$3,'2.3 EIL Capex '!AO42/Rate!$C$5))</f>
        <v>5799996</v>
      </c>
    </row>
    <row r="37" spans="1:42" x14ac:dyDescent="0.3">
      <c r="A37" s="17" t="s">
        <v>467</v>
      </c>
      <c r="B37" s="17"/>
      <c r="C37" s="17" t="s">
        <v>468</v>
      </c>
      <c r="D37" s="17" t="s">
        <v>724</v>
      </c>
      <c r="E37" s="17" t="s">
        <v>222</v>
      </c>
      <c r="F37" s="17" t="s">
        <v>222</v>
      </c>
      <c r="G37" s="17" t="s">
        <v>54</v>
      </c>
      <c r="H37" s="17" t="s">
        <v>54</v>
      </c>
      <c r="I37" s="17" t="s">
        <v>53</v>
      </c>
      <c r="J37" s="17" t="s">
        <v>53</v>
      </c>
      <c r="K37" s="17" t="s">
        <v>483</v>
      </c>
      <c r="L37" s="17" t="s">
        <v>483</v>
      </c>
      <c r="M37" s="17" t="s">
        <v>57</v>
      </c>
      <c r="N37" s="17" t="s">
        <v>57</v>
      </c>
      <c r="O37" s="17" t="s">
        <v>470</v>
      </c>
      <c r="P37" s="17" t="s">
        <v>470</v>
      </c>
      <c r="Q37" s="17" t="s">
        <v>471</v>
      </c>
      <c r="R37" s="17" t="s">
        <v>471</v>
      </c>
      <c r="S37" s="17" t="s">
        <v>471</v>
      </c>
      <c r="T37" s="17" t="s">
        <v>471</v>
      </c>
      <c r="U37" s="17" t="s">
        <v>532</v>
      </c>
      <c r="V37" s="17" t="s">
        <v>473</v>
      </c>
      <c r="W37" s="73">
        <v>174000</v>
      </c>
      <c r="X37" s="18">
        <v>48</v>
      </c>
      <c r="Y37" s="74" t="s">
        <v>474</v>
      </c>
      <c r="Z37" s="17" t="s">
        <v>475</v>
      </c>
      <c r="AA37" s="17" t="s">
        <v>475</v>
      </c>
      <c r="AB37" s="17" t="s">
        <v>476</v>
      </c>
      <c r="AC37" s="18">
        <v>14500</v>
      </c>
      <c r="AD37" s="18">
        <v>14500</v>
      </c>
      <c r="AE37" s="18">
        <v>14500</v>
      </c>
      <c r="AF37" s="18">
        <v>14500</v>
      </c>
      <c r="AG37" s="18">
        <v>14500</v>
      </c>
      <c r="AH37" s="18">
        <v>14500</v>
      </c>
      <c r="AI37" s="18">
        <v>14500</v>
      </c>
      <c r="AJ37" s="18">
        <v>14500</v>
      </c>
      <c r="AK37" s="18">
        <v>14500</v>
      </c>
      <c r="AL37" s="18">
        <v>14500</v>
      </c>
      <c r="AM37" s="18">
        <v>14500</v>
      </c>
      <c r="AN37" s="18">
        <v>14500</v>
      </c>
      <c r="AO37" s="18">
        <v>174000</v>
      </c>
      <c r="AP37" s="103">
        <f>IF(N37="EUR",AO37,IF(N37="GBP",AO37/Rate!$C$3,'2.3 EIL Capex '!AO51/Rate!$C$5))</f>
        <v>174000</v>
      </c>
    </row>
    <row r="38" spans="1:42" x14ac:dyDescent="0.3">
      <c r="A38" s="17" t="s">
        <v>467</v>
      </c>
      <c r="B38" s="17"/>
      <c r="C38" s="17" t="s">
        <v>468</v>
      </c>
      <c r="D38" s="17" t="s">
        <v>724</v>
      </c>
      <c r="E38" s="17" t="s">
        <v>222</v>
      </c>
      <c r="F38" s="17" t="s">
        <v>222</v>
      </c>
      <c r="G38" s="17" t="s">
        <v>54</v>
      </c>
      <c r="H38" s="17" t="s">
        <v>54</v>
      </c>
      <c r="I38" s="17" t="s">
        <v>53</v>
      </c>
      <c r="J38" s="17" t="s">
        <v>53</v>
      </c>
      <c r="K38" s="17" t="s">
        <v>483</v>
      </c>
      <c r="L38" s="17" t="s">
        <v>483</v>
      </c>
      <c r="M38" s="17" t="s">
        <v>57</v>
      </c>
      <c r="N38" s="17" t="s">
        <v>57</v>
      </c>
      <c r="O38" s="17" t="s">
        <v>470</v>
      </c>
      <c r="P38" s="17" t="s">
        <v>470</v>
      </c>
      <c r="Q38" s="17" t="s">
        <v>471</v>
      </c>
      <c r="R38" s="17" t="s">
        <v>471</v>
      </c>
      <c r="S38" s="17" t="s">
        <v>471</v>
      </c>
      <c r="T38" s="17" t="s">
        <v>471</v>
      </c>
      <c r="U38" s="17" t="s">
        <v>533</v>
      </c>
      <c r="V38" s="17" t="s">
        <v>473</v>
      </c>
      <c r="W38" s="73">
        <v>1449996</v>
      </c>
      <c r="X38" s="18">
        <v>48</v>
      </c>
      <c r="Y38" s="74" t="s">
        <v>474</v>
      </c>
      <c r="Z38" s="17" t="s">
        <v>475</v>
      </c>
      <c r="AA38" s="17" t="s">
        <v>475</v>
      </c>
      <c r="AB38" s="17" t="s">
        <v>476</v>
      </c>
      <c r="AC38" s="18">
        <v>120833</v>
      </c>
      <c r="AD38" s="18">
        <v>120833</v>
      </c>
      <c r="AE38" s="18">
        <v>120833</v>
      </c>
      <c r="AF38" s="18">
        <v>120833</v>
      </c>
      <c r="AG38" s="18">
        <v>120833</v>
      </c>
      <c r="AH38" s="18">
        <v>120833</v>
      </c>
      <c r="AI38" s="18">
        <v>120833</v>
      </c>
      <c r="AJ38" s="18">
        <v>120833</v>
      </c>
      <c r="AK38" s="18">
        <v>120833</v>
      </c>
      <c r="AL38" s="18">
        <v>120833</v>
      </c>
      <c r="AM38" s="18">
        <v>120833</v>
      </c>
      <c r="AN38" s="18">
        <v>120833</v>
      </c>
      <c r="AO38" s="18">
        <v>1449996</v>
      </c>
      <c r="AP38" s="103">
        <f>IF(N38="EUR",AO38,IF(N38="GBP",AO38/Rate!$C$3,'2.3 EIL Capex '!AO52/Rate!$C$5))</f>
        <v>1449996</v>
      </c>
    </row>
    <row r="39" spans="1:42" x14ac:dyDescent="0.3">
      <c r="A39" s="17" t="s">
        <v>467</v>
      </c>
      <c r="B39" s="17"/>
      <c r="C39" s="17" t="s">
        <v>468</v>
      </c>
      <c r="D39" s="17" t="s">
        <v>724</v>
      </c>
      <c r="E39" s="17" t="s">
        <v>222</v>
      </c>
      <c r="F39" s="17" t="s">
        <v>222</v>
      </c>
      <c r="G39" s="17" t="s">
        <v>536</v>
      </c>
      <c r="H39" s="17" t="s">
        <v>536</v>
      </c>
      <c r="I39" s="17" t="s">
        <v>53</v>
      </c>
      <c r="J39" s="17" t="s">
        <v>53</v>
      </c>
      <c r="K39" s="17" t="s">
        <v>483</v>
      </c>
      <c r="L39" s="17" t="s">
        <v>483</v>
      </c>
      <c r="M39" s="17" t="s">
        <v>57</v>
      </c>
      <c r="N39" s="17" t="s">
        <v>57</v>
      </c>
      <c r="O39" s="17" t="s">
        <v>470</v>
      </c>
      <c r="P39" s="17" t="s">
        <v>470</v>
      </c>
      <c r="Q39" s="17" t="s">
        <v>471</v>
      </c>
      <c r="R39" s="17" t="s">
        <v>471</v>
      </c>
      <c r="S39" s="17" t="s">
        <v>471</v>
      </c>
      <c r="T39" s="17" t="s">
        <v>471</v>
      </c>
      <c r="U39" s="17" t="s">
        <v>537</v>
      </c>
      <c r="V39" s="17"/>
      <c r="W39" s="73">
        <v>1120377</v>
      </c>
      <c r="X39" s="18">
        <v>48</v>
      </c>
      <c r="Y39" s="74" t="s">
        <v>538</v>
      </c>
      <c r="Z39" s="17" t="s">
        <v>475</v>
      </c>
      <c r="AA39" s="17" t="s">
        <v>475</v>
      </c>
      <c r="AB39" s="17" t="s">
        <v>476</v>
      </c>
      <c r="AC39" s="18">
        <v>100000</v>
      </c>
      <c r="AD39" s="18">
        <v>100000</v>
      </c>
      <c r="AE39" s="18">
        <v>100000</v>
      </c>
      <c r="AF39" s="18">
        <v>100000</v>
      </c>
      <c r="AG39" s="18">
        <v>100000</v>
      </c>
      <c r="AH39" s="18">
        <v>100000</v>
      </c>
      <c r="AI39" s="18">
        <v>100000</v>
      </c>
      <c r="AJ39" s="18">
        <v>100000</v>
      </c>
      <c r="AK39" s="18">
        <v>100000</v>
      </c>
      <c r="AL39" s="18">
        <v>100000</v>
      </c>
      <c r="AM39" s="18">
        <v>100000</v>
      </c>
      <c r="AN39" s="18">
        <v>20377</v>
      </c>
      <c r="AO39" s="18">
        <v>1120377</v>
      </c>
      <c r="AP39" s="103">
        <f>IF(N39="EUR",AO39,IF(N39="GBP",AO39/Rate!$C$3,'2.3 EIL Capex '!AO55/Rate!$C$5))</f>
        <v>1120377</v>
      </c>
    </row>
    <row r="40" spans="1:42" x14ac:dyDescent="0.3">
      <c r="A40" s="17" t="s">
        <v>467</v>
      </c>
      <c r="B40" s="17"/>
      <c r="C40" s="17" t="s">
        <v>468</v>
      </c>
      <c r="D40" s="17" t="s">
        <v>724</v>
      </c>
      <c r="E40" s="17" t="s">
        <v>222</v>
      </c>
      <c r="F40" s="17" t="s">
        <v>222</v>
      </c>
      <c r="G40" s="17" t="s">
        <v>54</v>
      </c>
      <c r="H40" s="17" t="s">
        <v>54</v>
      </c>
      <c r="I40" s="17" t="s">
        <v>53</v>
      </c>
      <c r="J40" s="17" t="s">
        <v>53</v>
      </c>
      <c r="K40" s="17" t="s">
        <v>483</v>
      </c>
      <c r="L40" s="17" t="s">
        <v>483</v>
      </c>
      <c r="M40" s="17" t="s">
        <v>57</v>
      </c>
      <c r="N40" s="17" t="s">
        <v>57</v>
      </c>
      <c r="O40" s="17" t="s">
        <v>470</v>
      </c>
      <c r="P40" s="17" t="s">
        <v>470</v>
      </c>
      <c r="Q40" s="17" t="s">
        <v>471</v>
      </c>
      <c r="R40" s="17" t="s">
        <v>471</v>
      </c>
      <c r="S40" s="17" t="s">
        <v>471</v>
      </c>
      <c r="T40" s="17" t="s">
        <v>471</v>
      </c>
      <c r="U40" s="17" t="s">
        <v>547</v>
      </c>
      <c r="V40" s="17" t="s">
        <v>473</v>
      </c>
      <c r="W40" s="73">
        <v>99996</v>
      </c>
      <c r="X40" s="18">
        <v>48</v>
      </c>
      <c r="Y40" s="74" t="s">
        <v>474</v>
      </c>
      <c r="Z40" s="17" t="s">
        <v>475</v>
      </c>
      <c r="AA40" s="17" t="s">
        <v>475</v>
      </c>
      <c r="AB40" s="17" t="s">
        <v>476</v>
      </c>
      <c r="AC40" s="18">
        <v>8333</v>
      </c>
      <c r="AD40" s="18">
        <v>8333</v>
      </c>
      <c r="AE40" s="18">
        <v>8333</v>
      </c>
      <c r="AF40" s="18">
        <v>8333</v>
      </c>
      <c r="AG40" s="18">
        <v>8333</v>
      </c>
      <c r="AH40" s="18">
        <v>8333</v>
      </c>
      <c r="AI40" s="18">
        <v>8333</v>
      </c>
      <c r="AJ40" s="18">
        <v>8333</v>
      </c>
      <c r="AK40" s="18">
        <v>8333</v>
      </c>
      <c r="AL40" s="18">
        <v>8333</v>
      </c>
      <c r="AM40" s="18">
        <v>8333</v>
      </c>
      <c r="AN40" s="18">
        <v>8333</v>
      </c>
      <c r="AO40" s="18">
        <v>99996</v>
      </c>
      <c r="AP40" s="103">
        <f>IF(N40="EUR",AO40,IF(N40="GBP",AO40/Rate!$C$3,'2.3 EIL Capex '!AO64/Rate!$C$5))</f>
        <v>99996</v>
      </c>
    </row>
    <row r="41" spans="1:42" x14ac:dyDescent="0.3">
      <c r="A41" s="17" t="s">
        <v>467</v>
      </c>
      <c r="B41" s="17"/>
      <c r="C41" s="17" t="s">
        <v>468</v>
      </c>
      <c r="D41" s="17" t="s">
        <v>724</v>
      </c>
      <c r="E41" s="17" t="s">
        <v>222</v>
      </c>
      <c r="F41" s="17" t="s">
        <v>222</v>
      </c>
      <c r="G41" s="17" t="s">
        <v>54</v>
      </c>
      <c r="H41" s="17" t="s">
        <v>54</v>
      </c>
      <c r="I41" s="17" t="s">
        <v>53</v>
      </c>
      <c r="J41" s="17" t="s">
        <v>53</v>
      </c>
      <c r="K41" s="17" t="s">
        <v>483</v>
      </c>
      <c r="L41" s="17" t="s">
        <v>483</v>
      </c>
      <c r="M41" s="17" t="s">
        <v>57</v>
      </c>
      <c r="N41" s="17" t="s">
        <v>57</v>
      </c>
      <c r="O41" s="17" t="s">
        <v>470</v>
      </c>
      <c r="P41" s="17" t="s">
        <v>470</v>
      </c>
      <c r="Q41" s="17" t="s">
        <v>471</v>
      </c>
      <c r="R41" s="17" t="s">
        <v>471</v>
      </c>
      <c r="S41" s="17" t="s">
        <v>471</v>
      </c>
      <c r="T41" s="17" t="s">
        <v>471</v>
      </c>
      <c r="U41" s="17" t="s">
        <v>551</v>
      </c>
      <c r="V41" s="17" t="s">
        <v>473</v>
      </c>
      <c r="W41" s="73">
        <v>60000</v>
      </c>
      <c r="X41" s="18">
        <v>48</v>
      </c>
      <c r="Y41" s="74" t="s">
        <v>474</v>
      </c>
      <c r="Z41" s="17" t="s">
        <v>475</v>
      </c>
      <c r="AA41" s="17" t="s">
        <v>475</v>
      </c>
      <c r="AB41" s="17" t="s">
        <v>476</v>
      </c>
      <c r="AC41" s="18">
        <v>5000</v>
      </c>
      <c r="AD41" s="18">
        <v>5000</v>
      </c>
      <c r="AE41" s="18">
        <v>5000</v>
      </c>
      <c r="AF41" s="18">
        <v>5000</v>
      </c>
      <c r="AG41" s="18">
        <v>5000</v>
      </c>
      <c r="AH41" s="18">
        <v>5000</v>
      </c>
      <c r="AI41" s="18">
        <v>5000</v>
      </c>
      <c r="AJ41" s="18">
        <v>5000</v>
      </c>
      <c r="AK41" s="18">
        <v>5000</v>
      </c>
      <c r="AL41" s="18">
        <v>5000</v>
      </c>
      <c r="AM41" s="18">
        <v>5000</v>
      </c>
      <c r="AN41" s="18">
        <v>5000</v>
      </c>
      <c r="AO41" s="18">
        <v>60000</v>
      </c>
      <c r="AP41" s="103">
        <f>IF(N41="EUR",AO41,IF(N41="GBP",AO41/Rate!$C$3,'2.3 EIL Capex '!AO68/Rate!$C$5))</f>
        <v>60000</v>
      </c>
    </row>
    <row r="42" spans="1:42" x14ac:dyDescent="0.3">
      <c r="A42" s="17" t="s">
        <v>467</v>
      </c>
      <c r="B42" s="17"/>
      <c r="C42" s="17" t="s">
        <v>468</v>
      </c>
      <c r="D42" s="17" t="s">
        <v>724</v>
      </c>
      <c r="E42" s="17" t="s">
        <v>222</v>
      </c>
      <c r="F42" s="17" t="s">
        <v>222</v>
      </c>
      <c r="G42" s="17" t="s">
        <v>54</v>
      </c>
      <c r="H42" s="17" t="s">
        <v>54</v>
      </c>
      <c r="I42" s="17" t="s">
        <v>53</v>
      </c>
      <c r="J42" s="17" t="s">
        <v>53</v>
      </c>
      <c r="K42" s="17" t="s">
        <v>483</v>
      </c>
      <c r="L42" s="17" t="s">
        <v>483</v>
      </c>
      <c r="M42" s="17" t="s">
        <v>57</v>
      </c>
      <c r="N42" s="17" t="s">
        <v>57</v>
      </c>
      <c r="O42" s="17" t="s">
        <v>470</v>
      </c>
      <c r="P42" s="17" t="s">
        <v>470</v>
      </c>
      <c r="Q42" s="17" t="s">
        <v>471</v>
      </c>
      <c r="R42" s="17" t="s">
        <v>471</v>
      </c>
      <c r="S42" s="17" t="s">
        <v>471</v>
      </c>
      <c r="T42" s="17" t="s">
        <v>471</v>
      </c>
      <c r="U42" s="17" t="s">
        <v>553</v>
      </c>
      <c r="V42" s="17" t="s">
        <v>473</v>
      </c>
      <c r="W42" s="73">
        <v>50004</v>
      </c>
      <c r="X42" s="18">
        <v>48</v>
      </c>
      <c r="Y42" s="74" t="s">
        <v>474</v>
      </c>
      <c r="Z42" s="17" t="s">
        <v>475</v>
      </c>
      <c r="AA42" s="17" t="s">
        <v>475</v>
      </c>
      <c r="AB42" s="17" t="s">
        <v>476</v>
      </c>
      <c r="AC42" s="18">
        <v>4167</v>
      </c>
      <c r="AD42" s="18">
        <v>4167</v>
      </c>
      <c r="AE42" s="18">
        <v>4167</v>
      </c>
      <c r="AF42" s="18">
        <v>4167</v>
      </c>
      <c r="AG42" s="18">
        <v>4167</v>
      </c>
      <c r="AH42" s="18">
        <v>4167</v>
      </c>
      <c r="AI42" s="18">
        <v>4167</v>
      </c>
      <c r="AJ42" s="18">
        <v>4167</v>
      </c>
      <c r="AK42" s="18">
        <v>4167</v>
      </c>
      <c r="AL42" s="18">
        <v>4167</v>
      </c>
      <c r="AM42" s="18">
        <v>4167</v>
      </c>
      <c r="AN42" s="18">
        <v>4167</v>
      </c>
      <c r="AO42" s="18">
        <v>50004</v>
      </c>
      <c r="AP42" s="103">
        <f>IF(N42="EUR",AO42,IF(N42="GBP",AO42/Rate!$C$3,'2.3 EIL Capex '!AO70/Rate!$C$5))</f>
        <v>50004</v>
      </c>
    </row>
    <row r="43" spans="1:42" x14ac:dyDescent="0.3">
      <c r="A43" s="17" t="s">
        <v>467</v>
      </c>
      <c r="B43" s="17"/>
      <c r="C43" s="17" t="s">
        <v>468</v>
      </c>
      <c r="D43" s="17" t="s">
        <v>778</v>
      </c>
      <c r="E43" s="17" t="s">
        <v>274</v>
      </c>
      <c r="F43" s="17" t="s">
        <v>274</v>
      </c>
      <c r="G43" s="17" t="s">
        <v>54</v>
      </c>
      <c r="H43" s="17" t="s">
        <v>54</v>
      </c>
      <c r="I43" s="17" t="s">
        <v>53</v>
      </c>
      <c r="J43" s="17" t="s">
        <v>53</v>
      </c>
      <c r="K43" s="17" t="s">
        <v>477</v>
      </c>
      <c r="L43" s="17" t="s">
        <v>477</v>
      </c>
      <c r="M43" s="17" t="s">
        <v>72</v>
      </c>
      <c r="N43" s="17" t="s">
        <v>72</v>
      </c>
      <c r="O43" s="17" t="s">
        <v>470</v>
      </c>
      <c r="P43" s="17" t="s">
        <v>470</v>
      </c>
      <c r="Q43" s="17" t="s">
        <v>471</v>
      </c>
      <c r="R43" s="17" t="s">
        <v>471</v>
      </c>
      <c r="S43" s="17" t="s">
        <v>471</v>
      </c>
      <c r="T43" s="17" t="s">
        <v>471</v>
      </c>
      <c r="U43" s="17" t="s">
        <v>478</v>
      </c>
      <c r="V43" s="17" t="s">
        <v>473</v>
      </c>
      <c r="W43" s="73">
        <v>50004</v>
      </c>
      <c r="X43" s="18">
        <v>48</v>
      </c>
      <c r="Y43" s="74" t="s">
        <v>474</v>
      </c>
      <c r="Z43" s="17" t="s">
        <v>475</v>
      </c>
      <c r="AA43" s="17" t="s">
        <v>475</v>
      </c>
      <c r="AB43" s="17" t="s">
        <v>476</v>
      </c>
      <c r="AC43" s="18">
        <v>4167</v>
      </c>
      <c r="AD43" s="18">
        <v>4167</v>
      </c>
      <c r="AE43" s="18">
        <v>4167</v>
      </c>
      <c r="AF43" s="18">
        <v>4167</v>
      </c>
      <c r="AG43" s="18">
        <v>4167</v>
      </c>
      <c r="AH43" s="18">
        <v>4167</v>
      </c>
      <c r="AI43" s="18">
        <v>4167</v>
      </c>
      <c r="AJ43" s="18">
        <v>4167</v>
      </c>
      <c r="AK43" s="18">
        <v>4167</v>
      </c>
      <c r="AL43" s="18">
        <v>4167</v>
      </c>
      <c r="AM43" s="18">
        <v>4167</v>
      </c>
      <c r="AN43" s="18">
        <v>4167</v>
      </c>
      <c r="AO43" s="18">
        <v>50004</v>
      </c>
      <c r="AP43" s="103">
        <f>IF(N43="EUR",AO43,IF(N43="GBP",AO43/Rate!$C$3,'2.3 EIL Capex '!AO6/Rate!$C$5))</f>
        <v>57475.862068965514</v>
      </c>
    </row>
    <row r="44" spans="1:42" x14ac:dyDescent="0.3">
      <c r="A44" s="17" t="s">
        <v>467</v>
      </c>
      <c r="B44" s="17"/>
      <c r="C44" s="17" t="s">
        <v>468</v>
      </c>
      <c r="D44" s="17" t="s">
        <v>778</v>
      </c>
      <c r="E44" s="17" t="s">
        <v>274</v>
      </c>
      <c r="F44" s="17" t="s">
        <v>274</v>
      </c>
      <c r="G44" s="17" t="s">
        <v>54</v>
      </c>
      <c r="H44" s="17" t="s">
        <v>54</v>
      </c>
      <c r="I44" s="17" t="s">
        <v>53</v>
      </c>
      <c r="J44" s="17" t="s">
        <v>53</v>
      </c>
      <c r="K44" s="17" t="s">
        <v>477</v>
      </c>
      <c r="L44" s="17" t="s">
        <v>477</v>
      </c>
      <c r="M44" s="17" t="s">
        <v>72</v>
      </c>
      <c r="N44" s="17" t="s">
        <v>72</v>
      </c>
      <c r="O44" s="17" t="s">
        <v>470</v>
      </c>
      <c r="P44" s="17" t="s">
        <v>470</v>
      </c>
      <c r="Q44" s="17" t="s">
        <v>471</v>
      </c>
      <c r="R44" s="17" t="s">
        <v>471</v>
      </c>
      <c r="S44" s="17" t="s">
        <v>471</v>
      </c>
      <c r="T44" s="17" t="s">
        <v>471</v>
      </c>
      <c r="U44" s="17" t="s">
        <v>479</v>
      </c>
      <c r="V44" s="17" t="s">
        <v>473</v>
      </c>
      <c r="W44" s="73">
        <v>849996</v>
      </c>
      <c r="X44" s="18">
        <v>48</v>
      </c>
      <c r="Y44" s="74" t="s">
        <v>474</v>
      </c>
      <c r="Z44" s="17" t="s">
        <v>475</v>
      </c>
      <c r="AA44" s="17" t="s">
        <v>475</v>
      </c>
      <c r="AB44" s="17" t="s">
        <v>476</v>
      </c>
      <c r="AC44" s="18">
        <v>70833</v>
      </c>
      <c r="AD44" s="18">
        <v>70833</v>
      </c>
      <c r="AE44" s="18">
        <v>70833</v>
      </c>
      <c r="AF44" s="18">
        <v>70833</v>
      </c>
      <c r="AG44" s="18">
        <v>70833</v>
      </c>
      <c r="AH44" s="18">
        <v>70833</v>
      </c>
      <c r="AI44" s="18">
        <v>70833</v>
      </c>
      <c r="AJ44" s="18">
        <v>70833</v>
      </c>
      <c r="AK44" s="18">
        <v>70833</v>
      </c>
      <c r="AL44" s="18">
        <v>70833</v>
      </c>
      <c r="AM44" s="18">
        <v>70833</v>
      </c>
      <c r="AN44" s="18">
        <v>70833</v>
      </c>
      <c r="AO44" s="18">
        <v>849996</v>
      </c>
      <c r="AP44" s="103">
        <f>IF(N44="EUR",AO44,IF(N44="GBP",AO44/Rate!$C$3,'2.3 EIL Capex '!AO7/Rate!$C$5))</f>
        <v>977006.89655172417</v>
      </c>
    </row>
    <row r="45" spans="1:42" x14ac:dyDescent="0.3">
      <c r="A45" s="17" t="s">
        <v>467</v>
      </c>
      <c r="B45" s="17"/>
      <c r="C45" s="17" t="s">
        <v>468</v>
      </c>
      <c r="D45" s="17" t="s">
        <v>778</v>
      </c>
      <c r="E45" s="17" t="s">
        <v>274</v>
      </c>
      <c r="F45" s="17" t="s">
        <v>274</v>
      </c>
      <c r="G45" s="17" t="s">
        <v>54</v>
      </c>
      <c r="H45" s="17" t="s">
        <v>54</v>
      </c>
      <c r="I45" s="17" t="s">
        <v>53</v>
      </c>
      <c r="J45" s="17" t="s">
        <v>53</v>
      </c>
      <c r="K45" s="17" t="s">
        <v>477</v>
      </c>
      <c r="L45" s="17" t="s">
        <v>477</v>
      </c>
      <c r="M45" s="17" t="s">
        <v>72</v>
      </c>
      <c r="N45" s="17" t="s">
        <v>72</v>
      </c>
      <c r="O45" s="17" t="s">
        <v>470</v>
      </c>
      <c r="P45" s="17" t="s">
        <v>470</v>
      </c>
      <c r="Q45" s="17" t="s">
        <v>471</v>
      </c>
      <c r="R45" s="17" t="s">
        <v>471</v>
      </c>
      <c r="S45" s="17" t="s">
        <v>471</v>
      </c>
      <c r="T45" s="17" t="s">
        <v>471</v>
      </c>
      <c r="U45" s="17" t="s">
        <v>480</v>
      </c>
      <c r="V45" s="17" t="s">
        <v>473</v>
      </c>
      <c r="W45" s="73">
        <v>300000</v>
      </c>
      <c r="X45" s="18">
        <v>48</v>
      </c>
      <c r="Y45" s="74" t="s">
        <v>474</v>
      </c>
      <c r="Z45" s="17" t="s">
        <v>475</v>
      </c>
      <c r="AA45" s="17" t="s">
        <v>475</v>
      </c>
      <c r="AB45" s="17" t="s">
        <v>476</v>
      </c>
      <c r="AC45" s="18">
        <v>25000</v>
      </c>
      <c r="AD45" s="18">
        <v>25000</v>
      </c>
      <c r="AE45" s="18">
        <v>25000</v>
      </c>
      <c r="AF45" s="18">
        <v>25000</v>
      </c>
      <c r="AG45" s="18">
        <v>25000</v>
      </c>
      <c r="AH45" s="18">
        <v>25000</v>
      </c>
      <c r="AI45" s="18">
        <v>25000</v>
      </c>
      <c r="AJ45" s="18">
        <v>25000</v>
      </c>
      <c r="AK45" s="18">
        <v>25000</v>
      </c>
      <c r="AL45" s="18">
        <v>25000</v>
      </c>
      <c r="AM45" s="18">
        <v>25000</v>
      </c>
      <c r="AN45" s="18">
        <v>25000</v>
      </c>
      <c r="AO45" s="18">
        <v>300000</v>
      </c>
      <c r="AP45" s="103">
        <f>IF(N45="EUR",AO45,IF(N45="GBP",AO45/Rate!$C$3,'2.3 EIL Capex '!AO8/Rate!$C$5))</f>
        <v>344827.58620689658</v>
      </c>
    </row>
    <row r="46" spans="1:42" x14ac:dyDescent="0.3">
      <c r="A46" s="17" t="s">
        <v>467</v>
      </c>
      <c r="B46" s="17"/>
      <c r="C46" s="17" t="s">
        <v>468</v>
      </c>
      <c r="D46" s="17" t="s">
        <v>778</v>
      </c>
      <c r="E46" s="17" t="s">
        <v>274</v>
      </c>
      <c r="F46" s="17" t="s">
        <v>274</v>
      </c>
      <c r="G46" s="17" t="s">
        <v>54</v>
      </c>
      <c r="H46" s="17" t="s">
        <v>54</v>
      </c>
      <c r="I46" s="17" t="s">
        <v>53</v>
      </c>
      <c r="J46" s="17" t="s">
        <v>53</v>
      </c>
      <c r="K46" s="17" t="s">
        <v>477</v>
      </c>
      <c r="L46" s="17" t="s">
        <v>477</v>
      </c>
      <c r="M46" s="17" t="s">
        <v>72</v>
      </c>
      <c r="N46" s="17" t="s">
        <v>72</v>
      </c>
      <c r="O46" s="17" t="s">
        <v>470</v>
      </c>
      <c r="P46" s="17" t="s">
        <v>470</v>
      </c>
      <c r="Q46" s="17" t="s">
        <v>471</v>
      </c>
      <c r="R46" s="17" t="s">
        <v>471</v>
      </c>
      <c r="S46" s="17" t="s">
        <v>471</v>
      </c>
      <c r="T46" s="17" t="s">
        <v>471</v>
      </c>
      <c r="U46" s="17" t="s">
        <v>481</v>
      </c>
      <c r="V46" s="17" t="s">
        <v>473</v>
      </c>
      <c r="W46" s="73">
        <v>290004</v>
      </c>
      <c r="X46" s="18">
        <v>48</v>
      </c>
      <c r="Y46" s="74" t="s">
        <v>474</v>
      </c>
      <c r="Z46" s="17" t="s">
        <v>475</v>
      </c>
      <c r="AA46" s="17" t="s">
        <v>475</v>
      </c>
      <c r="AB46" s="17" t="s">
        <v>476</v>
      </c>
      <c r="AC46" s="18">
        <v>24167</v>
      </c>
      <c r="AD46" s="18">
        <v>24167</v>
      </c>
      <c r="AE46" s="18">
        <v>24167</v>
      </c>
      <c r="AF46" s="18">
        <v>24167</v>
      </c>
      <c r="AG46" s="18">
        <v>24167</v>
      </c>
      <c r="AH46" s="18">
        <v>24167</v>
      </c>
      <c r="AI46" s="18">
        <v>24167</v>
      </c>
      <c r="AJ46" s="18">
        <v>24167</v>
      </c>
      <c r="AK46" s="18">
        <v>24167</v>
      </c>
      <c r="AL46" s="18">
        <v>24167</v>
      </c>
      <c r="AM46" s="18">
        <v>24167</v>
      </c>
      <c r="AN46" s="18">
        <v>24167</v>
      </c>
      <c r="AO46" s="18">
        <v>290004</v>
      </c>
      <c r="AP46" s="103">
        <f>IF(N46="EUR",AO46,IF(N46="GBP",AO46/Rate!$C$3,'2.3 EIL Capex '!AO9/Rate!$C$5))</f>
        <v>333337.93103448278</v>
      </c>
    </row>
    <row r="47" spans="1:42" x14ac:dyDescent="0.3">
      <c r="A47" s="17" t="s">
        <v>467</v>
      </c>
      <c r="B47" s="17"/>
      <c r="C47" s="17" t="s">
        <v>468</v>
      </c>
      <c r="D47" s="17" t="s">
        <v>778</v>
      </c>
      <c r="E47" s="17" t="s">
        <v>274</v>
      </c>
      <c r="F47" s="17" t="s">
        <v>274</v>
      </c>
      <c r="G47" s="17" t="s">
        <v>54</v>
      </c>
      <c r="H47" s="17" t="s">
        <v>54</v>
      </c>
      <c r="I47" s="17" t="s">
        <v>53</v>
      </c>
      <c r="J47" s="17" t="s">
        <v>53</v>
      </c>
      <c r="K47" s="17" t="s">
        <v>477</v>
      </c>
      <c r="L47" s="17" t="s">
        <v>477</v>
      </c>
      <c r="M47" s="17" t="s">
        <v>72</v>
      </c>
      <c r="N47" s="17" t="s">
        <v>72</v>
      </c>
      <c r="O47" s="17" t="s">
        <v>470</v>
      </c>
      <c r="P47" s="17" t="s">
        <v>470</v>
      </c>
      <c r="Q47" s="17" t="s">
        <v>471</v>
      </c>
      <c r="R47" s="17" t="s">
        <v>471</v>
      </c>
      <c r="S47" s="17" t="s">
        <v>471</v>
      </c>
      <c r="T47" s="17" t="s">
        <v>471</v>
      </c>
      <c r="U47" s="17" t="s">
        <v>482</v>
      </c>
      <c r="V47" s="17" t="s">
        <v>473</v>
      </c>
      <c r="W47" s="73">
        <v>489996</v>
      </c>
      <c r="X47" s="18">
        <v>48</v>
      </c>
      <c r="Y47" s="74" t="s">
        <v>474</v>
      </c>
      <c r="Z47" s="17" t="s">
        <v>475</v>
      </c>
      <c r="AA47" s="17" t="s">
        <v>475</v>
      </c>
      <c r="AB47" s="17" t="s">
        <v>476</v>
      </c>
      <c r="AC47" s="18">
        <v>40833</v>
      </c>
      <c r="AD47" s="18">
        <v>40833</v>
      </c>
      <c r="AE47" s="18">
        <v>40833</v>
      </c>
      <c r="AF47" s="18">
        <v>40833</v>
      </c>
      <c r="AG47" s="18">
        <v>40833</v>
      </c>
      <c r="AH47" s="18">
        <v>40833</v>
      </c>
      <c r="AI47" s="18">
        <v>40833</v>
      </c>
      <c r="AJ47" s="18">
        <v>40833</v>
      </c>
      <c r="AK47" s="18">
        <v>40833</v>
      </c>
      <c r="AL47" s="18">
        <v>40833</v>
      </c>
      <c r="AM47" s="18">
        <v>40833</v>
      </c>
      <c r="AN47" s="18">
        <v>40833</v>
      </c>
      <c r="AO47" s="18">
        <v>489996</v>
      </c>
      <c r="AP47" s="103">
        <f>IF(N47="EUR",AO47,IF(N47="GBP",AO47/Rate!$C$3,'2.3 EIL Capex '!AO10/Rate!$C$5))</f>
        <v>563213.79310344823</v>
      </c>
    </row>
    <row r="48" spans="1:42" x14ac:dyDescent="0.3">
      <c r="A48" s="17" t="s">
        <v>467</v>
      </c>
      <c r="B48" s="17"/>
      <c r="C48" s="17" t="s">
        <v>468</v>
      </c>
      <c r="D48" s="17" t="s">
        <v>778</v>
      </c>
      <c r="E48" s="17" t="s">
        <v>274</v>
      </c>
      <c r="F48" s="17" t="s">
        <v>274</v>
      </c>
      <c r="G48" s="17" t="s">
        <v>54</v>
      </c>
      <c r="H48" s="17" t="s">
        <v>54</v>
      </c>
      <c r="I48" s="17" t="s">
        <v>53</v>
      </c>
      <c r="J48" s="17" t="s">
        <v>53</v>
      </c>
      <c r="K48" s="17" t="s">
        <v>477</v>
      </c>
      <c r="L48" s="17" t="s">
        <v>477</v>
      </c>
      <c r="M48" s="17" t="s">
        <v>72</v>
      </c>
      <c r="N48" s="17" t="s">
        <v>72</v>
      </c>
      <c r="O48" s="17" t="s">
        <v>470</v>
      </c>
      <c r="P48" s="17" t="s">
        <v>470</v>
      </c>
      <c r="Q48" s="17" t="s">
        <v>471</v>
      </c>
      <c r="R48" s="17" t="s">
        <v>471</v>
      </c>
      <c r="S48" s="17" t="s">
        <v>471</v>
      </c>
      <c r="T48" s="17" t="s">
        <v>471</v>
      </c>
      <c r="U48" s="17" t="s">
        <v>486</v>
      </c>
      <c r="V48" s="17" t="s">
        <v>473</v>
      </c>
      <c r="W48" s="73">
        <v>300000</v>
      </c>
      <c r="X48" s="18">
        <v>48</v>
      </c>
      <c r="Y48" s="74" t="s">
        <v>474</v>
      </c>
      <c r="Z48" s="17" t="s">
        <v>475</v>
      </c>
      <c r="AA48" s="17" t="s">
        <v>475</v>
      </c>
      <c r="AB48" s="17" t="s">
        <v>476</v>
      </c>
      <c r="AC48" s="18">
        <v>25000</v>
      </c>
      <c r="AD48" s="18">
        <v>25000</v>
      </c>
      <c r="AE48" s="18">
        <v>25000</v>
      </c>
      <c r="AF48" s="18">
        <v>25000</v>
      </c>
      <c r="AG48" s="18">
        <v>25000</v>
      </c>
      <c r="AH48" s="18">
        <v>25000</v>
      </c>
      <c r="AI48" s="18">
        <v>25000</v>
      </c>
      <c r="AJ48" s="18">
        <v>25000</v>
      </c>
      <c r="AK48" s="18">
        <v>25000</v>
      </c>
      <c r="AL48" s="18">
        <v>25000</v>
      </c>
      <c r="AM48" s="18">
        <v>25000</v>
      </c>
      <c r="AN48" s="18">
        <v>25000</v>
      </c>
      <c r="AO48" s="18">
        <v>300000</v>
      </c>
      <c r="AP48" s="103">
        <f>IF(N48="EUR",AO48,IF(N48="GBP",AO48/Rate!$C$3,'2.3 EIL Capex '!AO13/Rate!$C$5))</f>
        <v>344827.58620689658</v>
      </c>
    </row>
    <row r="49" spans="1:42" x14ac:dyDescent="0.3">
      <c r="A49" s="17" t="s">
        <v>467</v>
      </c>
      <c r="B49" s="17"/>
      <c r="C49" s="17" t="s">
        <v>468</v>
      </c>
      <c r="D49" s="17" t="s">
        <v>778</v>
      </c>
      <c r="E49" s="17" t="s">
        <v>274</v>
      </c>
      <c r="F49" s="17" t="s">
        <v>274</v>
      </c>
      <c r="G49" s="17" t="s">
        <v>54</v>
      </c>
      <c r="H49" s="17" t="s">
        <v>54</v>
      </c>
      <c r="I49" s="17" t="s">
        <v>53</v>
      </c>
      <c r="J49" s="17" t="s">
        <v>53</v>
      </c>
      <c r="K49" s="17" t="s">
        <v>477</v>
      </c>
      <c r="L49" s="17" t="s">
        <v>477</v>
      </c>
      <c r="M49" s="17" t="s">
        <v>72</v>
      </c>
      <c r="N49" s="17" t="s">
        <v>72</v>
      </c>
      <c r="O49" s="17" t="s">
        <v>470</v>
      </c>
      <c r="P49" s="17" t="s">
        <v>470</v>
      </c>
      <c r="Q49" s="17" t="s">
        <v>471</v>
      </c>
      <c r="R49" s="17" t="s">
        <v>471</v>
      </c>
      <c r="S49" s="17" t="s">
        <v>471</v>
      </c>
      <c r="T49" s="17" t="s">
        <v>471</v>
      </c>
      <c r="U49" s="17" t="s">
        <v>487</v>
      </c>
      <c r="V49" s="17" t="s">
        <v>473</v>
      </c>
      <c r="W49" s="73">
        <v>200004</v>
      </c>
      <c r="X49" s="18">
        <v>48</v>
      </c>
      <c r="Y49" s="74" t="s">
        <v>474</v>
      </c>
      <c r="Z49" s="17" t="s">
        <v>475</v>
      </c>
      <c r="AA49" s="17" t="s">
        <v>475</v>
      </c>
      <c r="AB49" s="17" t="s">
        <v>476</v>
      </c>
      <c r="AC49" s="18">
        <v>16667</v>
      </c>
      <c r="AD49" s="18">
        <v>16667</v>
      </c>
      <c r="AE49" s="18">
        <v>16667</v>
      </c>
      <c r="AF49" s="18">
        <v>16667</v>
      </c>
      <c r="AG49" s="18">
        <v>16667</v>
      </c>
      <c r="AH49" s="18">
        <v>16667</v>
      </c>
      <c r="AI49" s="18">
        <v>16667</v>
      </c>
      <c r="AJ49" s="18">
        <v>16667</v>
      </c>
      <c r="AK49" s="18">
        <v>16667</v>
      </c>
      <c r="AL49" s="18">
        <v>16667</v>
      </c>
      <c r="AM49" s="18">
        <v>16667</v>
      </c>
      <c r="AN49" s="18">
        <v>16667</v>
      </c>
      <c r="AO49" s="18">
        <v>200004</v>
      </c>
      <c r="AP49" s="103">
        <f>IF(N49="EUR",AO49,IF(N49="GBP",AO49/Rate!$C$3,'2.3 EIL Capex '!AO14/Rate!$C$5))</f>
        <v>229889.6551724138</v>
      </c>
    </row>
    <row r="50" spans="1:42" x14ac:dyDescent="0.3">
      <c r="A50" s="17" t="s">
        <v>467</v>
      </c>
      <c r="B50" s="17"/>
      <c r="C50" s="17" t="s">
        <v>468</v>
      </c>
      <c r="D50" s="17" t="s">
        <v>778</v>
      </c>
      <c r="E50" s="17" t="s">
        <v>274</v>
      </c>
      <c r="F50" s="17" t="s">
        <v>274</v>
      </c>
      <c r="G50" s="17" t="s">
        <v>54</v>
      </c>
      <c r="H50" s="17" t="s">
        <v>54</v>
      </c>
      <c r="I50" s="17" t="s">
        <v>53</v>
      </c>
      <c r="J50" s="17" t="s">
        <v>53</v>
      </c>
      <c r="K50" s="17" t="s">
        <v>477</v>
      </c>
      <c r="L50" s="17" t="s">
        <v>477</v>
      </c>
      <c r="M50" s="17" t="s">
        <v>72</v>
      </c>
      <c r="N50" s="17" t="s">
        <v>72</v>
      </c>
      <c r="O50" s="17" t="s">
        <v>470</v>
      </c>
      <c r="P50" s="17" t="s">
        <v>470</v>
      </c>
      <c r="Q50" s="17" t="s">
        <v>471</v>
      </c>
      <c r="R50" s="17" t="s">
        <v>471</v>
      </c>
      <c r="S50" s="17" t="s">
        <v>471</v>
      </c>
      <c r="T50" s="17" t="s">
        <v>471</v>
      </c>
      <c r="U50" s="17" t="s">
        <v>488</v>
      </c>
      <c r="V50" s="17" t="s">
        <v>473</v>
      </c>
      <c r="W50" s="73">
        <v>120000</v>
      </c>
      <c r="X50" s="18">
        <v>48</v>
      </c>
      <c r="Y50" s="74" t="s">
        <v>474</v>
      </c>
      <c r="Z50" s="17" t="s">
        <v>475</v>
      </c>
      <c r="AA50" s="17" t="s">
        <v>475</v>
      </c>
      <c r="AB50" s="17" t="s">
        <v>476</v>
      </c>
      <c r="AC50" s="18">
        <v>10000</v>
      </c>
      <c r="AD50" s="18">
        <v>10000</v>
      </c>
      <c r="AE50" s="18">
        <v>10000</v>
      </c>
      <c r="AF50" s="18">
        <v>10000</v>
      </c>
      <c r="AG50" s="18">
        <v>10000</v>
      </c>
      <c r="AH50" s="18">
        <v>10000</v>
      </c>
      <c r="AI50" s="18">
        <v>10000</v>
      </c>
      <c r="AJ50" s="18">
        <v>10000</v>
      </c>
      <c r="AK50" s="18">
        <v>10000</v>
      </c>
      <c r="AL50" s="18">
        <v>10000</v>
      </c>
      <c r="AM50" s="18">
        <v>10000</v>
      </c>
      <c r="AN50" s="18">
        <v>10000</v>
      </c>
      <c r="AO50" s="18">
        <v>120000</v>
      </c>
      <c r="AP50" s="103">
        <f>IF(N50="EUR",AO50,IF(N50="GBP",AO50/Rate!$C$3,'2.3 EIL Capex '!AO15/Rate!$C$5))</f>
        <v>137931.03448275861</v>
      </c>
    </row>
    <row r="51" spans="1:42" x14ac:dyDescent="0.3">
      <c r="A51" s="17" t="s">
        <v>467</v>
      </c>
      <c r="B51" s="17"/>
      <c r="C51" s="17" t="s">
        <v>468</v>
      </c>
      <c r="D51" s="17" t="s">
        <v>778</v>
      </c>
      <c r="E51" s="17" t="s">
        <v>274</v>
      </c>
      <c r="F51" s="17" t="s">
        <v>274</v>
      </c>
      <c r="G51" s="17" t="s">
        <v>54</v>
      </c>
      <c r="H51" s="17" t="s">
        <v>54</v>
      </c>
      <c r="I51" s="17" t="s">
        <v>53</v>
      </c>
      <c r="J51" s="17" t="s">
        <v>53</v>
      </c>
      <c r="K51" s="17" t="s">
        <v>477</v>
      </c>
      <c r="L51" s="17" t="s">
        <v>477</v>
      </c>
      <c r="M51" s="17" t="s">
        <v>72</v>
      </c>
      <c r="N51" s="17" t="s">
        <v>72</v>
      </c>
      <c r="O51" s="17" t="s">
        <v>470</v>
      </c>
      <c r="P51" s="17" t="s">
        <v>470</v>
      </c>
      <c r="Q51" s="17" t="s">
        <v>471</v>
      </c>
      <c r="R51" s="17" t="s">
        <v>471</v>
      </c>
      <c r="S51" s="17" t="s">
        <v>471</v>
      </c>
      <c r="T51" s="17" t="s">
        <v>471</v>
      </c>
      <c r="U51" s="17" t="s">
        <v>489</v>
      </c>
      <c r="V51" s="17" t="s">
        <v>473</v>
      </c>
      <c r="W51" s="73">
        <v>350004</v>
      </c>
      <c r="X51" s="18">
        <v>48</v>
      </c>
      <c r="Y51" s="74" t="s">
        <v>474</v>
      </c>
      <c r="Z51" s="17" t="s">
        <v>475</v>
      </c>
      <c r="AA51" s="17" t="s">
        <v>475</v>
      </c>
      <c r="AB51" s="17" t="s">
        <v>476</v>
      </c>
      <c r="AC51" s="18">
        <v>29167</v>
      </c>
      <c r="AD51" s="18">
        <v>29167</v>
      </c>
      <c r="AE51" s="18">
        <v>29167</v>
      </c>
      <c r="AF51" s="18">
        <v>29167</v>
      </c>
      <c r="AG51" s="18">
        <v>29167</v>
      </c>
      <c r="AH51" s="18">
        <v>29167</v>
      </c>
      <c r="AI51" s="18">
        <v>29167</v>
      </c>
      <c r="AJ51" s="18">
        <v>29167</v>
      </c>
      <c r="AK51" s="18">
        <v>29167</v>
      </c>
      <c r="AL51" s="18">
        <v>29167</v>
      </c>
      <c r="AM51" s="18">
        <v>29167</v>
      </c>
      <c r="AN51" s="18">
        <v>29167</v>
      </c>
      <c r="AO51" s="18">
        <v>350004</v>
      </c>
      <c r="AP51" s="103">
        <f>IF(N51="EUR",AO51,IF(N51="GBP",AO51/Rate!$C$3,'2.3 EIL Capex '!AO16/Rate!$C$5))</f>
        <v>402303.44827586209</v>
      </c>
    </row>
    <row r="52" spans="1:42" x14ac:dyDescent="0.3">
      <c r="A52" s="17" t="s">
        <v>467</v>
      </c>
      <c r="B52" s="17"/>
      <c r="C52" s="17" t="s">
        <v>468</v>
      </c>
      <c r="D52" s="17" t="s">
        <v>778</v>
      </c>
      <c r="E52" s="17" t="s">
        <v>274</v>
      </c>
      <c r="F52" s="17" t="s">
        <v>274</v>
      </c>
      <c r="G52" s="17" t="s">
        <v>54</v>
      </c>
      <c r="H52" s="17" t="s">
        <v>54</v>
      </c>
      <c r="I52" s="17" t="s">
        <v>53</v>
      </c>
      <c r="J52" s="17" t="s">
        <v>53</v>
      </c>
      <c r="K52" s="17" t="s">
        <v>477</v>
      </c>
      <c r="L52" s="17" t="s">
        <v>477</v>
      </c>
      <c r="M52" s="17" t="s">
        <v>72</v>
      </c>
      <c r="N52" s="17" t="s">
        <v>72</v>
      </c>
      <c r="O52" s="17" t="s">
        <v>470</v>
      </c>
      <c r="P52" s="17" t="s">
        <v>470</v>
      </c>
      <c r="Q52" s="17" t="s">
        <v>471</v>
      </c>
      <c r="R52" s="17" t="s">
        <v>471</v>
      </c>
      <c r="S52" s="17" t="s">
        <v>471</v>
      </c>
      <c r="T52" s="17" t="s">
        <v>471</v>
      </c>
      <c r="U52" s="17" t="s">
        <v>490</v>
      </c>
      <c r="V52" s="17" t="s">
        <v>473</v>
      </c>
      <c r="W52" s="73">
        <v>60000</v>
      </c>
      <c r="X52" s="18">
        <v>48</v>
      </c>
      <c r="Y52" s="74" t="s">
        <v>474</v>
      </c>
      <c r="Z52" s="17" t="s">
        <v>475</v>
      </c>
      <c r="AA52" s="17" t="s">
        <v>475</v>
      </c>
      <c r="AB52" s="17" t="s">
        <v>476</v>
      </c>
      <c r="AC52" s="18">
        <v>5000</v>
      </c>
      <c r="AD52" s="18">
        <v>5000</v>
      </c>
      <c r="AE52" s="18">
        <v>5000</v>
      </c>
      <c r="AF52" s="18">
        <v>5000</v>
      </c>
      <c r="AG52" s="18">
        <v>5000</v>
      </c>
      <c r="AH52" s="18">
        <v>5000</v>
      </c>
      <c r="AI52" s="18">
        <v>5000</v>
      </c>
      <c r="AJ52" s="18">
        <v>5000</v>
      </c>
      <c r="AK52" s="18">
        <v>5000</v>
      </c>
      <c r="AL52" s="18">
        <v>5000</v>
      </c>
      <c r="AM52" s="18">
        <v>5000</v>
      </c>
      <c r="AN52" s="18">
        <v>5000</v>
      </c>
      <c r="AO52" s="18">
        <v>60000</v>
      </c>
      <c r="AP52" s="103">
        <f>IF(N52="EUR",AO52,IF(N52="GBP",AO52/Rate!$C$3,'2.3 EIL Capex '!AO17/Rate!$C$5))</f>
        <v>68965.517241379304</v>
      </c>
    </row>
    <row r="53" spans="1:42" x14ac:dyDescent="0.3">
      <c r="A53" s="17" t="s">
        <v>467</v>
      </c>
      <c r="B53" s="17"/>
      <c r="C53" s="17" t="s">
        <v>468</v>
      </c>
      <c r="D53" s="17" t="s">
        <v>778</v>
      </c>
      <c r="E53" s="17" t="s">
        <v>274</v>
      </c>
      <c r="F53" s="17" t="s">
        <v>274</v>
      </c>
      <c r="G53" s="17" t="s">
        <v>54</v>
      </c>
      <c r="H53" s="17" t="s">
        <v>54</v>
      </c>
      <c r="I53" s="17" t="s">
        <v>53</v>
      </c>
      <c r="J53" s="17" t="s">
        <v>53</v>
      </c>
      <c r="K53" s="17" t="s">
        <v>477</v>
      </c>
      <c r="L53" s="17" t="s">
        <v>477</v>
      </c>
      <c r="M53" s="17" t="s">
        <v>72</v>
      </c>
      <c r="N53" s="17" t="s">
        <v>72</v>
      </c>
      <c r="O53" s="17" t="s">
        <v>470</v>
      </c>
      <c r="P53" s="17" t="s">
        <v>470</v>
      </c>
      <c r="Q53" s="17" t="s">
        <v>471</v>
      </c>
      <c r="R53" s="17" t="s">
        <v>471</v>
      </c>
      <c r="S53" s="17" t="s">
        <v>471</v>
      </c>
      <c r="T53" s="17" t="s">
        <v>471</v>
      </c>
      <c r="U53" s="17" t="s">
        <v>491</v>
      </c>
      <c r="V53" s="17" t="s">
        <v>473</v>
      </c>
      <c r="W53" s="73">
        <v>360000</v>
      </c>
      <c r="X53" s="18">
        <v>48</v>
      </c>
      <c r="Y53" s="74" t="s">
        <v>474</v>
      </c>
      <c r="Z53" s="17" t="s">
        <v>475</v>
      </c>
      <c r="AA53" s="17" t="s">
        <v>475</v>
      </c>
      <c r="AB53" s="17" t="s">
        <v>476</v>
      </c>
      <c r="AC53" s="18">
        <v>30000</v>
      </c>
      <c r="AD53" s="18">
        <v>30000</v>
      </c>
      <c r="AE53" s="18">
        <v>30000</v>
      </c>
      <c r="AF53" s="18">
        <v>30000</v>
      </c>
      <c r="AG53" s="18">
        <v>30000</v>
      </c>
      <c r="AH53" s="18">
        <v>30000</v>
      </c>
      <c r="AI53" s="18">
        <v>30000</v>
      </c>
      <c r="AJ53" s="18">
        <v>30000</v>
      </c>
      <c r="AK53" s="18">
        <v>30000</v>
      </c>
      <c r="AL53" s="18">
        <v>30000</v>
      </c>
      <c r="AM53" s="18">
        <v>30000</v>
      </c>
      <c r="AN53" s="18">
        <v>30000</v>
      </c>
      <c r="AO53" s="18">
        <v>360000</v>
      </c>
      <c r="AP53" s="103">
        <f>IF(N53="EUR",AO53,IF(N53="GBP",AO53/Rate!$C$3,'2.3 EIL Capex '!AO18/Rate!$C$5))</f>
        <v>413793.10344827588</v>
      </c>
    </row>
    <row r="54" spans="1:42" x14ac:dyDescent="0.3">
      <c r="A54" s="17" t="s">
        <v>467</v>
      </c>
      <c r="B54" s="17"/>
      <c r="C54" s="17" t="s">
        <v>468</v>
      </c>
      <c r="D54" s="17" t="s">
        <v>778</v>
      </c>
      <c r="E54" s="17" t="s">
        <v>274</v>
      </c>
      <c r="F54" s="17" t="s">
        <v>274</v>
      </c>
      <c r="G54" s="17" t="s">
        <v>54</v>
      </c>
      <c r="H54" s="17" t="s">
        <v>54</v>
      </c>
      <c r="I54" s="17" t="s">
        <v>53</v>
      </c>
      <c r="J54" s="17" t="s">
        <v>53</v>
      </c>
      <c r="K54" s="17" t="s">
        <v>477</v>
      </c>
      <c r="L54" s="17" t="s">
        <v>477</v>
      </c>
      <c r="M54" s="17" t="s">
        <v>72</v>
      </c>
      <c r="N54" s="17" t="s">
        <v>72</v>
      </c>
      <c r="O54" s="17" t="s">
        <v>470</v>
      </c>
      <c r="P54" s="17" t="s">
        <v>470</v>
      </c>
      <c r="Q54" s="17" t="s">
        <v>471</v>
      </c>
      <c r="R54" s="17" t="s">
        <v>471</v>
      </c>
      <c r="S54" s="17" t="s">
        <v>471</v>
      </c>
      <c r="T54" s="17" t="s">
        <v>471</v>
      </c>
      <c r="U54" s="17" t="s">
        <v>492</v>
      </c>
      <c r="V54" s="17" t="s">
        <v>473</v>
      </c>
      <c r="W54" s="73">
        <v>210000</v>
      </c>
      <c r="X54" s="18">
        <v>48</v>
      </c>
      <c r="Y54" s="74" t="s">
        <v>474</v>
      </c>
      <c r="Z54" s="17" t="s">
        <v>475</v>
      </c>
      <c r="AA54" s="17" t="s">
        <v>475</v>
      </c>
      <c r="AB54" s="17" t="s">
        <v>476</v>
      </c>
      <c r="AC54" s="18">
        <v>17500</v>
      </c>
      <c r="AD54" s="18">
        <v>17500</v>
      </c>
      <c r="AE54" s="18">
        <v>17500</v>
      </c>
      <c r="AF54" s="18">
        <v>17500</v>
      </c>
      <c r="AG54" s="18">
        <v>17500</v>
      </c>
      <c r="AH54" s="18">
        <v>17500</v>
      </c>
      <c r="AI54" s="18">
        <v>17500</v>
      </c>
      <c r="AJ54" s="18">
        <v>17500</v>
      </c>
      <c r="AK54" s="18">
        <v>17500</v>
      </c>
      <c r="AL54" s="18">
        <v>17500</v>
      </c>
      <c r="AM54" s="18">
        <v>17500</v>
      </c>
      <c r="AN54" s="18">
        <v>17500</v>
      </c>
      <c r="AO54" s="18">
        <v>210000</v>
      </c>
      <c r="AP54" s="103">
        <f>IF(N54="EUR",AO54,IF(N54="GBP",AO54/Rate!$C$3,'2.3 EIL Capex '!AO19/Rate!$C$5))</f>
        <v>241379.31034482759</v>
      </c>
    </row>
    <row r="55" spans="1:42" x14ac:dyDescent="0.3">
      <c r="A55" s="17" t="s">
        <v>467</v>
      </c>
      <c r="B55" s="17"/>
      <c r="C55" s="17" t="s">
        <v>468</v>
      </c>
      <c r="D55" s="17" t="s">
        <v>778</v>
      </c>
      <c r="E55" s="17" t="s">
        <v>274</v>
      </c>
      <c r="F55" s="17" t="s">
        <v>274</v>
      </c>
      <c r="G55" s="17" t="s">
        <v>54</v>
      </c>
      <c r="H55" s="17" t="s">
        <v>54</v>
      </c>
      <c r="I55" s="17" t="s">
        <v>53</v>
      </c>
      <c r="J55" s="17" t="s">
        <v>53</v>
      </c>
      <c r="K55" s="17" t="s">
        <v>477</v>
      </c>
      <c r="L55" s="17" t="s">
        <v>477</v>
      </c>
      <c r="M55" s="17" t="s">
        <v>72</v>
      </c>
      <c r="N55" s="17" t="s">
        <v>72</v>
      </c>
      <c r="O55" s="17" t="s">
        <v>470</v>
      </c>
      <c r="P55" s="17" t="s">
        <v>470</v>
      </c>
      <c r="Q55" s="17" t="s">
        <v>471</v>
      </c>
      <c r="R55" s="17" t="s">
        <v>471</v>
      </c>
      <c r="S55" s="17" t="s">
        <v>471</v>
      </c>
      <c r="T55" s="17" t="s">
        <v>471</v>
      </c>
      <c r="U55" s="17" t="s">
        <v>493</v>
      </c>
      <c r="V55" s="17" t="s">
        <v>473</v>
      </c>
      <c r="W55" s="73">
        <v>129996</v>
      </c>
      <c r="X55" s="18">
        <v>48</v>
      </c>
      <c r="Y55" s="74" t="s">
        <v>474</v>
      </c>
      <c r="Z55" s="17" t="s">
        <v>475</v>
      </c>
      <c r="AA55" s="17" t="s">
        <v>475</v>
      </c>
      <c r="AB55" s="17" t="s">
        <v>476</v>
      </c>
      <c r="AC55" s="18">
        <v>10833</v>
      </c>
      <c r="AD55" s="18">
        <v>10833</v>
      </c>
      <c r="AE55" s="18">
        <v>10833</v>
      </c>
      <c r="AF55" s="18">
        <v>10833</v>
      </c>
      <c r="AG55" s="18">
        <v>10833</v>
      </c>
      <c r="AH55" s="18">
        <v>10833</v>
      </c>
      <c r="AI55" s="18">
        <v>10833</v>
      </c>
      <c r="AJ55" s="18">
        <v>10833</v>
      </c>
      <c r="AK55" s="18">
        <v>10833</v>
      </c>
      <c r="AL55" s="18">
        <v>10833</v>
      </c>
      <c r="AM55" s="18">
        <v>10833</v>
      </c>
      <c r="AN55" s="18">
        <v>10833</v>
      </c>
      <c r="AO55" s="18">
        <v>129996</v>
      </c>
      <c r="AP55" s="103">
        <f>IF(N55="EUR",AO55,IF(N55="GBP",AO55/Rate!$C$3,'2.3 EIL Capex '!AO20/Rate!$C$5))</f>
        <v>149420.68965517241</v>
      </c>
    </row>
    <row r="56" spans="1:42" x14ac:dyDescent="0.3">
      <c r="A56" s="17" t="s">
        <v>467</v>
      </c>
      <c r="B56" s="17"/>
      <c r="C56" s="17" t="s">
        <v>468</v>
      </c>
      <c r="D56" s="17" t="s">
        <v>778</v>
      </c>
      <c r="E56" s="17" t="s">
        <v>274</v>
      </c>
      <c r="F56" s="17" t="s">
        <v>274</v>
      </c>
      <c r="G56" s="17" t="s">
        <v>54</v>
      </c>
      <c r="H56" s="17" t="s">
        <v>54</v>
      </c>
      <c r="I56" s="17" t="s">
        <v>53</v>
      </c>
      <c r="J56" s="17" t="s">
        <v>53</v>
      </c>
      <c r="K56" s="17" t="s">
        <v>477</v>
      </c>
      <c r="L56" s="17" t="s">
        <v>477</v>
      </c>
      <c r="M56" s="17" t="s">
        <v>72</v>
      </c>
      <c r="N56" s="17" t="s">
        <v>72</v>
      </c>
      <c r="O56" s="17" t="s">
        <v>470</v>
      </c>
      <c r="P56" s="17" t="s">
        <v>470</v>
      </c>
      <c r="Q56" s="17" t="s">
        <v>471</v>
      </c>
      <c r="R56" s="17" t="s">
        <v>471</v>
      </c>
      <c r="S56" s="17" t="s">
        <v>471</v>
      </c>
      <c r="T56" s="17" t="s">
        <v>471</v>
      </c>
      <c r="U56" s="17" t="s">
        <v>494</v>
      </c>
      <c r="V56" s="17" t="s">
        <v>473</v>
      </c>
      <c r="W56" s="73">
        <v>240000</v>
      </c>
      <c r="X56" s="18">
        <v>48</v>
      </c>
      <c r="Y56" s="74" t="s">
        <v>474</v>
      </c>
      <c r="Z56" s="17" t="s">
        <v>475</v>
      </c>
      <c r="AA56" s="17" t="s">
        <v>475</v>
      </c>
      <c r="AB56" s="17" t="s">
        <v>476</v>
      </c>
      <c r="AC56" s="18">
        <v>20000</v>
      </c>
      <c r="AD56" s="18">
        <v>20000</v>
      </c>
      <c r="AE56" s="18">
        <v>20000</v>
      </c>
      <c r="AF56" s="18">
        <v>20000</v>
      </c>
      <c r="AG56" s="18">
        <v>20000</v>
      </c>
      <c r="AH56" s="18">
        <v>20000</v>
      </c>
      <c r="AI56" s="18">
        <v>20000</v>
      </c>
      <c r="AJ56" s="18">
        <v>20000</v>
      </c>
      <c r="AK56" s="18">
        <v>20000</v>
      </c>
      <c r="AL56" s="18">
        <v>20000</v>
      </c>
      <c r="AM56" s="18">
        <v>20000</v>
      </c>
      <c r="AN56" s="18">
        <v>20000</v>
      </c>
      <c r="AO56" s="18">
        <v>240000</v>
      </c>
      <c r="AP56" s="103">
        <f>IF(N56="EUR",AO56,IF(N56="GBP",AO56/Rate!$C$3,'2.3 EIL Capex '!AO21/Rate!$C$5))</f>
        <v>275862.06896551722</v>
      </c>
    </row>
    <row r="57" spans="1:42" x14ac:dyDescent="0.3">
      <c r="A57" s="17" t="s">
        <v>467</v>
      </c>
      <c r="B57" s="17"/>
      <c r="C57" s="17" t="s">
        <v>468</v>
      </c>
      <c r="D57" s="17" t="s">
        <v>778</v>
      </c>
      <c r="E57" s="17" t="s">
        <v>274</v>
      </c>
      <c r="F57" s="17" t="s">
        <v>274</v>
      </c>
      <c r="G57" s="17" t="s">
        <v>54</v>
      </c>
      <c r="H57" s="17" t="s">
        <v>54</v>
      </c>
      <c r="I57" s="17" t="s">
        <v>53</v>
      </c>
      <c r="J57" s="17" t="s">
        <v>53</v>
      </c>
      <c r="K57" s="17" t="s">
        <v>477</v>
      </c>
      <c r="L57" s="17" t="s">
        <v>477</v>
      </c>
      <c r="M57" s="17" t="s">
        <v>72</v>
      </c>
      <c r="N57" s="17" t="s">
        <v>72</v>
      </c>
      <c r="O57" s="17" t="s">
        <v>470</v>
      </c>
      <c r="P57" s="17" t="s">
        <v>470</v>
      </c>
      <c r="Q57" s="17" t="s">
        <v>471</v>
      </c>
      <c r="R57" s="17" t="s">
        <v>471</v>
      </c>
      <c r="S57" s="17" t="s">
        <v>471</v>
      </c>
      <c r="T57" s="17" t="s">
        <v>471</v>
      </c>
      <c r="U57" s="17" t="s">
        <v>495</v>
      </c>
      <c r="V57" s="17" t="s">
        <v>473</v>
      </c>
      <c r="W57" s="73">
        <v>120000</v>
      </c>
      <c r="X57" s="18">
        <v>48</v>
      </c>
      <c r="Y57" s="74" t="s">
        <v>474</v>
      </c>
      <c r="Z57" s="17" t="s">
        <v>475</v>
      </c>
      <c r="AA57" s="17" t="s">
        <v>475</v>
      </c>
      <c r="AB57" s="17" t="s">
        <v>476</v>
      </c>
      <c r="AC57" s="18">
        <v>10000</v>
      </c>
      <c r="AD57" s="18">
        <v>10000</v>
      </c>
      <c r="AE57" s="18">
        <v>10000</v>
      </c>
      <c r="AF57" s="18">
        <v>10000</v>
      </c>
      <c r="AG57" s="18">
        <v>10000</v>
      </c>
      <c r="AH57" s="18">
        <v>10000</v>
      </c>
      <c r="AI57" s="18">
        <v>10000</v>
      </c>
      <c r="AJ57" s="18">
        <v>10000</v>
      </c>
      <c r="AK57" s="18">
        <v>10000</v>
      </c>
      <c r="AL57" s="18">
        <v>10000</v>
      </c>
      <c r="AM57" s="18">
        <v>10000</v>
      </c>
      <c r="AN57" s="18">
        <v>10000</v>
      </c>
      <c r="AO57" s="18">
        <v>120000</v>
      </c>
      <c r="AP57" s="103">
        <f>IF(N57="EUR",AO57,IF(N57="GBP",AO57/Rate!$C$3,'2.3 EIL Capex '!AO22/Rate!$C$5))</f>
        <v>137931.03448275861</v>
      </c>
    </row>
    <row r="58" spans="1:42" x14ac:dyDescent="0.3">
      <c r="A58" s="17" t="s">
        <v>467</v>
      </c>
      <c r="B58" s="17"/>
      <c r="C58" s="17" t="s">
        <v>468</v>
      </c>
      <c r="D58" s="17" t="s">
        <v>778</v>
      </c>
      <c r="E58" s="17" t="s">
        <v>274</v>
      </c>
      <c r="F58" s="17" t="s">
        <v>274</v>
      </c>
      <c r="G58" s="17" t="s">
        <v>54</v>
      </c>
      <c r="H58" s="17" t="s">
        <v>54</v>
      </c>
      <c r="I58" s="17" t="s">
        <v>53</v>
      </c>
      <c r="J58" s="17" t="s">
        <v>53</v>
      </c>
      <c r="K58" s="17" t="s">
        <v>477</v>
      </c>
      <c r="L58" s="17" t="s">
        <v>477</v>
      </c>
      <c r="M58" s="17" t="s">
        <v>72</v>
      </c>
      <c r="N58" s="17" t="s">
        <v>72</v>
      </c>
      <c r="O58" s="17" t="s">
        <v>470</v>
      </c>
      <c r="P58" s="17" t="s">
        <v>470</v>
      </c>
      <c r="Q58" s="17" t="s">
        <v>471</v>
      </c>
      <c r="R58" s="17" t="s">
        <v>471</v>
      </c>
      <c r="S58" s="17" t="s">
        <v>471</v>
      </c>
      <c r="T58" s="17" t="s">
        <v>471</v>
      </c>
      <c r="U58" s="17" t="s">
        <v>496</v>
      </c>
      <c r="V58" s="17" t="s">
        <v>473</v>
      </c>
      <c r="W58" s="73">
        <v>240000</v>
      </c>
      <c r="X58" s="18">
        <v>48</v>
      </c>
      <c r="Y58" s="74" t="s">
        <v>474</v>
      </c>
      <c r="Z58" s="17" t="s">
        <v>475</v>
      </c>
      <c r="AA58" s="17" t="s">
        <v>475</v>
      </c>
      <c r="AB58" s="17" t="s">
        <v>476</v>
      </c>
      <c r="AC58" s="18">
        <v>20000</v>
      </c>
      <c r="AD58" s="18">
        <v>20000</v>
      </c>
      <c r="AE58" s="18">
        <v>20000</v>
      </c>
      <c r="AF58" s="18">
        <v>20000</v>
      </c>
      <c r="AG58" s="18">
        <v>20000</v>
      </c>
      <c r="AH58" s="18">
        <v>20000</v>
      </c>
      <c r="AI58" s="18">
        <v>20000</v>
      </c>
      <c r="AJ58" s="18">
        <v>20000</v>
      </c>
      <c r="AK58" s="18">
        <v>20000</v>
      </c>
      <c r="AL58" s="18">
        <v>20000</v>
      </c>
      <c r="AM58" s="18">
        <v>20000</v>
      </c>
      <c r="AN58" s="18">
        <v>20000</v>
      </c>
      <c r="AO58" s="18">
        <v>240000</v>
      </c>
      <c r="AP58" s="103">
        <f>IF(N58="EUR",AO58,IF(N58="GBP",AO58/Rate!$C$3,'2.3 EIL Capex '!AO23/Rate!$C$5))</f>
        <v>275862.06896551722</v>
      </c>
    </row>
    <row r="59" spans="1:42" x14ac:dyDescent="0.3">
      <c r="A59" s="17" t="s">
        <v>467</v>
      </c>
      <c r="B59" s="17"/>
      <c r="C59" s="17" t="s">
        <v>468</v>
      </c>
      <c r="D59" s="17" t="s">
        <v>778</v>
      </c>
      <c r="E59" s="17" t="s">
        <v>274</v>
      </c>
      <c r="F59" s="17" t="s">
        <v>274</v>
      </c>
      <c r="G59" s="17" t="s">
        <v>54</v>
      </c>
      <c r="H59" s="17" t="s">
        <v>54</v>
      </c>
      <c r="I59" s="17" t="s">
        <v>53</v>
      </c>
      <c r="J59" s="17" t="s">
        <v>53</v>
      </c>
      <c r="K59" s="17" t="s">
        <v>477</v>
      </c>
      <c r="L59" s="17" t="s">
        <v>477</v>
      </c>
      <c r="M59" s="17" t="s">
        <v>72</v>
      </c>
      <c r="N59" s="17" t="s">
        <v>72</v>
      </c>
      <c r="O59" s="17" t="s">
        <v>497</v>
      </c>
      <c r="P59" s="17" t="s">
        <v>497</v>
      </c>
      <c r="Q59" s="17" t="s">
        <v>498</v>
      </c>
      <c r="R59" s="17" t="s">
        <v>498</v>
      </c>
      <c r="S59" s="17" t="s">
        <v>499</v>
      </c>
      <c r="T59" s="17" t="s">
        <v>499</v>
      </c>
      <c r="U59" s="17" t="s">
        <v>500</v>
      </c>
      <c r="V59" s="17" t="s">
        <v>473</v>
      </c>
      <c r="W59" s="73">
        <v>60000</v>
      </c>
      <c r="X59" s="18">
        <v>48</v>
      </c>
      <c r="Y59" s="74" t="s">
        <v>474</v>
      </c>
      <c r="Z59" s="17" t="s">
        <v>475</v>
      </c>
      <c r="AA59" s="17" t="s">
        <v>475</v>
      </c>
      <c r="AB59" s="17" t="s">
        <v>476</v>
      </c>
      <c r="AC59" s="18">
        <v>5000</v>
      </c>
      <c r="AD59" s="18">
        <v>5000</v>
      </c>
      <c r="AE59" s="18">
        <v>5000</v>
      </c>
      <c r="AF59" s="18">
        <v>5000</v>
      </c>
      <c r="AG59" s="18">
        <v>5000</v>
      </c>
      <c r="AH59" s="18">
        <v>5000</v>
      </c>
      <c r="AI59" s="18">
        <v>5000</v>
      </c>
      <c r="AJ59" s="18">
        <v>5000</v>
      </c>
      <c r="AK59" s="18">
        <v>5000</v>
      </c>
      <c r="AL59" s="18">
        <v>5000</v>
      </c>
      <c r="AM59" s="18">
        <v>5000</v>
      </c>
      <c r="AN59" s="18">
        <v>5000</v>
      </c>
      <c r="AO59" s="18">
        <v>60000</v>
      </c>
      <c r="AP59" s="103">
        <f>IF(N59="EUR",AO59,IF(N59="GBP",AO59/Rate!$C$3,'2.3 EIL Capex '!AO24/Rate!$C$5))</f>
        <v>68965.517241379304</v>
      </c>
    </row>
    <row r="60" spans="1:42" x14ac:dyDescent="0.3">
      <c r="A60" s="17" t="s">
        <v>467</v>
      </c>
      <c r="B60" s="17"/>
      <c r="C60" s="17" t="s">
        <v>468</v>
      </c>
      <c r="D60" s="17" t="s">
        <v>778</v>
      </c>
      <c r="E60" s="17" t="s">
        <v>274</v>
      </c>
      <c r="F60" s="17" t="s">
        <v>274</v>
      </c>
      <c r="G60" s="17" t="s">
        <v>54</v>
      </c>
      <c r="H60" s="17" t="s">
        <v>54</v>
      </c>
      <c r="I60" s="17" t="s">
        <v>53</v>
      </c>
      <c r="J60" s="17" t="s">
        <v>53</v>
      </c>
      <c r="K60" s="17" t="s">
        <v>477</v>
      </c>
      <c r="L60" s="17" t="s">
        <v>477</v>
      </c>
      <c r="M60" s="17" t="s">
        <v>72</v>
      </c>
      <c r="N60" s="17" t="s">
        <v>72</v>
      </c>
      <c r="O60" s="17" t="s">
        <v>470</v>
      </c>
      <c r="P60" s="17" t="s">
        <v>470</v>
      </c>
      <c r="Q60" s="17" t="s">
        <v>471</v>
      </c>
      <c r="R60" s="17" t="s">
        <v>471</v>
      </c>
      <c r="S60" s="17" t="s">
        <v>471</v>
      </c>
      <c r="T60" s="17" t="s">
        <v>471</v>
      </c>
      <c r="U60" s="17" t="s">
        <v>531</v>
      </c>
      <c r="V60" s="17" t="s">
        <v>473</v>
      </c>
      <c r="W60" s="73">
        <v>50004</v>
      </c>
      <c r="X60" s="18">
        <v>48</v>
      </c>
      <c r="Y60" s="74" t="s">
        <v>474</v>
      </c>
      <c r="Z60" s="17" t="s">
        <v>475</v>
      </c>
      <c r="AA60" s="17" t="s">
        <v>475</v>
      </c>
      <c r="AB60" s="17" t="s">
        <v>476</v>
      </c>
      <c r="AC60" s="18">
        <v>4167</v>
      </c>
      <c r="AD60" s="18">
        <v>4167</v>
      </c>
      <c r="AE60" s="18">
        <v>4167</v>
      </c>
      <c r="AF60" s="18">
        <v>4167</v>
      </c>
      <c r="AG60" s="18">
        <v>4167</v>
      </c>
      <c r="AH60" s="18">
        <v>4167</v>
      </c>
      <c r="AI60" s="18">
        <v>4167</v>
      </c>
      <c r="AJ60" s="18">
        <v>4167</v>
      </c>
      <c r="AK60" s="18">
        <v>4167</v>
      </c>
      <c r="AL60" s="18">
        <v>4167</v>
      </c>
      <c r="AM60" s="18">
        <v>4167</v>
      </c>
      <c r="AN60" s="18">
        <v>4167</v>
      </c>
      <c r="AO60" s="18">
        <v>50004</v>
      </c>
      <c r="AP60" s="103">
        <f>IF(N60="EUR",AO60,IF(N60="GBP",AO60/Rate!$C$3,'2.3 EIL Capex '!AO50/Rate!$C$5))</f>
        <v>57475.862068965514</v>
      </c>
    </row>
    <row r="61" spans="1:42" x14ac:dyDescent="0.3">
      <c r="A61" s="17" t="s">
        <v>467</v>
      </c>
      <c r="B61" s="17"/>
      <c r="C61" s="17" t="s">
        <v>468</v>
      </c>
      <c r="D61" s="17" t="s">
        <v>778</v>
      </c>
      <c r="E61" s="17" t="s">
        <v>274</v>
      </c>
      <c r="F61" s="17" t="s">
        <v>274</v>
      </c>
      <c r="G61" s="17" t="s">
        <v>54</v>
      </c>
      <c r="H61" s="17" t="s">
        <v>54</v>
      </c>
      <c r="I61" s="17" t="s">
        <v>53</v>
      </c>
      <c r="J61" s="17" t="s">
        <v>53</v>
      </c>
      <c r="K61" s="17" t="s">
        <v>477</v>
      </c>
      <c r="L61" s="17" t="s">
        <v>477</v>
      </c>
      <c r="M61" s="17" t="s">
        <v>72</v>
      </c>
      <c r="N61" s="17" t="s">
        <v>72</v>
      </c>
      <c r="O61" s="17" t="s">
        <v>470</v>
      </c>
      <c r="P61" s="17" t="s">
        <v>470</v>
      </c>
      <c r="Q61" s="17" t="s">
        <v>471</v>
      </c>
      <c r="R61" s="17" t="s">
        <v>471</v>
      </c>
      <c r="S61" s="17" t="s">
        <v>471</v>
      </c>
      <c r="T61" s="17" t="s">
        <v>471</v>
      </c>
      <c r="U61" s="17" t="s">
        <v>539</v>
      </c>
      <c r="V61" s="17" t="s">
        <v>473</v>
      </c>
      <c r="W61" s="73">
        <v>144000</v>
      </c>
      <c r="X61" s="18">
        <v>48</v>
      </c>
      <c r="Y61" s="74" t="s">
        <v>474</v>
      </c>
      <c r="Z61" s="17" t="s">
        <v>475</v>
      </c>
      <c r="AA61" s="17" t="s">
        <v>475</v>
      </c>
      <c r="AB61" s="17" t="s">
        <v>476</v>
      </c>
      <c r="AC61" s="18">
        <v>12000</v>
      </c>
      <c r="AD61" s="18">
        <v>12000</v>
      </c>
      <c r="AE61" s="18">
        <v>12000</v>
      </c>
      <c r="AF61" s="18">
        <v>12000</v>
      </c>
      <c r="AG61" s="18">
        <v>12000</v>
      </c>
      <c r="AH61" s="18">
        <v>12000</v>
      </c>
      <c r="AI61" s="18">
        <v>12000</v>
      </c>
      <c r="AJ61" s="18">
        <v>12000</v>
      </c>
      <c r="AK61" s="18">
        <v>12000</v>
      </c>
      <c r="AL61" s="18">
        <v>12000</v>
      </c>
      <c r="AM61" s="18">
        <v>12000</v>
      </c>
      <c r="AN61" s="18">
        <v>12000</v>
      </c>
      <c r="AO61" s="18">
        <v>144000</v>
      </c>
      <c r="AP61" s="103">
        <f>IF(N61="EUR",AO61,IF(N61="GBP",AO61/Rate!$C$3,'2.3 EIL Capex '!AO56/Rate!$C$5))</f>
        <v>165517.24137931035</v>
      </c>
    </row>
    <row r="62" spans="1:42" x14ac:dyDescent="0.3">
      <c r="A62" s="17" t="s">
        <v>467</v>
      </c>
      <c r="B62" s="17"/>
      <c r="C62" s="17" t="s">
        <v>468</v>
      </c>
      <c r="D62" s="17" t="s">
        <v>778</v>
      </c>
      <c r="E62" s="17" t="s">
        <v>274</v>
      </c>
      <c r="F62" s="17" t="s">
        <v>274</v>
      </c>
      <c r="G62" s="17" t="s">
        <v>54</v>
      </c>
      <c r="H62" s="17" t="s">
        <v>54</v>
      </c>
      <c r="I62" s="17" t="s">
        <v>53</v>
      </c>
      <c r="J62" s="17" t="s">
        <v>53</v>
      </c>
      <c r="K62" s="17" t="s">
        <v>477</v>
      </c>
      <c r="L62" s="17" t="s">
        <v>477</v>
      </c>
      <c r="M62" s="17" t="s">
        <v>72</v>
      </c>
      <c r="N62" s="17" t="s">
        <v>72</v>
      </c>
      <c r="O62" s="17" t="s">
        <v>497</v>
      </c>
      <c r="P62" s="17" t="s">
        <v>497</v>
      </c>
      <c r="Q62" s="17" t="s">
        <v>498</v>
      </c>
      <c r="R62" s="17" t="s">
        <v>498</v>
      </c>
      <c r="S62" s="17" t="s">
        <v>499</v>
      </c>
      <c r="T62" s="17" t="s">
        <v>499</v>
      </c>
      <c r="U62" s="17" t="s">
        <v>541</v>
      </c>
      <c r="V62" s="17" t="s">
        <v>473</v>
      </c>
      <c r="W62" s="73">
        <v>156000</v>
      </c>
      <c r="X62" s="18">
        <v>48</v>
      </c>
      <c r="Y62" s="74" t="s">
        <v>474</v>
      </c>
      <c r="Z62" s="17" t="s">
        <v>475</v>
      </c>
      <c r="AA62" s="17" t="s">
        <v>475</v>
      </c>
      <c r="AB62" s="17" t="s">
        <v>476</v>
      </c>
      <c r="AC62" s="18">
        <v>13000</v>
      </c>
      <c r="AD62" s="18">
        <v>13000</v>
      </c>
      <c r="AE62" s="18">
        <v>13000</v>
      </c>
      <c r="AF62" s="18">
        <v>13000</v>
      </c>
      <c r="AG62" s="18">
        <v>13000</v>
      </c>
      <c r="AH62" s="18">
        <v>13000</v>
      </c>
      <c r="AI62" s="18">
        <v>13000</v>
      </c>
      <c r="AJ62" s="18">
        <v>13000</v>
      </c>
      <c r="AK62" s="18">
        <v>13000</v>
      </c>
      <c r="AL62" s="18">
        <v>13000</v>
      </c>
      <c r="AM62" s="18">
        <v>13000</v>
      </c>
      <c r="AN62" s="18">
        <v>13000</v>
      </c>
      <c r="AO62" s="18">
        <v>156000</v>
      </c>
      <c r="AP62" s="103">
        <f>IF(N62="EUR",AO62,IF(N62="GBP",AO62/Rate!$C$3,'2.3 EIL Capex '!AO58/Rate!$C$5))</f>
        <v>179310.3448275862</v>
      </c>
    </row>
    <row r="63" spans="1:42" x14ac:dyDescent="0.3">
      <c r="A63" s="17" t="s">
        <v>467</v>
      </c>
      <c r="B63" s="17"/>
      <c r="C63" s="17" t="s">
        <v>468</v>
      </c>
      <c r="D63" s="17" t="s">
        <v>778</v>
      </c>
      <c r="E63" s="17" t="s">
        <v>274</v>
      </c>
      <c r="F63" s="17" t="s">
        <v>274</v>
      </c>
      <c r="G63" s="17" t="s">
        <v>54</v>
      </c>
      <c r="H63" s="17" t="s">
        <v>54</v>
      </c>
      <c r="I63" s="17" t="s">
        <v>53</v>
      </c>
      <c r="J63" s="17" t="s">
        <v>53</v>
      </c>
      <c r="K63" s="17" t="s">
        <v>477</v>
      </c>
      <c r="L63" s="17" t="s">
        <v>477</v>
      </c>
      <c r="M63" s="17" t="s">
        <v>72</v>
      </c>
      <c r="N63" s="17" t="s">
        <v>72</v>
      </c>
      <c r="O63" s="17" t="s">
        <v>470</v>
      </c>
      <c r="P63" s="17" t="s">
        <v>470</v>
      </c>
      <c r="Q63" s="17" t="s">
        <v>471</v>
      </c>
      <c r="R63" s="17" t="s">
        <v>471</v>
      </c>
      <c r="S63" s="17" t="s">
        <v>471</v>
      </c>
      <c r="T63" s="17" t="s">
        <v>471</v>
      </c>
      <c r="U63" s="17" t="s">
        <v>548</v>
      </c>
      <c r="V63" s="17" t="s">
        <v>473</v>
      </c>
      <c r="W63" s="73">
        <v>39996</v>
      </c>
      <c r="X63" s="18">
        <v>48</v>
      </c>
      <c r="Y63" s="74" t="s">
        <v>474</v>
      </c>
      <c r="Z63" s="17" t="s">
        <v>475</v>
      </c>
      <c r="AA63" s="17" t="s">
        <v>475</v>
      </c>
      <c r="AB63" s="17" t="s">
        <v>476</v>
      </c>
      <c r="AC63" s="18">
        <v>3333</v>
      </c>
      <c r="AD63" s="18">
        <v>3333</v>
      </c>
      <c r="AE63" s="18">
        <v>3333</v>
      </c>
      <c r="AF63" s="18">
        <v>3333</v>
      </c>
      <c r="AG63" s="18">
        <v>3333</v>
      </c>
      <c r="AH63" s="18">
        <v>3333</v>
      </c>
      <c r="AI63" s="18">
        <v>3333</v>
      </c>
      <c r="AJ63" s="18">
        <v>3333</v>
      </c>
      <c r="AK63" s="18">
        <v>3333</v>
      </c>
      <c r="AL63" s="18">
        <v>3333</v>
      </c>
      <c r="AM63" s="18">
        <v>3333</v>
      </c>
      <c r="AN63" s="18">
        <v>3333</v>
      </c>
      <c r="AO63" s="18">
        <v>39996</v>
      </c>
      <c r="AP63" s="103">
        <f>IF(N63="EUR",AO63,IF(N63="GBP",AO63/Rate!$C$3,'2.3 EIL Capex '!AO65/Rate!$C$5))</f>
        <v>45972.413793103449</v>
      </c>
    </row>
    <row r="64" spans="1:42" x14ac:dyDescent="0.3">
      <c r="A64" s="17" t="s">
        <v>467</v>
      </c>
      <c r="B64" s="17"/>
      <c r="C64" s="17" t="s">
        <v>468</v>
      </c>
      <c r="D64" s="17" t="s">
        <v>1048</v>
      </c>
      <c r="E64" s="17" t="s">
        <v>324</v>
      </c>
      <c r="F64" s="17" t="s">
        <v>324</v>
      </c>
      <c r="G64" s="17" t="s">
        <v>519</v>
      </c>
      <c r="H64" s="17" t="s">
        <v>519</v>
      </c>
      <c r="I64" s="17" t="s">
        <v>53</v>
      </c>
      <c r="J64" s="17" t="s">
        <v>53</v>
      </c>
      <c r="K64" s="17" t="s">
        <v>520</v>
      </c>
      <c r="L64" s="17" t="s">
        <v>520</v>
      </c>
      <c r="M64" s="17" t="s">
        <v>72</v>
      </c>
      <c r="N64" s="17" t="s">
        <v>72</v>
      </c>
      <c r="O64" s="17" t="s">
        <v>470</v>
      </c>
      <c r="P64" s="17" t="s">
        <v>470</v>
      </c>
      <c r="Q64" s="17" t="s">
        <v>471</v>
      </c>
      <c r="R64" s="17" t="s">
        <v>471</v>
      </c>
      <c r="S64" s="17" t="s">
        <v>471</v>
      </c>
      <c r="T64" s="17" t="s">
        <v>471</v>
      </c>
      <c r="U64" s="17" t="s">
        <v>521</v>
      </c>
      <c r="V64" s="17" t="s">
        <v>473</v>
      </c>
      <c r="W64" s="73">
        <v>9500004</v>
      </c>
      <c r="X64" s="18">
        <v>48</v>
      </c>
      <c r="Y64" s="74" t="s">
        <v>474</v>
      </c>
      <c r="Z64" s="17" t="s">
        <v>475</v>
      </c>
      <c r="AA64" s="17" t="s">
        <v>475</v>
      </c>
      <c r="AB64" s="17" t="s">
        <v>476</v>
      </c>
      <c r="AC64" s="18">
        <v>791667</v>
      </c>
      <c r="AD64" s="18">
        <v>791667</v>
      </c>
      <c r="AE64" s="18">
        <v>791667</v>
      </c>
      <c r="AF64" s="18">
        <v>791667</v>
      </c>
      <c r="AG64" s="18">
        <v>791667</v>
      </c>
      <c r="AH64" s="18">
        <v>791667</v>
      </c>
      <c r="AI64" s="18">
        <v>791667</v>
      </c>
      <c r="AJ64" s="18">
        <v>791667</v>
      </c>
      <c r="AK64" s="18">
        <v>791667</v>
      </c>
      <c r="AL64" s="18">
        <v>791667</v>
      </c>
      <c r="AM64" s="18">
        <v>791667</v>
      </c>
      <c r="AN64" s="18">
        <v>791667</v>
      </c>
      <c r="AO64" s="18">
        <v>9500004</v>
      </c>
      <c r="AP64" s="103">
        <f>IF(N64="EUR",AO64,IF(N64="GBP",AO64/Rate!$C$3,'2.3 EIL Capex '!AO40/Rate!$C$5))</f>
        <v>10919544.827586208</v>
      </c>
    </row>
    <row r="65" spans="1:42" x14ac:dyDescent="0.3">
      <c r="A65" s="17" t="s">
        <v>467</v>
      </c>
      <c r="B65" s="17"/>
      <c r="C65" s="17" t="s">
        <v>468</v>
      </c>
      <c r="D65" s="76" t="s">
        <v>718</v>
      </c>
      <c r="E65" s="17" t="s">
        <v>396</v>
      </c>
      <c r="F65" s="17" t="s">
        <v>396</v>
      </c>
      <c r="G65" s="17" t="s">
        <v>54</v>
      </c>
      <c r="H65" s="17" t="s">
        <v>54</v>
      </c>
      <c r="I65" s="17" t="s">
        <v>53</v>
      </c>
      <c r="J65" s="17" t="s">
        <v>53</v>
      </c>
      <c r="K65" s="17" t="s">
        <v>469</v>
      </c>
      <c r="L65" s="17" t="s">
        <v>469</v>
      </c>
      <c r="M65" s="17" t="s">
        <v>57</v>
      </c>
      <c r="N65" s="17" t="s">
        <v>57</v>
      </c>
      <c r="O65" s="17" t="s">
        <v>470</v>
      </c>
      <c r="P65" s="17" t="s">
        <v>470</v>
      </c>
      <c r="Q65" s="17" t="s">
        <v>471</v>
      </c>
      <c r="R65" s="17" t="s">
        <v>471</v>
      </c>
      <c r="S65" s="17" t="s">
        <v>471</v>
      </c>
      <c r="T65" s="17" t="s">
        <v>471</v>
      </c>
      <c r="U65" s="17" t="s">
        <v>472</v>
      </c>
      <c r="V65" s="17" t="s">
        <v>473</v>
      </c>
      <c r="W65" s="73">
        <v>207996</v>
      </c>
      <c r="X65" s="18">
        <v>48</v>
      </c>
      <c r="Y65" s="74" t="s">
        <v>474</v>
      </c>
      <c r="Z65" s="17" t="s">
        <v>475</v>
      </c>
      <c r="AA65" s="17" t="s">
        <v>475</v>
      </c>
      <c r="AB65" s="17" t="s">
        <v>476</v>
      </c>
      <c r="AC65" s="18">
        <v>17333</v>
      </c>
      <c r="AD65" s="18">
        <v>17333</v>
      </c>
      <c r="AE65" s="18">
        <v>17333</v>
      </c>
      <c r="AF65" s="18">
        <v>17333</v>
      </c>
      <c r="AG65" s="18">
        <v>17333</v>
      </c>
      <c r="AH65" s="18">
        <v>17333</v>
      </c>
      <c r="AI65" s="18">
        <v>17333</v>
      </c>
      <c r="AJ65" s="18">
        <v>17333</v>
      </c>
      <c r="AK65" s="18">
        <v>17333</v>
      </c>
      <c r="AL65" s="18">
        <v>17333</v>
      </c>
      <c r="AM65" s="18">
        <v>17333</v>
      </c>
      <c r="AN65" s="18">
        <v>17333</v>
      </c>
      <c r="AO65" s="18">
        <v>207996</v>
      </c>
      <c r="AP65" s="103">
        <f>IF(N65="EUR",AO65,IF(N65="GBP",AO65/Rate!$C$3,'2.3 EIL Capex '!AO5/Rate!$C$5))</f>
        <v>207996</v>
      </c>
    </row>
    <row r="66" spans="1:42" x14ac:dyDescent="0.3">
      <c r="A66" s="17" t="s">
        <v>467</v>
      </c>
      <c r="B66" s="17"/>
      <c r="C66" s="17" t="s">
        <v>468</v>
      </c>
      <c r="D66" s="76" t="s">
        <v>718</v>
      </c>
      <c r="E66" s="17" t="s">
        <v>396</v>
      </c>
      <c r="F66" s="17" t="s">
        <v>396</v>
      </c>
      <c r="G66" s="17" t="s">
        <v>54</v>
      </c>
      <c r="H66" s="17" t="s">
        <v>54</v>
      </c>
      <c r="I66" s="17" t="s">
        <v>53</v>
      </c>
      <c r="J66" s="17" t="s">
        <v>53</v>
      </c>
      <c r="K66" s="17" t="s">
        <v>469</v>
      </c>
      <c r="L66" s="17" t="s">
        <v>469</v>
      </c>
      <c r="M66" s="17" t="s">
        <v>57</v>
      </c>
      <c r="N66" s="17" t="s">
        <v>57</v>
      </c>
      <c r="O66" s="17" t="s">
        <v>470</v>
      </c>
      <c r="P66" s="17" t="s">
        <v>470</v>
      </c>
      <c r="Q66" s="17" t="s">
        <v>471</v>
      </c>
      <c r="R66" s="17" t="s">
        <v>471</v>
      </c>
      <c r="S66" s="17" t="s">
        <v>471</v>
      </c>
      <c r="T66" s="17" t="s">
        <v>471</v>
      </c>
      <c r="U66" s="17" t="s">
        <v>506</v>
      </c>
      <c r="V66" s="17" t="s">
        <v>507</v>
      </c>
      <c r="W66" s="73">
        <v>180000</v>
      </c>
      <c r="X66" s="18">
        <v>48</v>
      </c>
      <c r="Y66" s="74" t="s">
        <v>474</v>
      </c>
      <c r="Z66" s="17" t="s">
        <v>475</v>
      </c>
      <c r="AA66" s="17" t="s">
        <v>475</v>
      </c>
      <c r="AB66" s="17" t="s">
        <v>476</v>
      </c>
      <c r="AC66" s="18">
        <v>15000</v>
      </c>
      <c r="AD66" s="18">
        <v>15000</v>
      </c>
      <c r="AE66" s="18">
        <v>15000</v>
      </c>
      <c r="AF66" s="18">
        <v>15000</v>
      </c>
      <c r="AG66" s="18">
        <v>15000</v>
      </c>
      <c r="AH66" s="18">
        <v>15000</v>
      </c>
      <c r="AI66" s="18">
        <v>15000</v>
      </c>
      <c r="AJ66" s="18">
        <v>15000</v>
      </c>
      <c r="AK66" s="18">
        <v>15000</v>
      </c>
      <c r="AL66" s="18">
        <v>15000</v>
      </c>
      <c r="AM66" s="18">
        <v>15000</v>
      </c>
      <c r="AN66" s="18">
        <v>15000</v>
      </c>
      <c r="AO66" s="18">
        <v>180000</v>
      </c>
      <c r="AP66" s="103">
        <f>IF(N66="EUR",AO66,IF(N66="GBP",AO66/Rate!$C$3,'2.3 EIL Capex '!AO29/Rate!$C$5))</f>
        <v>180000</v>
      </c>
    </row>
    <row r="67" spans="1:42" x14ac:dyDescent="0.3">
      <c r="A67" s="17" t="s">
        <v>467</v>
      </c>
      <c r="B67" s="17"/>
      <c r="C67" s="17" t="s">
        <v>468</v>
      </c>
      <c r="D67" s="76" t="s">
        <v>718</v>
      </c>
      <c r="E67" s="17" t="s">
        <v>396</v>
      </c>
      <c r="F67" s="17" t="s">
        <v>396</v>
      </c>
      <c r="G67" s="17" t="s">
        <v>54</v>
      </c>
      <c r="H67" s="17" t="s">
        <v>54</v>
      </c>
      <c r="I67" s="17" t="s">
        <v>53</v>
      </c>
      <c r="J67" s="17" t="s">
        <v>53</v>
      </c>
      <c r="K67" s="17" t="s">
        <v>469</v>
      </c>
      <c r="L67" s="17" t="s">
        <v>469</v>
      </c>
      <c r="M67" s="17" t="s">
        <v>57</v>
      </c>
      <c r="N67" s="17" t="s">
        <v>57</v>
      </c>
      <c r="O67" s="17" t="s">
        <v>470</v>
      </c>
      <c r="P67" s="17" t="s">
        <v>470</v>
      </c>
      <c r="Q67" s="17" t="s">
        <v>471</v>
      </c>
      <c r="R67" s="17" t="s">
        <v>471</v>
      </c>
      <c r="S67" s="17" t="s">
        <v>471</v>
      </c>
      <c r="T67" s="17" t="s">
        <v>471</v>
      </c>
      <c r="U67" s="17" t="s">
        <v>515</v>
      </c>
      <c r="V67" s="17" t="s">
        <v>507</v>
      </c>
      <c r="W67" s="73">
        <v>450000</v>
      </c>
      <c r="X67" s="18">
        <v>48</v>
      </c>
      <c r="Y67" s="74" t="s">
        <v>474</v>
      </c>
      <c r="Z67" s="17" t="s">
        <v>475</v>
      </c>
      <c r="AA67" s="17" t="s">
        <v>475</v>
      </c>
      <c r="AB67" s="17" t="s">
        <v>476</v>
      </c>
      <c r="AC67" s="18">
        <v>37500</v>
      </c>
      <c r="AD67" s="18">
        <v>37500</v>
      </c>
      <c r="AE67" s="18">
        <v>37500</v>
      </c>
      <c r="AF67" s="18">
        <v>37500</v>
      </c>
      <c r="AG67" s="18">
        <v>37500</v>
      </c>
      <c r="AH67" s="18">
        <v>37500</v>
      </c>
      <c r="AI67" s="18">
        <v>37500</v>
      </c>
      <c r="AJ67" s="18">
        <v>37500</v>
      </c>
      <c r="AK67" s="18">
        <v>37500</v>
      </c>
      <c r="AL67" s="18">
        <v>37500</v>
      </c>
      <c r="AM67" s="18">
        <v>37500</v>
      </c>
      <c r="AN67" s="18">
        <v>37500</v>
      </c>
      <c r="AO67" s="18">
        <v>450000</v>
      </c>
      <c r="AP67" s="103">
        <f>IF(N67="EUR",AO67,IF(N67="GBP",AO67/Rate!$C$3,'2.3 EIL Capex '!AO36/Rate!$C$5))</f>
        <v>450000</v>
      </c>
    </row>
    <row r="68" spans="1:42" x14ac:dyDescent="0.3">
      <c r="A68" s="17" t="s">
        <v>467</v>
      </c>
      <c r="B68" s="17"/>
      <c r="C68" s="17" t="s">
        <v>468</v>
      </c>
      <c r="D68" s="76" t="s">
        <v>718</v>
      </c>
      <c r="E68" s="17" t="s">
        <v>396</v>
      </c>
      <c r="F68" s="17" t="s">
        <v>396</v>
      </c>
      <c r="G68" s="17" t="s">
        <v>54</v>
      </c>
      <c r="H68" s="17" t="s">
        <v>54</v>
      </c>
      <c r="I68" s="17" t="s">
        <v>53</v>
      </c>
      <c r="J68" s="17" t="s">
        <v>53</v>
      </c>
      <c r="K68" s="17" t="s">
        <v>469</v>
      </c>
      <c r="L68" s="17" t="s">
        <v>469</v>
      </c>
      <c r="M68" s="17" t="s">
        <v>57</v>
      </c>
      <c r="N68" s="17" t="s">
        <v>57</v>
      </c>
      <c r="O68" s="17" t="s">
        <v>470</v>
      </c>
      <c r="P68" s="17" t="s">
        <v>470</v>
      </c>
      <c r="Q68" s="17" t="s">
        <v>471</v>
      </c>
      <c r="R68" s="17" t="s">
        <v>471</v>
      </c>
      <c r="S68" s="17" t="s">
        <v>471</v>
      </c>
      <c r="T68" s="17" t="s">
        <v>471</v>
      </c>
      <c r="U68" s="17" t="s">
        <v>516</v>
      </c>
      <c r="V68" s="17" t="s">
        <v>507</v>
      </c>
      <c r="W68" s="73">
        <v>195000</v>
      </c>
      <c r="X68" s="18">
        <v>48</v>
      </c>
      <c r="Y68" s="74" t="s">
        <v>474</v>
      </c>
      <c r="Z68" s="17" t="s">
        <v>475</v>
      </c>
      <c r="AA68" s="17" t="s">
        <v>475</v>
      </c>
      <c r="AB68" s="17" t="s">
        <v>476</v>
      </c>
      <c r="AC68" s="18">
        <v>16250</v>
      </c>
      <c r="AD68" s="18">
        <v>16250</v>
      </c>
      <c r="AE68" s="18">
        <v>16250</v>
      </c>
      <c r="AF68" s="18">
        <v>16250</v>
      </c>
      <c r="AG68" s="18">
        <v>16250</v>
      </c>
      <c r="AH68" s="18">
        <v>16250</v>
      </c>
      <c r="AI68" s="18">
        <v>16250</v>
      </c>
      <c r="AJ68" s="18">
        <v>16250</v>
      </c>
      <c r="AK68" s="18">
        <v>16250</v>
      </c>
      <c r="AL68" s="18">
        <v>16250</v>
      </c>
      <c r="AM68" s="18">
        <v>16250</v>
      </c>
      <c r="AN68" s="18">
        <v>16250</v>
      </c>
      <c r="AO68" s="18">
        <v>195000</v>
      </c>
      <c r="AP68" s="103">
        <f>IF(N68="EUR",AO68,IF(N68="GBP",AO68/Rate!$C$3,'2.3 EIL Capex '!AO37/Rate!$C$5))</f>
        <v>195000</v>
      </c>
    </row>
    <row r="69" spans="1:42" x14ac:dyDescent="0.3">
      <c r="A69" s="17" t="s">
        <v>467</v>
      </c>
      <c r="B69" s="17"/>
      <c r="C69" s="17" t="s">
        <v>468</v>
      </c>
      <c r="D69" s="76" t="s">
        <v>718</v>
      </c>
      <c r="E69" s="17" t="s">
        <v>396</v>
      </c>
      <c r="F69" s="17" t="s">
        <v>396</v>
      </c>
      <c r="G69" s="17" t="s">
        <v>54</v>
      </c>
      <c r="H69" s="17" t="s">
        <v>54</v>
      </c>
      <c r="I69" s="17" t="s">
        <v>53</v>
      </c>
      <c r="J69" s="17" t="s">
        <v>53</v>
      </c>
      <c r="K69" s="17" t="s">
        <v>469</v>
      </c>
      <c r="L69" s="17" t="s">
        <v>469</v>
      </c>
      <c r="M69" s="17" t="s">
        <v>57</v>
      </c>
      <c r="N69" s="17" t="s">
        <v>57</v>
      </c>
      <c r="O69" s="17" t="s">
        <v>470</v>
      </c>
      <c r="P69" s="17" t="s">
        <v>470</v>
      </c>
      <c r="Q69" s="17" t="s">
        <v>471</v>
      </c>
      <c r="R69" s="17" t="s">
        <v>471</v>
      </c>
      <c r="S69" s="17" t="s">
        <v>471</v>
      </c>
      <c r="T69" s="17" t="s">
        <v>471</v>
      </c>
      <c r="U69" s="17" t="s">
        <v>524</v>
      </c>
      <c r="V69" s="17" t="s">
        <v>507</v>
      </c>
      <c r="W69" s="73">
        <v>320004</v>
      </c>
      <c r="X69" s="18">
        <v>48</v>
      </c>
      <c r="Y69" s="74" t="s">
        <v>474</v>
      </c>
      <c r="Z69" s="17" t="s">
        <v>475</v>
      </c>
      <c r="AA69" s="17" t="s">
        <v>475</v>
      </c>
      <c r="AB69" s="17" t="s">
        <v>476</v>
      </c>
      <c r="AC69" s="18">
        <v>26667</v>
      </c>
      <c r="AD69" s="18">
        <v>26667</v>
      </c>
      <c r="AE69" s="18">
        <v>26667</v>
      </c>
      <c r="AF69" s="18">
        <v>26667</v>
      </c>
      <c r="AG69" s="18">
        <v>26667</v>
      </c>
      <c r="AH69" s="18">
        <v>26667</v>
      </c>
      <c r="AI69" s="18">
        <v>26667</v>
      </c>
      <c r="AJ69" s="18">
        <v>26667</v>
      </c>
      <c r="AK69" s="18">
        <v>26667</v>
      </c>
      <c r="AL69" s="18">
        <v>26667</v>
      </c>
      <c r="AM69" s="18">
        <v>26667</v>
      </c>
      <c r="AN69" s="18">
        <v>26667</v>
      </c>
      <c r="AO69" s="18">
        <v>320004</v>
      </c>
      <c r="AP69" s="103">
        <f>IF(N69="EUR",AO69,IF(N69="GBP",AO69/Rate!$C$3,'2.3 EIL Capex '!AO43/Rate!$C$5))</f>
        <v>320004</v>
      </c>
    </row>
    <row r="70" spans="1:42" x14ac:dyDescent="0.3">
      <c r="A70" s="17" t="s">
        <v>467</v>
      </c>
      <c r="B70" s="17"/>
      <c r="C70" s="17" t="s">
        <v>468</v>
      </c>
      <c r="D70" s="76" t="s">
        <v>718</v>
      </c>
      <c r="E70" s="17" t="s">
        <v>396</v>
      </c>
      <c r="F70" s="17" t="s">
        <v>396</v>
      </c>
      <c r="G70" s="17" t="s">
        <v>54</v>
      </c>
      <c r="H70" s="17" t="s">
        <v>54</v>
      </c>
      <c r="I70" s="17" t="s">
        <v>53</v>
      </c>
      <c r="J70" s="17" t="s">
        <v>53</v>
      </c>
      <c r="K70" s="17" t="s">
        <v>469</v>
      </c>
      <c r="L70" s="17" t="s">
        <v>469</v>
      </c>
      <c r="M70" s="17" t="s">
        <v>57</v>
      </c>
      <c r="N70" s="17" t="s">
        <v>57</v>
      </c>
      <c r="O70" s="17" t="s">
        <v>470</v>
      </c>
      <c r="P70" s="17" t="s">
        <v>470</v>
      </c>
      <c r="Q70" s="17" t="s">
        <v>471</v>
      </c>
      <c r="R70" s="17" t="s">
        <v>471</v>
      </c>
      <c r="S70" s="17" t="s">
        <v>471</v>
      </c>
      <c r="T70" s="17" t="s">
        <v>471</v>
      </c>
      <c r="U70" s="17" t="s">
        <v>525</v>
      </c>
      <c r="V70" s="17" t="s">
        <v>473</v>
      </c>
      <c r="W70" s="73">
        <v>189996</v>
      </c>
      <c r="X70" s="18">
        <v>48</v>
      </c>
      <c r="Y70" s="74" t="s">
        <v>474</v>
      </c>
      <c r="Z70" s="17" t="s">
        <v>475</v>
      </c>
      <c r="AA70" s="17" t="s">
        <v>475</v>
      </c>
      <c r="AB70" s="17" t="s">
        <v>476</v>
      </c>
      <c r="AC70" s="18">
        <v>15833</v>
      </c>
      <c r="AD70" s="18">
        <v>15833</v>
      </c>
      <c r="AE70" s="18">
        <v>15833</v>
      </c>
      <c r="AF70" s="18">
        <v>15833</v>
      </c>
      <c r="AG70" s="18">
        <v>15833</v>
      </c>
      <c r="AH70" s="18">
        <v>15833</v>
      </c>
      <c r="AI70" s="18">
        <v>15833</v>
      </c>
      <c r="AJ70" s="18">
        <v>15833</v>
      </c>
      <c r="AK70" s="18">
        <v>15833</v>
      </c>
      <c r="AL70" s="18">
        <v>15833</v>
      </c>
      <c r="AM70" s="18">
        <v>15833</v>
      </c>
      <c r="AN70" s="18">
        <v>15833</v>
      </c>
      <c r="AO70" s="18">
        <v>189996</v>
      </c>
      <c r="AP70" s="103">
        <f>IF(N70="EUR",AO70,IF(N70="GBP",AO70/Rate!$C$3,'2.3 EIL Capex '!AO44/Rate!$C$5))</f>
        <v>189996</v>
      </c>
    </row>
    <row r="71" spans="1:42" x14ac:dyDescent="0.3">
      <c r="A71" s="17" t="s">
        <v>467</v>
      </c>
      <c r="B71" s="17"/>
      <c r="C71" s="17" t="s">
        <v>468</v>
      </c>
      <c r="D71" s="76" t="s">
        <v>718</v>
      </c>
      <c r="E71" s="17" t="s">
        <v>396</v>
      </c>
      <c r="F71" s="17" t="s">
        <v>396</v>
      </c>
      <c r="G71" s="17" t="s">
        <v>54</v>
      </c>
      <c r="H71" s="17" t="s">
        <v>54</v>
      </c>
      <c r="I71" s="17" t="s">
        <v>53</v>
      </c>
      <c r="J71" s="17" t="s">
        <v>53</v>
      </c>
      <c r="K71" s="17" t="s">
        <v>469</v>
      </c>
      <c r="L71" s="17" t="s">
        <v>469</v>
      </c>
      <c r="M71" s="17" t="s">
        <v>57</v>
      </c>
      <c r="N71" s="17" t="s">
        <v>57</v>
      </c>
      <c r="O71" s="17" t="s">
        <v>470</v>
      </c>
      <c r="P71" s="17" t="s">
        <v>470</v>
      </c>
      <c r="Q71" s="17" t="s">
        <v>471</v>
      </c>
      <c r="R71" s="17" t="s">
        <v>471</v>
      </c>
      <c r="S71" s="17" t="s">
        <v>471</v>
      </c>
      <c r="T71" s="17" t="s">
        <v>471</v>
      </c>
      <c r="U71" s="17" t="s">
        <v>528</v>
      </c>
      <c r="V71" s="17" t="s">
        <v>507</v>
      </c>
      <c r="W71" s="73">
        <v>225000</v>
      </c>
      <c r="X71" s="18">
        <v>48</v>
      </c>
      <c r="Y71" s="74" t="s">
        <v>474</v>
      </c>
      <c r="Z71" s="17" t="s">
        <v>475</v>
      </c>
      <c r="AA71" s="17" t="s">
        <v>475</v>
      </c>
      <c r="AB71" s="17" t="s">
        <v>476</v>
      </c>
      <c r="AC71" s="18">
        <v>18750</v>
      </c>
      <c r="AD71" s="18">
        <v>18750</v>
      </c>
      <c r="AE71" s="18">
        <v>18750</v>
      </c>
      <c r="AF71" s="18">
        <v>18750</v>
      </c>
      <c r="AG71" s="18">
        <v>18750</v>
      </c>
      <c r="AH71" s="18">
        <v>18750</v>
      </c>
      <c r="AI71" s="18">
        <v>18750</v>
      </c>
      <c r="AJ71" s="18">
        <v>18750</v>
      </c>
      <c r="AK71" s="18">
        <v>18750</v>
      </c>
      <c r="AL71" s="18">
        <v>18750</v>
      </c>
      <c r="AM71" s="18">
        <v>18750</v>
      </c>
      <c r="AN71" s="18">
        <v>18750</v>
      </c>
      <c r="AO71" s="18">
        <v>225000</v>
      </c>
      <c r="AP71" s="103">
        <f>IF(N71="EUR",AO71,IF(N71="GBP",AO71/Rate!$C$3,'2.3 EIL Capex '!AO47/Rate!$C$5))</f>
        <v>225000</v>
      </c>
    </row>
    <row r="72" spans="1:42" x14ac:dyDescent="0.3">
      <c r="A72" s="17" t="s">
        <v>467</v>
      </c>
      <c r="B72" s="17"/>
      <c r="C72" s="17" t="s">
        <v>468</v>
      </c>
      <c r="D72" s="76" t="s">
        <v>718</v>
      </c>
      <c r="E72" s="17" t="s">
        <v>396</v>
      </c>
      <c r="F72" s="17" t="s">
        <v>396</v>
      </c>
      <c r="G72" s="17" t="s">
        <v>54</v>
      </c>
      <c r="H72" s="17" t="s">
        <v>54</v>
      </c>
      <c r="I72" s="17" t="s">
        <v>53</v>
      </c>
      <c r="J72" s="17" t="s">
        <v>53</v>
      </c>
      <c r="K72" s="17" t="s">
        <v>469</v>
      </c>
      <c r="L72" s="17" t="s">
        <v>469</v>
      </c>
      <c r="M72" s="17" t="s">
        <v>57</v>
      </c>
      <c r="N72" s="17" t="s">
        <v>57</v>
      </c>
      <c r="O72" s="17" t="s">
        <v>470</v>
      </c>
      <c r="P72" s="17" t="s">
        <v>470</v>
      </c>
      <c r="Q72" s="17" t="s">
        <v>471</v>
      </c>
      <c r="R72" s="17" t="s">
        <v>471</v>
      </c>
      <c r="S72" s="17" t="s">
        <v>471</v>
      </c>
      <c r="T72" s="17" t="s">
        <v>471</v>
      </c>
      <c r="U72" s="17" t="s">
        <v>534</v>
      </c>
      <c r="V72" s="17" t="s">
        <v>473</v>
      </c>
      <c r="W72" s="73">
        <v>95004</v>
      </c>
      <c r="X72" s="18">
        <v>48</v>
      </c>
      <c r="Y72" s="74" t="s">
        <v>474</v>
      </c>
      <c r="Z72" s="17" t="s">
        <v>475</v>
      </c>
      <c r="AA72" s="17" t="s">
        <v>475</v>
      </c>
      <c r="AB72" s="17" t="s">
        <v>476</v>
      </c>
      <c r="AC72" s="18">
        <v>7917</v>
      </c>
      <c r="AD72" s="18">
        <v>7917</v>
      </c>
      <c r="AE72" s="18">
        <v>7917</v>
      </c>
      <c r="AF72" s="18">
        <v>7917</v>
      </c>
      <c r="AG72" s="18">
        <v>7917</v>
      </c>
      <c r="AH72" s="18">
        <v>7917</v>
      </c>
      <c r="AI72" s="18">
        <v>7917</v>
      </c>
      <c r="AJ72" s="18">
        <v>7917</v>
      </c>
      <c r="AK72" s="18">
        <v>7917</v>
      </c>
      <c r="AL72" s="18">
        <v>7917</v>
      </c>
      <c r="AM72" s="18">
        <v>7917</v>
      </c>
      <c r="AN72" s="18">
        <v>7917</v>
      </c>
      <c r="AO72" s="18">
        <v>95004</v>
      </c>
      <c r="AP72" s="103">
        <f>IF(N72="EUR",AO72,IF(N72="GBP",AO72/Rate!$C$3,'2.3 EIL Capex '!AO53/Rate!$C$5))</f>
        <v>95004</v>
      </c>
    </row>
    <row r="73" spans="1:42" x14ac:dyDescent="0.3">
      <c r="A73" s="17" t="s">
        <v>467</v>
      </c>
      <c r="B73" s="17"/>
      <c r="C73" s="17" t="s">
        <v>468</v>
      </c>
      <c r="D73" s="76" t="s">
        <v>718</v>
      </c>
      <c r="E73" s="17" t="s">
        <v>396</v>
      </c>
      <c r="F73" s="17" t="s">
        <v>396</v>
      </c>
      <c r="G73" s="17" t="s">
        <v>54</v>
      </c>
      <c r="H73" s="17" t="s">
        <v>54</v>
      </c>
      <c r="I73" s="17" t="s">
        <v>53</v>
      </c>
      <c r="J73" s="17" t="s">
        <v>53</v>
      </c>
      <c r="K73" s="17" t="s">
        <v>469</v>
      </c>
      <c r="L73" s="17" t="s">
        <v>469</v>
      </c>
      <c r="M73" s="17" t="s">
        <v>57</v>
      </c>
      <c r="N73" s="17" t="s">
        <v>57</v>
      </c>
      <c r="O73" s="17" t="s">
        <v>470</v>
      </c>
      <c r="P73" s="17" t="s">
        <v>470</v>
      </c>
      <c r="Q73" s="17" t="s">
        <v>471</v>
      </c>
      <c r="R73" s="17" t="s">
        <v>471</v>
      </c>
      <c r="S73" s="17" t="s">
        <v>471</v>
      </c>
      <c r="T73" s="17" t="s">
        <v>471</v>
      </c>
      <c r="U73" s="17" t="s">
        <v>540</v>
      </c>
      <c r="V73" s="17" t="s">
        <v>507</v>
      </c>
      <c r="W73" s="73">
        <v>560004</v>
      </c>
      <c r="X73" s="18">
        <v>48</v>
      </c>
      <c r="Y73" s="74" t="s">
        <v>474</v>
      </c>
      <c r="Z73" s="17" t="s">
        <v>475</v>
      </c>
      <c r="AA73" s="17" t="s">
        <v>475</v>
      </c>
      <c r="AB73" s="17" t="s">
        <v>476</v>
      </c>
      <c r="AC73" s="18">
        <v>46667</v>
      </c>
      <c r="AD73" s="18">
        <v>46667</v>
      </c>
      <c r="AE73" s="18">
        <v>46667</v>
      </c>
      <c r="AF73" s="18">
        <v>46667</v>
      </c>
      <c r="AG73" s="18">
        <v>46667</v>
      </c>
      <c r="AH73" s="18">
        <v>46667</v>
      </c>
      <c r="AI73" s="18">
        <v>46667</v>
      </c>
      <c r="AJ73" s="18">
        <v>46667</v>
      </c>
      <c r="AK73" s="18">
        <v>46667</v>
      </c>
      <c r="AL73" s="18">
        <v>46667</v>
      </c>
      <c r="AM73" s="18">
        <v>46667</v>
      </c>
      <c r="AN73" s="18">
        <v>46667</v>
      </c>
      <c r="AO73" s="18">
        <v>560004</v>
      </c>
      <c r="AP73" s="103">
        <f>IF(N73="EUR",AO73,IF(N73="GBP",AO73/Rate!$C$3,'2.3 EIL Capex '!AO57/Rate!$C$5))</f>
        <v>560004</v>
      </c>
    </row>
    <row r="74" spans="1:42" x14ac:dyDescent="0.3">
      <c r="A74" s="17" t="s">
        <v>467</v>
      </c>
      <c r="B74" s="17"/>
      <c r="C74" s="17" t="s">
        <v>468</v>
      </c>
      <c r="D74" s="76" t="s">
        <v>718</v>
      </c>
      <c r="E74" s="17" t="s">
        <v>396</v>
      </c>
      <c r="F74" s="17" t="s">
        <v>396</v>
      </c>
      <c r="G74" s="17" t="s">
        <v>54</v>
      </c>
      <c r="H74" s="17" t="s">
        <v>54</v>
      </c>
      <c r="I74" s="17" t="s">
        <v>53</v>
      </c>
      <c r="J74" s="17" t="s">
        <v>53</v>
      </c>
      <c r="K74" s="17" t="s">
        <v>469</v>
      </c>
      <c r="L74" s="17" t="s">
        <v>469</v>
      </c>
      <c r="M74" s="17" t="s">
        <v>57</v>
      </c>
      <c r="N74" s="17" t="s">
        <v>57</v>
      </c>
      <c r="O74" s="17" t="s">
        <v>470</v>
      </c>
      <c r="P74" s="17" t="s">
        <v>470</v>
      </c>
      <c r="Q74" s="17" t="s">
        <v>471</v>
      </c>
      <c r="R74" s="17" t="s">
        <v>471</v>
      </c>
      <c r="S74" s="17" t="s">
        <v>471</v>
      </c>
      <c r="T74" s="17" t="s">
        <v>471</v>
      </c>
      <c r="U74" s="17" t="s">
        <v>544</v>
      </c>
      <c r="V74" s="17" t="s">
        <v>507</v>
      </c>
      <c r="W74" s="73">
        <v>157500</v>
      </c>
      <c r="X74" s="18">
        <v>48</v>
      </c>
      <c r="Y74" s="74" t="s">
        <v>474</v>
      </c>
      <c r="Z74" s="17" t="s">
        <v>475</v>
      </c>
      <c r="AA74" s="17" t="s">
        <v>475</v>
      </c>
      <c r="AB74" s="17" t="s">
        <v>476</v>
      </c>
      <c r="AC74" s="18">
        <v>13125</v>
      </c>
      <c r="AD74" s="18">
        <v>13125</v>
      </c>
      <c r="AE74" s="18">
        <v>13125</v>
      </c>
      <c r="AF74" s="18">
        <v>13125</v>
      </c>
      <c r="AG74" s="18">
        <v>13125</v>
      </c>
      <c r="AH74" s="18">
        <v>13125</v>
      </c>
      <c r="AI74" s="18">
        <v>13125</v>
      </c>
      <c r="AJ74" s="18">
        <v>13125</v>
      </c>
      <c r="AK74" s="18">
        <v>13125</v>
      </c>
      <c r="AL74" s="18">
        <v>13125</v>
      </c>
      <c r="AM74" s="18">
        <v>13125</v>
      </c>
      <c r="AN74" s="18">
        <v>13125</v>
      </c>
      <c r="AO74" s="18">
        <v>157500</v>
      </c>
      <c r="AP74" s="103">
        <f>IF(N74="EUR",AO74,IF(N74="GBP",AO74/Rate!$C$3,'2.3 EIL Capex '!AO61/Rate!$C$5))</f>
        <v>157500</v>
      </c>
    </row>
    <row r="75" spans="1:42" x14ac:dyDescent="0.3">
      <c r="A75" s="17" t="s">
        <v>467</v>
      </c>
      <c r="B75" s="17"/>
      <c r="C75" s="17" t="s">
        <v>468</v>
      </c>
      <c r="D75" s="76" t="s">
        <v>718</v>
      </c>
      <c r="E75" s="17" t="s">
        <v>396</v>
      </c>
      <c r="F75" s="17" t="s">
        <v>396</v>
      </c>
      <c r="G75" s="17" t="s">
        <v>54</v>
      </c>
      <c r="H75" s="17" t="s">
        <v>54</v>
      </c>
      <c r="I75" s="17" t="s">
        <v>53</v>
      </c>
      <c r="J75" s="17" t="s">
        <v>53</v>
      </c>
      <c r="K75" s="17" t="s">
        <v>469</v>
      </c>
      <c r="L75" s="17" t="s">
        <v>469</v>
      </c>
      <c r="M75" s="17" t="s">
        <v>57</v>
      </c>
      <c r="N75" s="17" t="s">
        <v>57</v>
      </c>
      <c r="O75" s="17" t="s">
        <v>470</v>
      </c>
      <c r="P75" s="17" t="s">
        <v>470</v>
      </c>
      <c r="Q75" s="17" t="s">
        <v>471</v>
      </c>
      <c r="R75" s="17" t="s">
        <v>471</v>
      </c>
      <c r="S75" s="17" t="s">
        <v>471</v>
      </c>
      <c r="T75" s="17" t="s">
        <v>471</v>
      </c>
      <c r="U75" s="17" t="s">
        <v>545</v>
      </c>
      <c r="V75" s="17" t="s">
        <v>507</v>
      </c>
      <c r="W75" s="73">
        <v>135000</v>
      </c>
      <c r="X75" s="18">
        <v>48</v>
      </c>
      <c r="Y75" s="74" t="s">
        <v>474</v>
      </c>
      <c r="Z75" s="17" t="s">
        <v>475</v>
      </c>
      <c r="AA75" s="17" t="s">
        <v>475</v>
      </c>
      <c r="AB75" s="17" t="s">
        <v>476</v>
      </c>
      <c r="AC75" s="18">
        <v>11250</v>
      </c>
      <c r="AD75" s="18">
        <v>11250</v>
      </c>
      <c r="AE75" s="18">
        <v>11250</v>
      </c>
      <c r="AF75" s="18">
        <v>11250</v>
      </c>
      <c r="AG75" s="18">
        <v>11250</v>
      </c>
      <c r="AH75" s="18">
        <v>11250</v>
      </c>
      <c r="AI75" s="18">
        <v>11250</v>
      </c>
      <c r="AJ75" s="18">
        <v>11250</v>
      </c>
      <c r="AK75" s="18">
        <v>11250</v>
      </c>
      <c r="AL75" s="18">
        <v>11250</v>
      </c>
      <c r="AM75" s="18">
        <v>11250</v>
      </c>
      <c r="AN75" s="18">
        <v>11250</v>
      </c>
      <c r="AO75" s="18">
        <v>135000</v>
      </c>
      <c r="AP75" s="103">
        <f>IF(N75="EUR",AO75,IF(N75="GBP",AO75/Rate!$C$3,'2.3 EIL Capex '!AO62/Rate!$C$5))</f>
        <v>135000</v>
      </c>
    </row>
    <row r="76" spans="1:42" x14ac:dyDescent="0.3">
      <c r="A76" s="17" t="s">
        <v>467</v>
      </c>
      <c r="B76" s="17"/>
      <c r="C76" s="17" t="s">
        <v>468</v>
      </c>
      <c r="D76" s="76" t="s">
        <v>718</v>
      </c>
      <c r="E76" s="17" t="s">
        <v>396</v>
      </c>
      <c r="F76" s="17" t="s">
        <v>396</v>
      </c>
      <c r="G76" s="17" t="s">
        <v>54</v>
      </c>
      <c r="H76" s="17" t="s">
        <v>54</v>
      </c>
      <c r="I76" s="17" t="s">
        <v>53</v>
      </c>
      <c r="J76" s="17" t="s">
        <v>53</v>
      </c>
      <c r="K76" s="17" t="s">
        <v>469</v>
      </c>
      <c r="L76" s="17" t="s">
        <v>469</v>
      </c>
      <c r="M76" s="17" t="s">
        <v>57</v>
      </c>
      <c r="N76" s="17" t="s">
        <v>57</v>
      </c>
      <c r="O76" s="17" t="s">
        <v>470</v>
      </c>
      <c r="P76" s="17" t="s">
        <v>470</v>
      </c>
      <c r="Q76" s="17" t="s">
        <v>471</v>
      </c>
      <c r="R76" s="17" t="s">
        <v>471</v>
      </c>
      <c r="S76" s="17" t="s">
        <v>471</v>
      </c>
      <c r="T76" s="17" t="s">
        <v>471</v>
      </c>
      <c r="U76" s="17" t="s">
        <v>549</v>
      </c>
      <c r="V76" s="17" t="s">
        <v>507</v>
      </c>
      <c r="W76" s="73">
        <v>350004</v>
      </c>
      <c r="X76" s="18">
        <v>48</v>
      </c>
      <c r="Y76" s="74" t="s">
        <v>474</v>
      </c>
      <c r="Z76" s="17" t="s">
        <v>475</v>
      </c>
      <c r="AA76" s="17" t="s">
        <v>475</v>
      </c>
      <c r="AB76" s="17" t="s">
        <v>476</v>
      </c>
      <c r="AC76" s="18">
        <v>29167</v>
      </c>
      <c r="AD76" s="18">
        <v>29167</v>
      </c>
      <c r="AE76" s="18">
        <v>29167</v>
      </c>
      <c r="AF76" s="18">
        <v>29167</v>
      </c>
      <c r="AG76" s="18">
        <v>29167</v>
      </c>
      <c r="AH76" s="18">
        <v>29167</v>
      </c>
      <c r="AI76" s="18">
        <v>29167</v>
      </c>
      <c r="AJ76" s="18">
        <v>29167</v>
      </c>
      <c r="AK76" s="18">
        <v>29167</v>
      </c>
      <c r="AL76" s="18">
        <v>29167</v>
      </c>
      <c r="AM76" s="18">
        <v>29167</v>
      </c>
      <c r="AN76" s="18">
        <v>29167</v>
      </c>
      <c r="AO76" s="18">
        <v>350004</v>
      </c>
      <c r="AP76" s="103">
        <f>IF(N76="EUR",AO76,IF(N76="GBP",AO76/Rate!$C$3,'2.3 EIL Capex '!AO66/Rate!$C$5))</f>
        <v>350004</v>
      </c>
    </row>
    <row r="77" spans="1:42" x14ac:dyDescent="0.3">
      <c r="A77" s="17" t="s">
        <v>467</v>
      </c>
      <c r="B77" s="17"/>
      <c r="C77" s="17" t="s">
        <v>468</v>
      </c>
      <c r="D77" s="76" t="s">
        <v>718</v>
      </c>
      <c r="E77" s="17" t="s">
        <v>396</v>
      </c>
      <c r="F77" s="17" t="s">
        <v>396</v>
      </c>
      <c r="G77" s="17" t="s">
        <v>54</v>
      </c>
      <c r="H77" s="17" t="s">
        <v>54</v>
      </c>
      <c r="I77" s="17" t="s">
        <v>53</v>
      </c>
      <c r="J77" s="17" t="s">
        <v>53</v>
      </c>
      <c r="K77" s="17" t="s">
        <v>469</v>
      </c>
      <c r="L77" s="17" t="s">
        <v>469</v>
      </c>
      <c r="M77" s="17" t="s">
        <v>57</v>
      </c>
      <c r="N77" s="17" t="s">
        <v>57</v>
      </c>
      <c r="O77" s="17" t="s">
        <v>470</v>
      </c>
      <c r="P77" s="17" t="s">
        <v>470</v>
      </c>
      <c r="Q77" s="17" t="s">
        <v>471</v>
      </c>
      <c r="R77" s="17" t="s">
        <v>471</v>
      </c>
      <c r="S77" s="17" t="s">
        <v>471</v>
      </c>
      <c r="T77" s="17" t="s">
        <v>471</v>
      </c>
      <c r="U77" s="17" t="s">
        <v>550</v>
      </c>
      <c r="V77" s="17" t="s">
        <v>507</v>
      </c>
      <c r="W77" s="73">
        <v>240000</v>
      </c>
      <c r="X77" s="18">
        <v>48</v>
      </c>
      <c r="Y77" s="74" t="s">
        <v>474</v>
      </c>
      <c r="Z77" s="17" t="s">
        <v>475</v>
      </c>
      <c r="AA77" s="17" t="s">
        <v>475</v>
      </c>
      <c r="AB77" s="17" t="s">
        <v>476</v>
      </c>
      <c r="AC77" s="18">
        <v>20000</v>
      </c>
      <c r="AD77" s="18">
        <v>20000</v>
      </c>
      <c r="AE77" s="18">
        <v>20000</v>
      </c>
      <c r="AF77" s="18">
        <v>20000</v>
      </c>
      <c r="AG77" s="18">
        <v>20000</v>
      </c>
      <c r="AH77" s="18">
        <v>20000</v>
      </c>
      <c r="AI77" s="18">
        <v>20000</v>
      </c>
      <c r="AJ77" s="18">
        <v>20000</v>
      </c>
      <c r="AK77" s="18">
        <v>20000</v>
      </c>
      <c r="AL77" s="18">
        <v>20000</v>
      </c>
      <c r="AM77" s="18">
        <v>20000</v>
      </c>
      <c r="AN77" s="18">
        <v>20000</v>
      </c>
      <c r="AO77" s="18">
        <v>240000</v>
      </c>
      <c r="AP77" s="103">
        <f>IF(N77="EUR",AO77,IF(N77="GBP",AO77/Rate!$C$3,'2.3 EIL Capex '!AO67/Rate!$C$5))</f>
        <v>240000</v>
      </c>
    </row>
    <row r="78" spans="1:42" x14ac:dyDescent="0.3">
      <c r="A78" s="17" t="s">
        <v>467</v>
      </c>
      <c r="B78" s="17"/>
      <c r="C78" s="17" t="s">
        <v>468</v>
      </c>
      <c r="D78" s="76" t="s">
        <v>718</v>
      </c>
      <c r="E78" s="17" t="s">
        <v>396</v>
      </c>
      <c r="F78" s="17" t="s">
        <v>396</v>
      </c>
      <c r="G78" s="17" t="s">
        <v>54</v>
      </c>
      <c r="H78" s="17" t="s">
        <v>54</v>
      </c>
      <c r="I78" s="17" t="s">
        <v>53</v>
      </c>
      <c r="J78" s="17" t="s">
        <v>53</v>
      </c>
      <c r="K78" s="17" t="s">
        <v>469</v>
      </c>
      <c r="L78" s="17" t="s">
        <v>469</v>
      </c>
      <c r="M78" s="17" t="s">
        <v>57</v>
      </c>
      <c r="N78" s="17" t="s">
        <v>57</v>
      </c>
      <c r="O78" s="17" t="s">
        <v>470</v>
      </c>
      <c r="P78" s="17" t="s">
        <v>470</v>
      </c>
      <c r="Q78" s="17" t="s">
        <v>471</v>
      </c>
      <c r="R78" s="17" t="s">
        <v>471</v>
      </c>
      <c r="S78" s="17" t="s">
        <v>471</v>
      </c>
      <c r="T78" s="17" t="s">
        <v>471</v>
      </c>
      <c r="U78" s="17" t="s">
        <v>556</v>
      </c>
      <c r="V78" s="17" t="s">
        <v>507</v>
      </c>
      <c r="W78" s="73">
        <v>290004</v>
      </c>
      <c r="X78" s="18">
        <v>48</v>
      </c>
      <c r="Y78" s="74" t="s">
        <v>474</v>
      </c>
      <c r="Z78" s="17" t="s">
        <v>475</v>
      </c>
      <c r="AA78" s="17" t="s">
        <v>475</v>
      </c>
      <c r="AB78" s="17" t="s">
        <v>476</v>
      </c>
      <c r="AC78" s="18">
        <v>24167</v>
      </c>
      <c r="AD78" s="18">
        <v>24167</v>
      </c>
      <c r="AE78" s="18">
        <v>24167</v>
      </c>
      <c r="AF78" s="18">
        <v>24167</v>
      </c>
      <c r="AG78" s="18">
        <v>24167</v>
      </c>
      <c r="AH78" s="18">
        <v>24167</v>
      </c>
      <c r="AI78" s="18">
        <v>24167</v>
      </c>
      <c r="AJ78" s="18">
        <v>24167</v>
      </c>
      <c r="AK78" s="18">
        <v>24167</v>
      </c>
      <c r="AL78" s="18">
        <v>24167</v>
      </c>
      <c r="AM78" s="18">
        <v>24167</v>
      </c>
      <c r="AN78" s="18">
        <v>24167</v>
      </c>
      <c r="AO78" s="18">
        <v>290004</v>
      </c>
      <c r="AP78" s="103">
        <f>IF(N78="EUR",AO78,IF(N78="GBP",AO78/Rate!$C$3,'2.3 EIL Capex '!AO73/Rate!$C$5))</f>
        <v>290004</v>
      </c>
    </row>
    <row r="79" spans="1:42" x14ac:dyDescent="0.3">
      <c r="A79" s="17" t="s">
        <v>467</v>
      </c>
      <c r="B79" s="17"/>
      <c r="C79" s="17" t="s">
        <v>468</v>
      </c>
      <c r="D79" s="76" t="s">
        <v>718</v>
      </c>
      <c r="E79" s="17" t="s">
        <v>396</v>
      </c>
      <c r="F79" s="17" t="s">
        <v>396</v>
      </c>
      <c r="G79" s="17" t="s">
        <v>54</v>
      </c>
      <c r="H79" s="17" t="s">
        <v>54</v>
      </c>
      <c r="I79" s="17" t="s">
        <v>53</v>
      </c>
      <c r="J79" s="17" t="s">
        <v>53</v>
      </c>
      <c r="K79" s="17" t="s">
        <v>469</v>
      </c>
      <c r="L79" s="17" t="s">
        <v>469</v>
      </c>
      <c r="M79" s="17" t="s">
        <v>57</v>
      </c>
      <c r="N79" s="17" t="s">
        <v>57</v>
      </c>
      <c r="O79" s="17" t="s">
        <v>470</v>
      </c>
      <c r="P79" s="17" t="s">
        <v>470</v>
      </c>
      <c r="Q79" s="17" t="s">
        <v>471</v>
      </c>
      <c r="R79" s="17" t="s">
        <v>471</v>
      </c>
      <c r="S79" s="17" t="s">
        <v>471</v>
      </c>
      <c r="T79" s="17" t="s">
        <v>471</v>
      </c>
      <c r="U79" s="17" t="s">
        <v>560</v>
      </c>
      <c r="V79" s="17" t="s">
        <v>507</v>
      </c>
      <c r="W79" s="73">
        <v>320004</v>
      </c>
      <c r="X79" s="18">
        <v>48</v>
      </c>
      <c r="Y79" s="74" t="s">
        <v>474</v>
      </c>
      <c r="Z79" s="17" t="s">
        <v>475</v>
      </c>
      <c r="AA79" s="17" t="s">
        <v>475</v>
      </c>
      <c r="AB79" s="17" t="s">
        <v>476</v>
      </c>
      <c r="AC79" s="18">
        <v>26667</v>
      </c>
      <c r="AD79" s="18">
        <v>26667</v>
      </c>
      <c r="AE79" s="18">
        <v>26667</v>
      </c>
      <c r="AF79" s="18">
        <v>26667</v>
      </c>
      <c r="AG79" s="18">
        <v>26667</v>
      </c>
      <c r="AH79" s="18">
        <v>26667</v>
      </c>
      <c r="AI79" s="18">
        <v>26667</v>
      </c>
      <c r="AJ79" s="18">
        <v>26667</v>
      </c>
      <c r="AK79" s="18">
        <v>26667</v>
      </c>
      <c r="AL79" s="18">
        <v>26667</v>
      </c>
      <c r="AM79" s="18">
        <v>26667</v>
      </c>
      <c r="AN79" s="18">
        <v>26667</v>
      </c>
      <c r="AO79" s="18">
        <v>320004</v>
      </c>
      <c r="AP79" s="103">
        <f>IF(N79="EUR",AO79,IF(N79="GBP",AO79/Rate!$C$3,'2.3 EIL Capex '!AO77/Rate!$C$5))</f>
        <v>320004</v>
      </c>
    </row>
    <row r="83" spans="1:9" x14ac:dyDescent="0.3">
      <c r="A83" s="75" t="s">
        <v>563</v>
      </c>
    </row>
    <row r="84" spans="1:9" x14ac:dyDescent="0.3">
      <c r="A84" s="135"/>
      <c r="B84" s="135"/>
      <c r="C84" s="135"/>
      <c r="D84" s="135"/>
      <c r="E84" s="135"/>
      <c r="F84" s="135"/>
      <c r="G84" s="135"/>
      <c r="H84" s="135"/>
      <c r="I84" s="135"/>
    </row>
    <row r="87" spans="1:9" x14ac:dyDescent="0.3">
      <c r="A87" s="76" t="s">
        <v>564</v>
      </c>
    </row>
    <row r="88" spans="1:9" x14ac:dyDescent="0.3">
      <c r="A88" s="76" t="s">
        <v>565</v>
      </c>
    </row>
  </sheetData>
  <autoFilter ref="A4:AP79" xr:uid="{AF20731F-CA6C-4060-8F45-A60CE2452DC8}">
    <sortState xmlns:xlrd2="http://schemas.microsoft.com/office/spreadsheetml/2017/richdata2" ref="A5:AP79">
      <sortCondition ref="E4:E79"/>
    </sortState>
  </autoFilter>
  <mergeCells count="1">
    <mergeCell ref="A84:I8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C46D-F41F-4D5D-A2DE-3FC4E354DFD4}">
  <sheetPr>
    <tabColor rgb="FFC00000"/>
  </sheetPr>
  <dimension ref="A1:AB149"/>
  <sheetViews>
    <sheetView topLeftCell="D1" zoomScale="91" workbookViewId="0">
      <selection activeCell="S124" sqref="S124:S138"/>
    </sheetView>
  </sheetViews>
  <sheetFormatPr defaultColWidth="8.77734375" defaultRowHeight="14.4" outlineLevelCol="1" x14ac:dyDescent="0.3"/>
  <cols>
    <col min="1" max="1" width="21.44140625" style="16" bestFit="1" customWidth="1"/>
    <col min="2" max="2" width="13.21875" style="16" bestFit="1" customWidth="1"/>
    <col min="3" max="3" width="18.21875" style="16" bestFit="1" customWidth="1"/>
    <col min="4" max="4" width="15.21875" style="16" bestFit="1" customWidth="1"/>
    <col min="5" max="5" width="54.77734375" style="16" customWidth="1"/>
    <col min="6" max="6" width="16.21875" style="16" bestFit="1" customWidth="1"/>
    <col min="7" max="18" width="12.77734375" style="16" customWidth="1" outlineLevel="1"/>
    <col min="19" max="19" width="14.21875" style="16" bestFit="1" customWidth="1"/>
    <col min="20" max="21" width="13.6640625" style="16" customWidth="1"/>
    <col min="22" max="22" width="34.5546875" style="16" bestFit="1" customWidth="1"/>
    <col min="23" max="23" width="11.21875" style="16" bestFit="1" customWidth="1"/>
    <col min="24" max="25" width="0" style="16" hidden="1" customWidth="1" outlineLevel="1"/>
    <col min="26" max="26" width="11.21875" style="16" hidden="1" customWidth="1" outlineLevel="1"/>
    <col min="27" max="27" width="12.77734375" style="16" hidden="1" customWidth="1" outlineLevel="1"/>
    <col min="28" max="28" width="11.5546875" style="16" hidden="1" customWidth="1" collapsed="1"/>
    <col min="29" max="16384" width="8.77734375" style="16"/>
  </cols>
  <sheetData>
    <row r="1" spans="1:23" x14ac:dyDescent="0.3">
      <c r="S1" s="42">
        <f>SUBTOTAL(9,S3:S138)</f>
        <v>20560852.617265008</v>
      </c>
      <c r="T1" s="42">
        <f>SUBTOTAL(9,T3:T138)</f>
        <v>-1823264.04</v>
      </c>
      <c r="U1" s="42">
        <f>SUBTOTAL(9,U3:U138)</f>
        <v>18737588.577265009</v>
      </c>
      <c r="V1" s="27"/>
      <c r="W1" s="27"/>
    </row>
    <row r="2" spans="1:23" ht="27.6" x14ac:dyDescent="0.3">
      <c r="A2" s="24" t="s">
        <v>22</v>
      </c>
      <c r="B2" s="24" t="s">
        <v>24</v>
      </c>
      <c r="C2" s="24" t="s">
        <v>566</v>
      </c>
      <c r="D2" s="24" t="s">
        <v>567</v>
      </c>
      <c r="E2" s="24" t="s">
        <v>568</v>
      </c>
      <c r="F2" s="24" t="s">
        <v>569</v>
      </c>
      <c r="G2" s="25">
        <v>46023</v>
      </c>
      <c r="H2" s="25">
        <v>46054</v>
      </c>
      <c r="I2" s="25">
        <v>46082</v>
      </c>
      <c r="J2" s="25">
        <v>46113</v>
      </c>
      <c r="K2" s="25">
        <v>46143</v>
      </c>
      <c r="L2" s="25">
        <v>46174</v>
      </c>
      <c r="M2" s="25">
        <v>46204</v>
      </c>
      <c r="N2" s="25">
        <v>46235</v>
      </c>
      <c r="O2" s="25">
        <v>46266</v>
      </c>
      <c r="P2" s="25">
        <v>46296</v>
      </c>
      <c r="Q2" s="25">
        <v>46327</v>
      </c>
      <c r="R2" s="25">
        <v>46357</v>
      </c>
      <c r="S2" s="25" t="s">
        <v>570</v>
      </c>
      <c r="T2" s="104" t="s">
        <v>50</v>
      </c>
      <c r="U2" s="104" t="s">
        <v>1157</v>
      </c>
    </row>
    <row r="3" spans="1:23" x14ac:dyDescent="0.3">
      <c r="A3" s="16" t="str">
        <f>_xlfn.XLOOKUP(B3,'Reference '!J:J,'Reference '!K:K)</f>
        <v>Blanche Derkenne</v>
      </c>
      <c r="B3" s="16" t="s">
        <v>571</v>
      </c>
      <c r="C3" s="16">
        <v>613020</v>
      </c>
      <c r="D3" s="16" t="s">
        <v>572</v>
      </c>
      <c r="E3" s="16" t="s">
        <v>73</v>
      </c>
      <c r="F3" s="16" t="s">
        <v>572</v>
      </c>
      <c r="G3" s="60">
        <v>10655.066666666666</v>
      </c>
      <c r="H3" s="60">
        <v>10655.066666666666</v>
      </c>
      <c r="I3" s="60">
        <v>10655.066666666666</v>
      </c>
      <c r="J3" s="60">
        <v>10655.066666666666</v>
      </c>
      <c r="K3" s="60">
        <v>10655.066666666666</v>
      </c>
      <c r="L3" s="60">
        <v>10655.066666666666</v>
      </c>
      <c r="M3" s="60">
        <v>10655.066666666666</v>
      </c>
      <c r="N3" s="60">
        <v>10655.066666666666</v>
      </c>
      <c r="O3" s="60">
        <v>10655.066666666666</v>
      </c>
      <c r="P3" s="60">
        <v>10655.066666666666</v>
      </c>
      <c r="Q3" s="60">
        <v>10655.066666666666</v>
      </c>
      <c r="R3" s="60">
        <v>10655.066666666666</v>
      </c>
      <c r="S3" s="61">
        <f>SUM(G3:R3)</f>
        <v>127860.79999999999</v>
      </c>
      <c r="T3" s="46">
        <f>'4.2 Simplify Savings'!AB49</f>
        <v>-13999.999999999998</v>
      </c>
      <c r="U3" s="61">
        <f t="shared" ref="U3:U34" si="0">SUM(S3:T3)</f>
        <v>113860.79999999999</v>
      </c>
    </row>
    <row r="4" spans="1:23" x14ac:dyDescent="0.3">
      <c r="A4" s="16" t="str">
        <f>_xlfn.XLOOKUP(B4,'Reference '!J:J,'Reference '!K:K)</f>
        <v>Blanche Derkenne</v>
      </c>
      <c r="B4" s="16" t="s">
        <v>571</v>
      </c>
      <c r="C4" s="16">
        <v>613020</v>
      </c>
      <c r="D4" s="16" t="s">
        <v>572</v>
      </c>
      <c r="E4" s="16" t="s">
        <v>573</v>
      </c>
      <c r="F4" s="16" t="s">
        <v>572</v>
      </c>
      <c r="G4" s="60">
        <v>3333.3333333333335</v>
      </c>
      <c r="H4" s="60">
        <v>3333.3333333333335</v>
      </c>
      <c r="I4" s="60">
        <v>3333.3333333333335</v>
      </c>
      <c r="J4" s="60">
        <v>3333.3333333333335</v>
      </c>
      <c r="K4" s="60">
        <v>3333.3333333333335</v>
      </c>
      <c r="L4" s="60">
        <v>3333.3333333333335</v>
      </c>
      <c r="M4" s="60">
        <v>3333.3333333333335</v>
      </c>
      <c r="N4" s="60">
        <v>3333.3333333333335</v>
      </c>
      <c r="O4" s="60">
        <v>3333.3333333333335</v>
      </c>
      <c r="P4" s="60">
        <v>3333.3333333333335</v>
      </c>
      <c r="Q4" s="60">
        <v>3333.3333333333335</v>
      </c>
      <c r="R4" s="60">
        <v>3333.3333333333335</v>
      </c>
      <c r="S4" s="61">
        <f t="shared" ref="S4:S59" si="1">SUM(G4:R4)</f>
        <v>40000</v>
      </c>
      <c r="U4" s="61">
        <f t="shared" si="0"/>
        <v>40000</v>
      </c>
    </row>
    <row r="5" spans="1:23" x14ac:dyDescent="0.3">
      <c r="A5" s="16" t="str">
        <f>_xlfn.XLOOKUP(B5,'Reference '!J:J,'Reference '!K:K)</f>
        <v>Blanche Derkenne</v>
      </c>
      <c r="B5" s="16" t="s">
        <v>571</v>
      </c>
      <c r="C5" s="16">
        <v>616800</v>
      </c>
      <c r="D5" s="16" t="s">
        <v>572</v>
      </c>
      <c r="E5" s="16" t="s">
        <v>574</v>
      </c>
      <c r="F5" s="16" t="s">
        <v>572</v>
      </c>
      <c r="G5" s="60">
        <v>5589.6221908924172</v>
      </c>
      <c r="H5" s="60">
        <v>5589.6221908924172</v>
      </c>
      <c r="I5" s="60">
        <v>5589.6221908924172</v>
      </c>
      <c r="J5" s="60">
        <v>5589.6221908924172</v>
      </c>
      <c r="K5" s="60">
        <v>5589.6221908924172</v>
      </c>
      <c r="L5" s="60">
        <v>5589.6221908924172</v>
      </c>
      <c r="M5" s="60">
        <v>5589.6221908924172</v>
      </c>
      <c r="N5" s="60">
        <v>5589.6221908924172</v>
      </c>
      <c r="O5" s="60">
        <v>5589.6221908924172</v>
      </c>
      <c r="P5" s="60">
        <v>5589.6221908924172</v>
      </c>
      <c r="Q5" s="60">
        <v>5589.6221908924172</v>
      </c>
      <c r="R5" s="60">
        <v>5589.6221908924172</v>
      </c>
      <c r="S5" s="61">
        <f t="shared" si="1"/>
        <v>67075.466290709024</v>
      </c>
      <c r="U5" s="61">
        <f t="shared" si="0"/>
        <v>67075.466290709024</v>
      </c>
    </row>
    <row r="6" spans="1:23" x14ac:dyDescent="0.3">
      <c r="A6" s="16" t="str">
        <f>_xlfn.XLOOKUP(B6,'Reference '!J:J,'Reference '!K:K)</f>
        <v>Blanche Derkenne</v>
      </c>
      <c r="B6" s="16" t="s">
        <v>571</v>
      </c>
      <c r="C6" s="16">
        <v>615100</v>
      </c>
      <c r="D6" s="16" t="s">
        <v>572</v>
      </c>
      <c r="E6" s="16" t="s">
        <v>575</v>
      </c>
      <c r="F6" s="16" t="s">
        <v>572</v>
      </c>
      <c r="G6" s="60">
        <v>1018</v>
      </c>
      <c r="H6" s="60">
        <v>1018</v>
      </c>
      <c r="I6" s="60">
        <v>1018</v>
      </c>
      <c r="J6" s="60">
        <v>1018</v>
      </c>
      <c r="K6" s="60">
        <v>1018</v>
      </c>
      <c r="L6" s="60">
        <v>1018</v>
      </c>
      <c r="M6" s="60">
        <v>1018</v>
      </c>
      <c r="N6" s="60">
        <v>1018</v>
      </c>
      <c r="O6" s="60">
        <v>1018</v>
      </c>
      <c r="P6" s="60">
        <v>1018</v>
      </c>
      <c r="Q6" s="60">
        <v>1018</v>
      </c>
      <c r="R6" s="60">
        <v>1018</v>
      </c>
      <c r="S6" s="61">
        <f t="shared" si="1"/>
        <v>12216</v>
      </c>
      <c r="U6" s="61">
        <f t="shared" si="0"/>
        <v>12216</v>
      </c>
    </row>
    <row r="7" spans="1:23" x14ac:dyDescent="0.3">
      <c r="A7" s="16" t="str">
        <f>_xlfn.XLOOKUP(B7,'Reference '!J:J,'Reference '!K:K)</f>
        <v>Blanche Derkenne</v>
      </c>
      <c r="B7" s="16" t="s">
        <v>571</v>
      </c>
      <c r="C7" s="16">
        <v>615105</v>
      </c>
      <c r="D7" s="16" t="s">
        <v>572</v>
      </c>
      <c r="E7" s="16" t="s">
        <v>576</v>
      </c>
      <c r="F7" s="16" t="s">
        <v>572</v>
      </c>
      <c r="G7" s="60">
        <v>848.33333333333337</v>
      </c>
      <c r="H7" s="60">
        <v>848.33333333333337</v>
      </c>
      <c r="I7" s="60">
        <v>848.33333333333337</v>
      </c>
      <c r="J7" s="60">
        <v>848.33333333333337</v>
      </c>
      <c r="K7" s="60">
        <v>848.33333333333337</v>
      </c>
      <c r="L7" s="60">
        <v>848.33333333333337</v>
      </c>
      <c r="M7" s="60">
        <v>848.33333333333337</v>
      </c>
      <c r="N7" s="60">
        <v>848.33333333333337</v>
      </c>
      <c r="O7" s="60">
        <v>848.33333333333337</v>
      </c>
      <c r="P7" s="60">
        <v>848.33333333333337</v>
      </c>
      <c r="Q7" s="60">
        <v>848.33333333333337</v>
      </c>
      <c r="R7" s="60">
        <v>848.33333333333337</v>
      </c>
      <c r="S7" s="61">
        <f t="shared" si="1"/>
        <v>10180</v>
      </c>
      <c r="U7" s="61">
        <f t="shared" si="0"/>
        <v>10180</v>
      </c>
    </row>
    <row r="8" spans="1:23" x14ac:dyDescent="0.3">
      <c r="A8" s="16" t="str">
        <f>_xlfn.XLOOKUP(B8,'Reference '!J:J,'Reference '!K:K)</f>
        <v>Blanche Derkenne</v>
      </c>
      <c r="B8" s="16" t="s">
        <v>571</v>
      </c>
      <c r="C8" s="16">
        <v>615120</v>
      </c>
      <c r="D8" s="16" t="s">
        <v>572</v>
      </c>
      <c r="E8" s="16" t="s">
        <v>577</v>
      </c>
      <c r="F8" s="16" t="s">
        <v>572</v>
      </c>
      <c r="G8" s="60">
        <v>1946.9166666666667</v>
      </c>
      <c r="H8" s="60">
        <v>1946.9166666666667</v>
      </c>
      <c r="I8" s="60">
        <v>1946.9166666666667</v>
      </c>
      <c r="J8" s="60">
        <v>1946.9166666666667</v>
      </c>
      <c r="K8" s="60">
        <v>1946.9166666666667</v>
      </c>
      <c r="L8" s="60">
        <v>1946.9166666666667</v>
      </c>
      <c r="M8" s="60">
        <v>1946.9166666666667</v>
      </c>
      <c r="N8" s="60">
        <v>1946.9166666666667</v>
      </c>
      <c r="O8" s="60">
        <v>1946.9166666666667</v>
      </c>
      <c r="P8" s="60">
        <v>1946.9166666666667</v>
      </c>
      <c r="Q8" s="60">
        <v>1946.9166666666667</v>
      </c>
      <c r="R8" s="60">
        <v>1946.9166666666667</v>
      </c>
      <c r="S8" s="61">
        <f t="shared" si="1"/>
        <v>23363.000000000004</v>
      </c>
      <c r="U8" s="61">
        <f t="shared" si="0"/>
        <v>23363.000000000004</v>
      </c>
    </row>
    <row r="9" spans="1:23" x14ac:dyDescent="0.3">
      <c r="A9" s="16" t="str">
        <f>_xlfn.XLOOKUP(B9,'Reference '!J:J,'Reference '!K:K)</f>
        <v>Ben Gbeve</v>
      </c>
      <c r="B9" s="16" t="s">
        <v>578</v>
      </c>
      <c r="C9" s="16">
        <v>612503</v>
      </c>
      <c r="D9" s="16" t="s">
        <v>572</v>
      </c>
      <c r="E9" s="16" t="s">
        <v>579</v>
      </c>
      <c r="F9" s="16" t="s">
        <v>572</v>
      </c>
      <c r="G9" s="60">
        <v>1250</v>
      </c>
      <c r="H9" s="60">
        <v>1250</v>
      </c>
      <c r="I9" s="60">
        <v>1250</v>
      </c>
      <c r="J9" s="60">
        <v>1250</v>
      </c>
      <c r="K9" s="60">
        <v>1250</v>
      </c>
      <c r="L9" s="60">
        <v>1250</v>
      </c>
      <c r="M9" s="60">
        <v>1250</v>
      </c>
      <c r="N9" s="60">
        <v>1250</v>
      </c>
      <c r="O9" s="60">
        <v>1250</v>
      </c>
      <c r="P9" s="60">
        <v>1250</v>
      </c>
      <c r="Q9" s="60">
        <v>1250</v>
      </c>
      <c r="R9" s="60">
        <v>1250</v>
      </c>
      <c r="S9" s="61">
        <f t="shared" si="1"/>
        <v>15000</v>
      </c>
      <c r="U9" s="61">
        <f t="shared" si="0"/>
        <v>15000</v>
      </c>
    </row>
    <row r="10" spans="1:23" x14ac:dyDescent="0.3">
      <c r="A10" s="16" t="str">
        <f>_xlfn.XLOOKUP(B10,'Reference '!J:J,'Reference '!K:K)</f>
        <v>Ben Gbeve</v>
      </c>
      <c r="B10" s="16" t="s">
        <v>578</v>
      </c>
      <c r="C10" s="16">
        <v>613003</v>
      </c>
      <c r="D10" s="16" t="s">
        <v>572</v>
      </c>
      <c r="E10" s="16" t="s">
        <v>580</v>
      </c>
      <c r="F10" s="16" t="s">
        <v>572</v>
      </c>
      <c r="G10" s="60">
        <v>250</v>
      </c>
      <c r="H10" s="60">
        <v>250</v>
      </c>
      <c r="I10" s="60">
        <v>250</v>
      </c>
      <c r="J10" s="60">
        <v>250</v>
      </c>
      <c r="K10" s="60">
        <v>250</v>
      </c>
      <c r="L10" s="60">
        <v>250</v>
      </c>
      <c r="M10" s="60">
        <v>250</v>
      </c>
      <c r="N10" s="60">
        <v>250</v>
      </c>
      <c r="O10" s="60">
        <v>250</v>
      </c>
      <c r="P10" s="60">
        <v>250</v>
      </c>
      <c r="Q10" s="60">
        <v>250</v>
      </c>
      <c r="R10" s="60">
        <v>250</v>
      </c>
      <c r="S10" s="61">
        <f t="shared" si="1"/>
        <v>3000</v>
      </c>
      <c r="U10" s="61">
        <f t="shared" si="0"/>
        <v>3000</v>
      </c>
    </row>
    <row r="11" spans="1:23" x14ac:dyDescent="0.3">
      <c r="A11" s="16" t="str">
        <f>_xlfn.XLOOKUP(B11,'Reference '!J:J,'Reference '!K:K)</f>
        <v>Ben Gbeve</v>
      </c>
      <c r="B11" s="16" t="s">
        <v>578</v>
      </c>
      <c r="C11" s="16">
        <v>613020</v>
      </c>
      <c r="D11" s="16" t="s">
        <v>572</v>
      </c>
      <c r="E11" s="16" t="s">
        <v>581</v>
      </c>
      <c r="F11" s="16" t="s">
        <v>572</v>
      </c>
      <c r="G11" s="60">
        <v>4333.333333333333</v>
      </c>
      <c r="H11" s="60">
        <v>4333.333333333333</v>
      </c>
      <c r="I11" s="60">
        <v>4333.333333333333</v>
      </c>
      <c r="J11" s="60">
        <v>4333.333333333333</v>
      </c>
      <c r="K11" s="60">
        <v>4333.333333333333</v>
      </c>
      <c r="L11" s="60">
        <v>4333.333333333333</v>
      </c>
      <c r="M11" s="60">
        <v>4333.333333333333</v>
      </c>
      <c r="N11" s="60">
        <v>4333.333333333333</v>
      </c>
      <c r="O11" s="60">
        <v>4333.333333333333</v>
      </c>
      <c r="P11" s="60">
        <v>4333.333333333333</v>
      </c>
      <c r="Q11" s="60">
        <v>4333.333333333333</v>
      </c>
      <c r="R11" s="60">
        <v>4333.333333333333</v>
      </c>
      <c r="S11" s="61">
        <f t="shared" si="1"/>
        <v>52000.000000000007</v>
      </c>
      <c r="U11" s="61">
        <f t="shared" si="0"/>
        <v>52000.000000000007</v>
      </c>
    </row>
    <row r="12" spans="1:23" x14ac:dyDescent="0.3">
      <c r="A12" s="16" t="str">
        <f>_xlfn.XLOOKUP(B12,'Reference '!J:J,'Reference '!K:K)</f>
        <v>Ben Gbeve</v>
      </c>
      <c r="B12" s="16" t="s">
        <v>578</v>
      </c>
      <c r="C12" s="16">
        <v>612503</v>
      </c>
      <c r="D12" s="16" t="s">
        <v>572</v>
      </c>
      <c r="E12" s="16" t="s">
        <v>582</v>
      </c>
      <c r="F12" s="16" t="s">
        <v>572</v>
      </c>
      <c r="G12" s="60">
        <v>250</v>
      </c>
      <c r="H12" s="60">
        <v>250</v>
      </c>
      <c r="I12" s="60">
        <v>250</v>
      </c>
      <c r="J12" s="60">
        <v>250</v>
      </c>
      <c r="K12" s="60">
        <v>250</v>
      </c>
      <c r="L12" s="60">
        <v>250</v>
      </c>
      <c r="M12" s="60">
        <v>250</v>
      </c>
      <c r="N12" s="60">
        <v>250</v>
      </c>
      <c r="O12" s="60">
        <v>250</v>
      </c>
      <c r="P12" s="60">
        <v>250</v>
      </c>
      <c r="Q12" s="60">
        <v>250</v>
      </c>
      <c r="R12" s="60">
        <v>250</v>
      </c>
      <c r="S12" s="61">
        <f t="shared" si="1"/>
        <v>3000</v>
      </c>
      <c r="U12" s="61">
        <f t="shared" si="0"/>
        <v>3000</v>
      </c>
    </row>
    <row r="13" spans="1:23" x14ac:dyDescent="0.3">
      <c r="A13" s="16" t="str">
        <f>_xlfn.XLOOKUP(B13,'Reference '!J:J,'Reference '!K:K)</f>
        <v>Ben Gbeve</v>
      </c>
      <c r="B13" s="16" t="s">
        <v>578</v>
      </c>
      <c r="C13" s="16">
        <v>612503</v>
      </c>
      <c r="D13" s="16" t="s">
        <v>572</v>
      </c>
      <c r="E13" s="16" t="s">
        <v>182</v>
      </c>
      <c r="F13" s="16" t="s">
        <v>572</v>
      </c>
      <c r="G13" s="60">
        <v>5300</v>
      </c>
      <c r="H13" s="60">
        <v>5300</v>
      </c>
      <c r="I13" s="60">
        <v>5300</v>
      </c>
      <c r="J13" s="60">
        <v>5300</v>
      </c>
      <c r="K13" s="60">
        <v>5300</v>
      </c>
      <c r="L13" s="60">
        <v>5300</v>
      </c>
      <c r="M13" s="60">
        <v>5300</v>
      </c>
      <c r="N13" s="60">
        <v>5300</v>
      </c>
      <c r="O13" s="60">
        <v>5300</v>
      </c>
      <c r="P13" s="60">
        <v>5300</v>
      </c>
      <c r="Q13" s="60">
        <v>5300</v>
      </c>
      <c r="R13" s="60">
        <v>5300</v>
      </c>
      <c r="S13" s="61">
        <f t="shared" si="1"/>
        <v>63600</v>
      </c>
      <c r="U13" s="61">
        <f t="shared" si="0"/>
        <v>63600</v>
      </c>
    </row>
    <row r="14" spans="1:23" x14ac:dyDescent="0.3">
      <c r="A14" s="16" t="str">
        <f>_xlfn.XLOOKUP(B14,'Reference '!J:J,'Reference '!K:K)</f>
        <v>Ben Gbeve</v>
      </c>
      <c r="B14" s="16" t="s">
        <v>578</v>
      </c>
      <c r="C14" s="16">
        <v>612503</v>
      </c>
      <c r="D14" s="16" t="s">
        <v>572</v>
      </c>
      <c r="E14" s="16" t="s">
        <v>583</v>
      </c>
      <c r="F14" s="16" t="s">
        <v>572</v>
      </c>
      <c r="G14" s="60">
        <v>0</v>
      </c>
      <c r="H14" s="60">
        <v>0</v>
      </c>
      <c r="I14" s="60">
        <v>0</v>
      </c>
      <c r="J14" s="60">
        <v>15000</v>
      </c>
      <c r="K14" s="60">
        <v>15000</v>
      </c>
      <c r="L14" s="60">
        <v>15000</v>
      </c>
      <c r="M14" s="60">
        <v>15000</v>
      </c>
      <c r="N14" s="60">
        <v>15000</v>
      </c>
      <c r="O14" s="60">
        <v>15000</v>
      </c>
      <c r="P14" s="60">
        <v>15000</v>
      </c>
      <c r="Q14" s="60">
        <v>15000</v>
      </c>
      <c r="R14" s="60">
        <v>15000</v>
      </c>
      <c r="S14" s="61">
        <f t="shared" si="1"/>
        <v>135000</v>
      </c>
      <c r="T14" s="46">
        <f>'4.2 Simplify Savings'!AB51</f>
        <v>-120000</v>
      </c>
      <c r="U14" s="61">
        <f t="shared" si="0"/>
        <v>15000</v>
      </c>
    </row>
    <row r="15" spans="1:23" x14ac:dyDescent="0.3">
      <c r="A15" s="16" t="str">
        <f>_xlfn.XLOOKUP(B15,'Reference '!J:J,'Reference '!K:K)</f>
        <v>Ben Gbeve</v>
      </c>
      <c r="B15" s="16" t="s">
        <v>578</v>
      </c>
      <c r="C15" s="16">
        <v>612503</v>
      </c>
      <c r="D15" s="16" t="s">
        <v>572</v>
      </c>
      <c r="E15" s="16" t="s">
        <v>584</v>
      </c>
      <c r="F15" s="16" t="s">
        <v>572</v>
      </c>
      <c r="G15" s="60">
        <v>1666.6666666666667</v>
      </c>
      <c r="H15" s="60">
        <v>1666.6666666666667</v>
      </c>
      <c r="I15" s="60">
        <v>1666.6666666666667</v>
      </c>
      <c r="J15" s="60">
        <v>1666.6666666666667</v>
      </c>
      <c r="K15" s="60">
        <v>1666.6666666666667</v>
      </c>
      <c r="L15" s="60">
        <v>1666.6666666666667</v>
      </c>
      <c r="M15" s="60">
        <v>1666.6666666666667</v>
      </c>
      <c r="N15" s="60">
        <v>1666.6666666666667</v>
      </c>
      <c r="O15" s="60">
        <v>1666.6666666666667</v>
      </c>
      <c r="P15" s="60">
        <v>1666.6666666666667</v>
      </c>
      <c r="Q15" s="60">
        <v>1666.6666666666667</v>
      </c>
      <c r="R15" s="60">
        <v>1666.6666666666667</v>
      </c>
      <c r="S15" s="61">
        <f t="shared" si="1"/>
        <v>20000</v>
      </c>
      <c r="U15" s="61">
        <f t="shared" si="0"/>
        <v>20000</v>
      </c>
    </row>
    <row r="16" spans="1:23" x14ac:dyDescent="0.3">
      <c r="A16" s="16" t="str">
        <f>_xlfn.XLOOKUP(B16,'Reference '!J:J,'Reference '!K:K)</f>
        <v>Ben Gbeve</v>
      </c>
      <c r="B16" s="16" t="s">
        <v>578</v>
      </c>
      <c r="C16" s="16">
        <v>612503</v>
      </c>
      <c r="D16" s="16" t="s">
        <v>572</v>
      </c>
      <c r="E16" s="16" t="s">
        <v>585</v>
      </c>
      <c r="F16" s="16" t="s">
        <v>572</v>
      </c>
      <c r="G16" s="60">
        <v>20416.666666666668</v>
      </c>
      <c r="H16" s="60">
        <v>20416.666666666668</v>
      </c>
      <c r="I16" s="60">
        <v>20416.666666666668</v>
      </c>
      <c r="J16" s="60">
        <v>20416.666666666668</v>
      </c>
      <c r="K16" s="60">
        <v>20416.666666666668</v>
      </c>
      <c r="L16" s="60">
        <v>20416.666666666668</v>
      </c>
      <c r="M16" s="60">
        <v>20416.666666666668</v>
      </c>
      <c r="N16" s="60">
        <v>20416.666666666668</v>
      </c>
      <c r="O16" s="60">
        <v>20416.666666666668</v>
      </c>
      <c r="P16" s="60">
        <v>20416.666666666668</v>
      </c>
      <c r="Q16" s="60">
        <v>20416.666666666668</v>
      </c>
      <c r="R16" s="60">
        <v>20416.666666666668</v>
      </c>
      <c r="S16" s="61">
        <f t="shared" si="1"/>
        <v>244999.99999999997</v>
      </c>
      <c r="U16" s="61">
        <f t="shared" si="0"/>
        <v>244999.99999999997</v>
      </c>
    </row>
    <row r="17" spans="1:21" x14ac:dyDescent="0.3">
      <c r="A17" s="16" t="str">
        <f>_xlfn.XLOOKUP(B17,'Reference '!J:J,'Reference '!K:K)</f>
        <v>Ben Gbeve</v>
      </c>
      <c r="B17" s="16" t="s">
        <v>578</v>
      </c>
      <c r="C17" s="16">
        <v>612503</v>
      </c>
      <c r="D17" s="16" t="s">
        <v>572</v>
      </c>
      <c r="E17" s="16" t="s">
        <v>586</v>
      </c>
      <c r="F17" s="16" t="s">
        <v>572</v>
      </c>
      <c r="G17" s="60">
        <v>666.66666666666663</v>
      </c>
      <c r="H17" s="60">
        <v>666.66666666666663</v>
      </c>
      <c r="I17" s="60">
        <v>666.66666666666663</v>
      </c>
      <c r="J17" s="60">
        <v>666.66666666666663</v>
      </c>
      <c r="K17" s="60">
        <v>666.66666666666663</v>
      </c>
      <c r="L17" s="60">
        <v>666.66666666666663</v>
      </c>
      <c r="M17" s="60">
        <v>666.66666666666663</v>
      </c>
      <c r="N17" s="60">
        <v>666.66666666666663</v>
      </c>
      <c r="O17" s="60">
        <v>666.66666666666663</v>
      </c>
      <c r="P17" s="60">
        <v>666.66666666666663</v>
      </c>
      <c r="Q17" s="60">
        <v>666.66666666666663</v>
      </c>
      <c r="R17" s="60">
        <v>666.66666666666663</v>
      </c>
      <c r="S17" s="61">
        <f t="shared" si="1"/>
        <v>8000.0000000000009</v>
      </c>
      <c r="U17" s="61">
        <f t="shared" si="0"/>
        <v>8000.0000000000009</v>
      </c>
    </row>
    <row r="18" spans="1:21" x14ac:dyDescent="0.3">
      <c r="A18" s="16" t="str">
        <f>_xlfn.XLOOKUP(B18,'Reference '!J:J,'Reference '!K:K)</f>
        <v>Ben Gbeve</v>
      </c>
      <c r="B18" s="16" t="s">
        <v>578</v>
      </c>
      <c r="C18" s="16">
        <v>612520</v>
      </c>
      <c r="D18" s="16" t="s">
        <v>572</v>
      </c>
      <c r="E18" s="16" t="s">
        <v>587</v>
      </c>
      <c r="F18" s="16" t="s">
        <v>572</v>
      </c>
      <c r="G18" s="60">
        <v>4500</v>
      </c>
      <c r="H18" s="60">
        <v>4500</v>
      </c>
      <c r="I18" s="60">
        <v>4500</v>
      </c>
      <c r="J18" s="60">
        <v>4500</v>
      </c>
      <c r="K18" s="60">
        <v>4500</v>
      </c>
      <c r="L18" s="60">
        <v>4500</v>
      </c>
      <c r="M18" s="60">
        <v>4500</v>
      </c>
      <c r="N18" s="60">
        <v>4500</v>
      </c>
      <c r="O18" s="60">
        <v>4500</v>
      </c>
      <c r="P18" s="60">
        <v>4500</v>
      </c>
      <c r="Q18" s="60">
        <v>4500</v>
      </c>
      <c r="R18" s="60">
        <v>4500</v>
      </c>
      <c r="S18" s="61">
        <f t="shared" si="1"/>
        <v>54000</v>
      </c>
      <c r="U18" s="61">
        <f t="shared" si="0"/>
        <v>54000</v>
      </c>
    </row>
    <row r="19" spans="1:21" x14ac:dyDescent="0.3">
      <c r="A19" s="16" t="str">
        <f>_xlfn.XLOOKUP(B19,'Reference '!J:J,'Reference '!K:K)</f>
        <v>Ben Gbeve</v>
      </c>
      <c r="B19" s="16" t="s">
        <v>578</v>
      </c>
      <c r="C19" s="16">
        <v>612520</v>
      </c>
      <c r="D19" s="16" t="s">
        <v>572</v>
      </c>
      <c r="E19" s="16" t="s">
        <v>588</v>
      </c>
      <c r="F19" s="16" t="s">
        <v>572</v>
      </c>
      <c r="G19" s="60">
        <v>8333.3333333333339</v>
      </c>
      <c r="H19" s="60">
        <v>8333.3333333333339</v>
      </c>
      <c r="I19" s="60">
        <v>8333.3333333333339</v>
      </c>
      <c r="J19" s="60">
        <v>8333.3333333333339</v>
      </c>
      <c r="K19" s="60">
        <v>8333.3333333333339</v>
      </c>
      <c r="L19" s="60">
        <v>8333.3333333333339</v>
      </c>
      <c r="M19" s="60">
        <v>8333.3333333333339</v>
      </c>
      <c r="N19" s="60">
        <v>8333.3333333333339</v>
      </c>
      <c r="O19" s="60">
        <v>8333.3333333333339</v>
      </c>
      <c r="P19" s="60">
        <v>8333.3333333333339</v>
      </c>
      <c r="Q19" s="60">
        <v>8333.3333333333339</v>
      </c>
      <c r="R19" s="60">
        <v>8333.3333333333339</v>
      </c>
      <c r="S19" s="61">
        <f t="shared" si="1"/>
        <v>99999.999999999985</v>
      </c>
      <c r="U19" s="61">
        <f t="shared" si="0"/>
        <v>99999.999999999985</v>
      </c>
    </row>
    <row r="20" spans="1:21" x14ac:dyDescent="0.3">
      <c r="A20" s="16" t="str">
        <f>_xlfn.XLOOKUP(B20,'Reference '!J:J,'Reference '!K:K)</f>
        <v>Ben Gbeve</v>
      </c>
      <c r="B20" s="16" t="s">
        <v>578</v>
      </c>
      <c r="C20" s="16">
        <v>612503</v>
      </c>
      <c r="D20" s="16" t="s">
        <v>572</v>
      </c>
      <c r="E20" s="16" t="s">
        <v>589</v>
      </c>
      <c r="F20" s="16" t="s">
        <v>572</v>
      </c>
      <c r="G20" s="60">
        <v>2083.3333333333335</v>
      </c>
      <c r="H20" s="60">
        <v>2083.3333333333335</v>
      </c>
      <c r="I20" s="60">
        <v>2083.3333333333335</v>
      </c>
      <c r="J20" s="60">
        <v>2083.3333333333335</v>
      </c>
      <c r="K20" s="60">
        <v>2083.3333333333335</v>
      </c>
      <c r="L20" s="60">
        <v>2083.3333333333335</v>
      </c>
      <c r="M20" s="60">
        <v>2083.3333333333335</v>
      </c>
      <c r="N20" s="60">
        <v>2083.3333333333335</v>
      </c>
      <c r="O20" s="60">
        <v>2083.3333333333335</v>
      </c>
      <c r="P20" s="60">
        <v>2083.3333333333335</v>
      </c>
      <c r="Q20" s="60">
        <v>2083.3333333333335</v>
      </c>
      <c r="R20" s="60">
        <v>2083.3333333333335</v>
      </c>
      <c r="S20" s="61">
        <f t="shared" si="1"/>
        <v>24999.999999999996</v>
      </c>
      <c r="U20" s="61">
        <f t="shared" si="0"/>
        <v>24999.999999999996</v>
      </c>
    </row>
    <row r="21" spans="1:21" x14ac:dyDescent="0.3">
      <c r="A21" s="16" t="str">
        <f>_xlfn.XLOOKUP(B21,'Reference '!J:J,'Reference '!K:K)</f>
        <v>Ben Gbeve</v>
      </c>
      <c r="B21" s="16" t="s">
        <v>578</v>
      </c>
      <c r="C21" s="16">
        <v>612503</v>
      </c>
      <c r="D21" s="16" t="s">
        <v>572</v>
      </c>
      <c r="E21" s="16" t="s">
        <v>590</v>
      </c>
      <c r="F21" s="16" t="s">
        <v>572</v>
      </c>
      <c r="G21" s="60">
        <v>2083.3333333333335</v>
      </c>
      <c r="H21" s="60">
        <v>2083.3333333333335</v>
      </c>
      <c r="I21" s="60">
        <v>2083.3333333333335</v>
      </c>
      <c r="J21" s="60">
        <v>2083.3333333333335</v>
      </c>
      <c r="K21" s="60">
        <v>2083.3333333333335</v>
      </c>
      <c r="L21" s="60">
        <v>2083.3333333333335</v>
      </c>
      <c r="M21" s="60">
        <v>2083.3333333333335</v>
      </c>
      <c r="N21" s="60">
        <v>2083.3333333333335</v>
      </c>
      <c r="O21" s="60">
        <v>2083.3333333333335</v>
      </c>
      <c r="P21" s="60">
        <v>2083.3333333333335</v>
      </c>
      <c r="Q21" s="60">
        <v>2083.3333333333335</v>
      </c>
      <c r="R21" s="60">
        <v>2083.3333333333335</v>
      </c>
      <c r="S21" s="61">
        <f t="shared" si="1"/>
        <v>24999.999999999996</v>
      </c>
      <c r="T21" s="46">
        <f>'4.2 Simplify Savings'!AB50</f>
        <v>-12499.99999999998</v>
      </c>
      <c r="U21" s="61">
        <f t="shared" si="0"/>
        <v>12500.000000000016</v>
      </c>
    </row>
    <row r="22" spans="1:21" x14ac:dyDescent="0.3">
      <c r="A22" s="16" t="str">
        <f>_xlfn.XLOOKUP(B22,'Reference '!J:J,'Reference '!K:K)</f>
        <v>Ben Gbeve</v>
      </c>
      <c r="B22" s="16" t="s">
        <v>578</v>
      </c>
      <c r="C22" s="16">
        <v>612503</v>
      </c>
      <c r="D22" s="16" t="s">
        <v>572</v>
      </c>
      <c r="E22" s="16" t="s">
        <v>591</v>
      </c>
      <c r="F22" s="16" t="s">
        <v>572</v>
      </c>
      <c r="G22" s="60">
        <v>20000</v>
      </c>
      <c r="H22" s="60">
        <v>20000</v>
      </c>
      <c r="I22" s="60">
        <v>20000</v>
      </c>
      <c r="J22" s="60">
        <v>20000</v>
      </c>
      <c r="K22" s="60">
        <v>20000</v>
      </c>
      <c r="L22" s="60">
        <v>20000</v>
      </c>
      <c r="M22" s="60">
        <v>20000</v>
      </c>
      <c r="N22" s="60">
        <v>20000</v>
      </c>
      <c r="O22" s="60">
        <v>20000</v>
      </c>
      <c r="P22" s="60">
        <v>20000</v>
      </c>
      <c r="Q22" s="60">
        <v>20000</v>
      </c>
      <c r="R22" s="60">
        <v>20000</v>
      </c>
      <c r="S22" s="61">
        <f t="shared" si="1"/>
        <v>240000</v>
      </c>
      <c r="U22" s="61">
        <f t="shared" si="0"/>
        <v>240000</v>
      </c>
    </row>
    <row r="23" spans="1:21" x14ac:dyDescent="0.3">
      <c r="A23" s="16" t="str">
        <f>_xlfn.XLOOKUP(B23,'Reference '!J:J,'Reference '!K:K)</f>
        <v>Ben Gbeve</v>
      </c>
      <c r="B23" s="16" t="s">
        <v>578</v>
      </c>
      <c r="C23" s="16">
        <v>612520</v>
      </c>
      <c r="D23" s="16" t="s">
        <v>572</v>
      </c>
      <c r="E23" s="16" t="s">
        <v>592</v>
      </c>
      <c r="F23" s="16" t="s">
        <v>572</v>
      </c>
      <c r="G23" s="60">
        <v>1250</v>
      </c>
      <c r="H23" s="60">
        <v>1250</v>
      </c>
      <c r="I23" s="60">
        <v>1250</v>
      </c>
      <c r="J23" s="60">
        <v>1250</v>
      </c>
      <c r="K23" s="60">
        <v>1250</v>
      </c>
      <c r="L23" s="60">
        <v>1250</v>
      </c>
      <c r="M23" s="60">
        <v>1250</v>
      </c>
      <c r="N23" s="60">
        <v>1250</v>
      </c>
      <c r="O23" s="60">
        <v>1250</v>
      </c>
      <c r="P23" s="60">
        <v>1250</v>
      </c>
      <c r="Q23" s="60">
        <v>1250</v>
      </c>
      <c r="R23" s="60">
        <v>1250</v>
      </c>
      <c r="S23" s="61">
        <f t="shared" si="1"/>
        <v>15000</v>
      </c>
      <c r="U23" s="61">
        <f t="shared" si="0"/>
        <v>15000</v>
      </c>
    </row>
    <row r="24" spans="1:21" x14ac:dyDescent="0.3">
      <c r="A24" s="16" t="str">
        <f>_xlfn.XLOOKUP(B24,'Reference '!J:J,'Reference '!K:K)</f>
        <v>Ben Gbeve</v>
      </c>
      <c r="B24" s="16" t="s">
        <v>578</v>
      </c>
      <c r="C24" s="16">
        <v>611200</v>
      </c>
      <c r="D24" s="16" t="s">
        <v>572</v>
      </c>
      <c r="E24" s="16" t="s">
        <v>593</v>
      </c>
      <c r="F24" s="16" t="s">
        <v>572</v>
      </c>
      <c r="G24" s="60">
        <v>801.33333333333337</v>
      </c>
      <c r="H24" s="60">
        <v>801.33333333333337</v>
      </c>
      <c r="I24" s="60">
        <v>801.33333333333337</v>
      </c>
      <c r="J24" s="60">
        <v>801.33333333333337</v>
      </c>
      <c r="K24" s="60">
        <v>801.33333333333337</v>
      </c>
      <c r="L24" s="60">
        <v>801.33333333333337</v>
      </c>
      <c r="M24" s="60">
        <v>801.33333333333337</v>
      </c>
      <c r="N24" s="60">
        <v>801.33333333333337</v>
      </c>
      <c r="O24" s="60">
        <v>801.33333333333337</v>
      </c>
      <c r="P24" s="60">
        <v>801.33333333333337</v>
      </c>
      <c r="Q24" s="60">
        <v>801.33333333333337</v>
      </c>
      <c r="R24" s="60">
        <v>801.33333333333337</v>
      </c>
      <c r="S24" s="61">
        <f t="shared" si="1"/>
        <v>9616</v>
      </c>
      <c r="U24" s="61">
        <f t="shared" si="0"/>
        <v>9616</v>
      </c>
    </row>
    <row r="25" spans="1:21" x14ac:dyDescent="0.3">
      <c r="A25" s="16" t="str">
        <f>_xlfn.XLOOKUP(B25,'Reference '!J:J,'Reference '!K:K)</f>
        <v>Ben Gbeve</v>
      </c>
      <c r="B25" s="16" t="s">
        <v>578</v>
      </c>
      <c r="C25" s="16">
        <v>612520</v>
      </c>
      <c r="D25" s="16" t="s">
        <v>572</v>
      </c>
      <c r="E25" s="16" t="s">
        <v>594</v>
      </c>
      <c r="F25" s="16" t="s">
        <v>572</v>
      </c>
      <c r="G25" s="60">
        <v>291.66666666666669</v>
      </c>
      <c r="H25" s="60">
        <v>291.66666666666669</v>
      </c>
      <c r="I25" s="60">
        <v>291.66666666666669</v>
      </c>
      <c r="J25" s="60">
        <v>291.66666666666669</v>
      </c>
      <c r="K25" s="60">
        <v>291.66666666666669</v>
      </c>
      <c r="L25" s="60">
        <v>291.66666666666669</v>
      </c>
      <c r="M25" s="60">
        <v>291.66666666666669</v>
      </c>
      <c r="N25" s="60">
        <v>291.66666666666669</v>
      </c>
      <c r="O25" s="60">
        <v>291.66666666666669</v>
      </c>
      <c r="P25" s="60">
        <v>291.66666666666669</v>
      </c>
      <c r="Q25" s="60">
        <v>291.66666666666669</v>
      </c>
      <c r="R25" s="60">
        <v>291.66666666666669</v>
      </c>
      <c r="S25" s="61">
        <f t="shared" si="1"/>
        <v>3499.9999999999995</v>
      </c>
      <c r="U25" s="61">
        <f t="shared" si="0"/>
        <v>3499.9999999999995</v>
      </c>
    </row>
    <row r="26" spans="1:21" x14ac:dyDescent="0.3">
      <c r="A26" s="16" t="str">
        <f>_xlfn.XLOOKUP(B26,'Reference '!J:J,'Reference '!K:K)</f>
        <v>Ben Gbeve</v>
      </c>
      <c r="B26" s="16" t="s">
        <v>578</v>
      </c>
      <c r="C26" s="16">
        <v>612900</v>
      </c>
      <c r="D26" s="16" t="s">
        <v>572</v>
      </c>
      <c r="E26" s="16" t="s">
        <v>123</v>
      </c>
      <c r="F26" s="16" t="s">
        <v>572</v>
      </c>
      <c r="G26" s="60">
        <v>14583.333333333334</v>
      </c>
      <c r="H26" s="60">
        <v>14583.333333333334</v>
      </c>
      <c r="I26" s="60">
        <v>14583.333333333334</v>
      </c>
      <c r="J26" s="60">
        <v>14583.333333333334</v>
      </c>
      <c r="K26" s="60">
        <v>14583.333333333334</v>
      </c>
      <c r="L26" s="60">
        <v>14583.333333333334</v>
      </c>
      <c r="M26" s="60">
        <v>14583.333333333334</v>
      </c>
      <c r="N26" s="60">
        <v>14583.333333333334</v>
      </c>
      <c r="O26" s="60">
        <v>14583.333333333334</v>
      </c>
      <c r="P26" s="60">
        <v>14583.333333333334</v>
      </c>
      <c r="Q26" s="60">
        <v>14583.333333333334</v>
      </c>
      <c r="R26" s="60">
        <v>14583.333333333334</v>
      </c>
      <c r="S26" s="61">
        <f t="shared" si="1"/>
        <v>175000.00000000003</v>
      </c>
      <c r="U26" s="61">
        <f t="shared" si="0"/>
        <v>175000.00000000003</v>
      </c>
    </row>
    <row r="27" spans="1:21" x14ac:dyDescent="0.3">
      <c r="A27" s="16" t="str">
        <f>_xlfn.XLOOKUP(B27,'Reference '!J:J,'Reference '!K:K)</f>
        <v>Ben Gbeve</v>
      </c>
      <c r="B27" s="16" t="s">
        <v>578</v>
      </c>
      <c r="C27" s="16">
        <v>612520</v>
      </c>
      <c r="D27" s="16" t="s">
        <v>572</v>
      </c>
      <c r="E27" s="16" t="s">
        <v>595</v>
      </c>
      <c r="F27" s="16" t="s">
        <v>572</v>
      </c>
      <c r="G27" s="60">
        <v>81</v>
      </c>
      <c r="H27" s="60">
        <v>81</v>
      </c>
      <c r="I27" s="60">
        <v>81</v>
      </c>
      <c r="J27" s="60">
        <v>81</v>
      </c>
      <c r="K27" s="60">
        <v>81</v>
      </c>
      <c r="L27" s="60">
        <v>81</v>
      </c>
      <c r="M27" s="60">
        <v>81</v>
      </c>
      <c r="N27" s="60">
        <v>81</v>
      </c>
      <c r="O27" s="60">
        <v>81</v>
      </c>
      <c r="P27" s="60">
        <v>81</v>
      </c>
      <c r="Q27" s="60">
        <v>81</v>
      </c>
      <c r="R27" s="60">
        <v>81</v>
      </c>
      <c r="S27" s="61">
        <f t="shared" si="1"/>
        <v>972</v>
      </c>
      <c r="U27" s="61">
        <f t="shared" si="0"/>
        <v>972</v>
      </c>
    </row>
    <row r="28" spans="1:21" x14ac:dyDescent="0.3">
      <c r="A28" s="16" t="str">
        <f>_xlfn.XLOOKUP(B28,'Reference '!J:J,'Reference '!K:K)</f>
        <v>Ben Gbeve</v>
      </c>
      <c r="B28" s="16" t="s">
        <v>578</v>
      </c>
      <c r="C28" s="16">
        <v>612900</v>
      </c>
      <c r="D28" s="16" t="s">
        <v>572</v>
      </c>
      <c r="E28" s="16" t="s">
        <v>596</v>
      </c>
      <c r="F28" s="16" t="s">
        <v>572</v>
      </c>
      <c r="G28" s="60">
        <v>8333.3333333333339</v>
      </c>
      <c r="H28" s="60">
        <v>8333.3333333333339</v>
      </c>
      <c r="I28" s="60">
        <v>8333.3333333333339</v>
      </c>
      <c r="J28" s="60">
        <v>8333.3333333333339</v>
      </c>
      <c r="K28" s="60">
        <v>8333.3333333333339</v>
      </c>
      <c r="L28" s="60">
        <v>8333.3333333333339</v>
      </c>
      <c r="M28" s="60">
        <v>8333.3333333333339</v>
      </c>
      <c r="N28" s="60">
        <v>8333.3333333333339</v>
      </c>
      <c r="O28" s="60">
        <v>8333.3333333333339</v>
      </c>
      <c r="P28" s="60">
        <v>8333.3333333333339</v>
      </c>
      <c r="Q28" s="60">
        <v>8333.3333333333339</v>
      </c>
      <c r="R28" s="60">
        <v>8333.3333333333339</v>
      </c>
      <c r="S28" s="61">
        <f t="shared" si="1"/>
        <v>99999.999999999985</v>
      </c>
      <c r="U28" s="61">
        <f t="shared" si="0"/>
        <v>99999.999999999985</v>
      </c>
    </row>
    <row r="29" spans="1:21" x14ac:dyDescent="0.3">
      <c r="A29" s="16" t="str">
        <f>_xlfn.XLOOKUP(B29,'Reference '!J:J,'Reference '!K:K)</f>
        <v>Ben Gbeve</v>
      </c>
      <c r="B29" s="16" t="s">
        <v>578</v>
      </c>
      <c r="C29" s="16">
        <v>612520</v>
      </c>
      <c r="D29" s="16" t="s">
        <v>572</v>
      </c>
      <c r="E29" s="16" t="s">
        <v>597</v>
      </c>
      <c r="F29" s="16" t="s">
        <v>572</v>
      </c>
      <c r="G29" s="60">
        <v>1583.3333333333333</v>
      </c>
      <c r="H29" s="60">
        <v>1583.3333333333333</v>
      </c>
      <c r="I29" s="60">
        <v>1583.3333333333333</v>
      </c>
      <c r="J29" s="60">
        <v>1583.3333333333333</v>
      </c>
      <c r="K29" s="60">
        <v>1583.3333333333333</v>
      </c>
      <c r="L29" s="60">
        <v>1583.3333333333333</v>
      </c>
      <c r="M29" s="60">
        <v>1583.3333333333333</v>
      </c>
      <c r="N29" s="60">
        <v>1583.3333333333333</v>
      </c>
      <c r="O29" s="60">
        <v>1583.3333333333333</v>
      </c>
      <c r="P29" s="60">
        <v>1583.3333333333333</v>
      </c>
      <c r="Q29" s="60">
        <v>1583.3333333333333</v>
      </c>
      <c r="R29" s="60">
        <v>1583.3333333333333</v>
      </c>
      <c r="S29" s="61">
        <f t="shared" si="1"/>
        <v>19000</v>
      </c>
      <c r="U29" s="61">
        <f t="shared" si="0"/>
        <v>19000</v>
      </c>
    </row>
    <row r="30" spans="1:21" x14ac:dyDescent="0.3">
      <c r="A30" s="16" t="str">
        <f>_xlfn.XLOOKUP(B30,'Reference '!J:J,'Reference '!K:K)</f>
        <v>Ben Gbeve</v>
      </c>
      <c r="B30" s="16" t="s">
        <v>578</v>
      </c>
      <c r="C30" s="16">
        <v>612520</v>
      </c>
      <c r="D30" s="16" t="s">
        <v>572</v>
      </c>
      <c r="E30" s="16" t="s">
        <v>598</v>
      </c>
      <c r="F30" s="16" t="s">
        <v>572</v>
      </c>
      <c r="G30" s="60">
        <v>4750</v>
      </c>
      <c r="H30" s="60">
        <v>4750</v>
      </c>
      <c r="I30" s="60">
        <v>4750</v>
      </c>
      <c r="J30" s="60">
        <v>4750</v>
      </c>
      <c r="K30" s="60">
        <v>4750</v>
      </c>
      <c r="L30" s="60">
        <v>4750</v>
      </c>
      <c r="M30" s="60">
        <v>4750</v>
      </c>
      <c r="N30" s="60">
        <v>4750</v>
      </c>
      <c r="O30" s="60">
        <v>4750</v>
      </c>
      <c r="P30" s="60">
        <v>4750</v>
      </c>
      <c r="Q30" s="60">
        <v>4750</v>
      </c>
      <c r="R30" s="60">
        <v>4750</v>
      </c>
      <c r="S30" s="61">
        <f t="shared" si="1"/>
        <v>57000</v>
      </c>
      <c r="U30" s="61">
        <f t="shared" si="0"/>
        <v>57000</v>
      </c>
    </row>
    <row r="31" spans="1:21" x14ac:dyDescent="0.3">
      <c r="A31" s="16" t="str">
        <f>_xlfn.XLOOKUP(B31,'Reference '!J:J,'Reference '!K:K)</f>
        <v>Ben Gbeve</v>
      </c>
      <c r="B31" s="16" t="s">
        <v>578</v>
      </c>
      <c r="C31" s="16">
        <v>612520</v>
      </c>
      <c r="D31" s="16" t="s">
        <v>572</v>
      </c>
      <c r="E31" s="16" t="s">
        <v>599</v>
      </c>
      <c r="F31" s="16" t="s">
        <v>572</v>
      </c>
      <c r="G31" s="60">
        <v>5500</v>
      </c>
      <c r="H31" s="60">
        <v>5500</v>
      </c>
      <c r="I31" s="60">
        <v>5500</v>
      </c>
      <c r="J31" s="60">
        <v>5500</v>
      </c>
      <c r="K31" s="60">
        <v>5500</v>
      </c>
      <c r="L31" s="60">
        <v>5500</v>
      </c>
      <c r="M31" s="60">
        <v>5500</v>
      </c>
      <c r="N31" s="60">
        <v>5500</v>
      </c>
      <c r="O31" s="60">
        <v>5500</v>
      </c>
      <c r="P31" s="60">
        <v>5500</v>
      </c>
      <c r="Q31" s="60">
        <v>5500</v>
      </c>
      <c r="R31" s="60">
        <v>5500</v>
      </c>
      <c r="S31" s="61">
        <f t="shared" si="1"/>
        <v>66000</v>
      </c>
      <c r="T31" s="46">
        <f>'4.2 Simplify Savings'!AB52</f>
        <v>-66000</v>
      </c>
      <c r="U31" s="61">
        <f t="shared" si="0"/>
        <v>0</v>
      </c>
    </row>
    <row r="32" spans="1:21" x14ac:dyDescent="0.3">
      <c r="A32" s="16" t="str">
        <f>_xlfn.XLOOKUP(B32,'Reference '!J:J,'Reference '!K:K)</f>
        <v>Ben Gbeve</v>
      </c>
      <c r="B32" s="16" t="s">
        <v>578</v>
      </c>
      <c r="C32" s="16">
        <v>612520</v>
      </c>
      <c r="D32" s="16" t="s">
        <v>572</v>
      </c>
      <c r="E32" s="16" t="s">
        <v>600</v>
      </c>
      <c r="F32" s="16" t="s">
        <v>572</v>
      </c>
      <c r="G32" s="60">
        <v>5833.333333333333</v>
      </c>
      <c r="H32" s="60">
        <v>5833.333333333333</v>
      </c>
      <c r="I32" s="60">
        <v>5833.333333333333</v>
      </c>
      <c r="J32" s="60">
        <v>5833.333333333333</v>
      </c>
      <c r="K32" s="60">
        <v>5833.333333333333</v>
      </c>
      <c r="L32" s="60">
        <v>5833.333333333333</v>
      </c>
      <c r="M32" s="60">
        <v>5833.333333333333</v>
      </c>
      <c r="N32" s="60">
        <v>5833.333333333333</v>
      </c>
      <c r="O32" s="60">
        <v>5833.333333333333</v>
      </c>
      <c r="P32" s="60">
        <v>5833.333333333333</v>
      </c>
      <c r="Q32" s="60">
        <v>5833.333333333333</v>
      </c>
      <c r="R32" s="60">
        <v>5833.333333333333</v>
      </c>
      <c r="S32" s="61">
        <f t="shared" si="1"/>
        <v>70000.000000000015</v>
      </c>
      <c r="U32" s="61">
        <f t="shared" si="0"/>
        <v>70000.000000000015</v>
      </c>
    </row>
    <row r="33" spans="1:21" x14ac:dyDescent="0.3">
      <c r="A33" s="16" t="str">
        <f>_xlfn.XLOOKUP(B33,'Reference '!J:J,'Reference '!K:K)</f>
        <v>Ben Gbeve</v>
      </c>
      <c r="B33" s="16" t="s">
        <v>578</v>
      </c>
      <c r="C33" s="16">
        <v>611100</v>
      </c>
      <c r="D33" s="16" t="s">
        <v>572</v>
      </c>
      <c r="E33" s="16" t="s">
        <v>601</v>
      </c>
      <c r="F33" s="16" t="s">
        <v>572</v>
      </c>
      <c r="G33" s="60">
        <v>833.33333333333337</v>
      </c>
      <c r="H33" s="60">
        <v>833.33333333333337</v>
      </c>
      <c r="I33" s="60">
        <v>833.33333333333337</v>
      </c>
      <c r="J33" s="60">
        <v>833.33333333333337</v>
      </c>
      <c r="K33" s="60">
        <v>833.33333333333337</v>
      </c>
      <c r="L33" s="60">
        <v>833.33333333333337</v>
      </c>
      <c r="M33" s="60">
        <v>833.33333333333337</v>
      </c>
      <c r="N33" s="60">
        <v>833.33333333333337</v>
      </c>
      <c r="O33" s="60">
        <v>833.33333333333337</v>
      </c>
      <c r="P33" s="60">
        <v>833.33333333333337</v>
      </c>
      <c r="Q33" s="60">
        <v>833.33333333333337</v>
      </c>
      <c r="R33" s="60">
        <v>833.33333333333337</v>
      </c>
      <c r="S33" s="61">
        <f t="shared" si="1"/>
        <v>10000</v>
      </c>
      <c r="U33" s="61">
        <f t="shared" si="0"/>
        <v>10000</v>
      </c>
    </row>
    <row r="34" spans="1:21" x14ac:dyDescent="0.3">
      <c r="A34" s="16" t="str">
        <f>_xlfn.XLOOKUP(B34,'Reference '!J:J,'Reference '!K:K)</f>
        <v>Ben Gbeve</v>
      </c>
      <c r="B34" s="16" t="s">
        <v>578</v>
      </c>
      <c r="C34" s="16">
        <v>612520</v>
      </c>
      <c r="D34" s="16" t="s">
        <v>572</v>
      </c>
      <c r="E34" s="16" t="s">
        <v>602</v>
      </c>
      <c r="F34" s="16" t="s">
        <v>572</v>
      </c>
      <c r="G34" s="60">
        <v>25250</v>
      </c>
      <c r="H34" s="60">
        <v>25250</v>
      </c>
      <c r="I34" s="60">
        <v>25250</v>
      </c>
      <c r="J34" s="60">
        <v>25250</v>
      </c>
      <c r="K34" s="60">
        <v>25250</v>
      </c>
      <c r="L34" s="60">
        <v>25250</v>
      </c>
      <c r="M34" s="60">
        <v>25250</v>
      </c>
      <c r="N34" s="60">
        <v>25250</v>
      </c>
      <c r="O34" s="60">
        <v>25250</v>
      </c>
      <c r="P34" s="60">
        <v>25250</v>
      </c>
      <c r="Q34" s="60">
        <v>25250</v>
      </c>
      <c r="R34" s="60">
        <v>25250</v>
      </c>
      <c r="S34" s="61">
        <f t="shared" si="1"/>
        <v>303000</v>
      </c>
      <c r="U34" s="61">
        <f t="shared" si="0"/>
        <v>303000</v>
      </c>
    </row>
    <row r="35" spans="1:21" x14ac:dyDescent="0.3">
      <c r="A35" s="16" t="str">
        <f>_xlfn.XLOOKUP(B35,'Reference '!J:J,'Reference '!K:K)</f>
        <v>Ben Gbeve</v>
      </c>
      <c r="B35" s="16" t="s">
        <v>578</v>
      </c>
      <c r="C35" s="16">
        <v>612520</v>
      </c>
      <c r="D35" s="16" t="s">
        <v>572</v>
      </c>
      <c r="E35" s="16" t="s">
        <v>603</v>
      </c>
      <c r="F35" s="16" t="s">
        <v>572</v>
      </c>
      <c r="G35" s="60">
        <v>6250</v>
      </c>
      <c r="H35" s="60">
        <v>6250</v>
      </c>
      <c r="I35" s="60">
        <v>6250</v>
      </c>
      <c r="J35" s="60">
        <v>6250</v>
      </c>
      <c r="K35" s="60">
        <v>6250</v>
      </c>
      <c r="L35" s="60">
        <v>6250</v>
      </c>
      <c r="M35" s="60">
        <v>6250</v>
      </c>
      <c r="N35" s="60">
        <v>6250</v>
      </c>
      <c r="O35" s="60">
        <v>6250</v>
      </c>
      <c r="P35" s="60">
        <v>6250</v>
      </c>
      <c r="Q35" s="60">
        <v>6250</v>
      </c>
      <c r="R35" s="60">
        <v>6250</v>
      </c>
      <c r="S35" s="61">
        <f t="shared" si="1"/>
        <v>75000</v>
      </c>
      <c r="U35" s="61">
        <f t="shared" ref="U35:U66" si="2">SUM(S35:T35)</f>
        <v>75000</v>
      </c>
    </row>
    <row r="36" spans="1:21" x14ac:dyDescent="0.3">
      <c r="A36" s="16" t="str">
        <f>_xlfn.XLOOKUP(B36,'Reference '!J:J,'Reference '!K:K)</f>
        <v>Ben Gbeve</v>
      </c>
      <c r="B36" s="16" t="s">
        <v>578</v>
      </c>
      <c r="C36" s="16">
        <v>612520</v>
      </c>
      <c r="D36" s="16" t="s">
        <v>572</v>
      </c>
      <c r="E36" s="16" t="s">
        <v>604</v>
      </c>
      <c r="F36" s="16" t="s">
        <v>572</v>
      </c>
      <c r="G36" s="60">
        <v>1666.6666666666667</v>
      </c>
      <c r="H36" s="60">
        <v>1666.6666666666667</v>
      </c>
      <c r="I36" s="60">
        <v>1666.6666666666667</v>
      </c>
      <c r="J36" s="60">
        <v>1666.6666666666667</v>
      </c>
      <c r="K36" s="60">
        <v>1666.6666666666667</v>
      </c>
      <c r="L36" s="60">
        <v>1666.6666666666667</v>
      </c>
      <c r="M36" s="60">
        <v>1666.6666666666667</v>
      </c>
      <c r="N36" s="60">
        <v>1666.6666666666667</v>
      </c>
      <c r="O36" s="60">
        <v>1666.6666666666667</v>
      </c>
      <c r="P36" s="60">
        <v>1666.6666666666667</v>
      </c>
      <c r="Q36" s="60">
        <v>1666.6666666666667</v>
      </c>
      <c r="R36" s="60">
        <v>1666.6666666666667</v>
      </c>
      <c r="S36" s="61">
        <f t="shared" si="1"/>
        <v>20000</v>
      </c>
      <c r="T36" s="46">
        <f>'4.2 Simplify Savings'!AB53</f>
        <v>-20000.04</v>
      </c>
      <c r="U36" s="61">
        <f t="shared" si="2"/>
        <v>-4.0000000000873115E-2</v>
      </c>
    </row>
    <row r="37" spans="1:21" x14ac:dyDescent="0.3">
      <c r="A37" s="16" t="str">
        <f>_xlfn.XLOOKUP(B37,'Reference '!J:J,'Reference '!K:K)</f>
        <v>Ben Gbeve</v>
      </c>
      <c r="B37" s="16" t="s">
        <v>578</v>
      </c>
      <c r="C37" s="16">
        <v>612520</v>
      </c>
      <c r="D37" s="16" t="s">
        <v>572</v>
      </c>
      <c r="E37" s="16" t="s">
        <v>605</v>
      </c>
      <c r="F37" s="16" t="s">
        <v>572</v>
      </c>
      <c r="G37" s="60">
        <v>4166.666666666667</v>
      </c>
      <c r="H37" s="60">
        <v>4166.666666666667</v>
      </c>
      <c r="I37" s="60">
        <v>4166.666666666667</v>
      </c>
      <c r="J37" s="60">
        <v>4166.666666666667</v>
      </c>
      <c r="K37" s="60">
        <v>4166.666666666667</v>
      </c>
      <c r="L37" s="60">
        <v>4166.666666666667</v>
      </c>
      <c r="M37" s="60">
        <v>4166.666666666667</v>
      </c>
      <c r="N37" s="60">
        <v>4166.666666666667</v>
      </c>
      <c r="O37" s="60">
        <v>4166.666666666667</v>
      </c>
      <c r="P37" s="60">
        <v>4166.666666666667</v>
      </c>
      <c r="Q37" s="60">
        <v>4166.666666666667</v>
      </c>
      <c r="R37" s="60">
        <v>4166.666666666667</v>
      </c>
      <c r="S37" s="61">
        <f t="shared" si="1"/>
        <v>49999.999999999993</v>
      </c>
      <c r="U37" s="61">
        <f t="shared" si="2"/>
        <v>49999.999999999993</v>
      </c>
    </row>
    <row r="38" spans="1:21" x14ac:dyDescent="0.3">
      <c r="A38" s="16" t="str">
        <f>_xlfn.XLOOKUP(B38,'Reference '!J:J,'Reference '!K:K)</f>
        <v>Ben Gbeve</v>
      </c>
      <c r="B38" s="16" t="s">
        <v>578</v>
      </c>
      <c r="C38" s="16">
        <v>612620</v>
      </c>
      <c r="D38" s="16" t="s">
        <v>572</v>
      </c>
      <c r="E38" s="16" t="s">
        <v>606</v>
      </c>
      <c r="F38" s="16" t="s">
        <v>572</v>
      </c>
      <c r="G38" s="60">
        <v>120833.33</v>
      </c>
      <c r="H38" s="60">
        <v>120833.33</v>
      </c>
      <c r="I38" s="60">
        <v>120833.33</v>
      </c>
      <c r="J38" s="60">
        <v>120833.33</v>
      </c>
      <c r="K38" s="60">
        <v>120833.33</v>
      </c>
      <c r="L38" s="60">
        <v>120833.33</v>
      </c>
      <c r="M38" s="60">
        <v>120833.33</v>
      </c>
      <c r="N38" s="60">
        <v>120833.33</v>
      </c>
      <c r="O38" s="60">
        <v>120833.33</v>
      </c>
      <c r="P38" s="60">
        <v>120833.33</v>
      </c>
      <c r="Q38" s="60">
        <v>120833.33</v>
      </c>
      <c r="R38" s="60">
        <v>120833.33</v>
      </c>
      <c r="S38" s="61">
        <f t="shared" si="1"/>
        <v>1449999.9600000002</v>
      </c>
      <c r="T38" s="46">
        <f>'4.2 Simplify Savings'!AB54</f>
        <v>-66000</v>
      </c>
      <c r="U38" s="61">
        <f t="shared" si="2"/>
        <v>1383999.9600000002</v>
      </c>
    </row>
    <row r="39" spans="1:21" x14ac:dyDescent="0.3">
      <c r="A39" s="16" t="str">
        <f>_xlfn.XLOOKUP(B39,'Reference '!J:J,'Reference '!K:K)</f>
        <v>Ben Gbeve</v>
      </c>
      <c r="B39" s="16" t="s">
        <v>578</v>
      </c>
      <c r="C39" s="16">
        <v>612620</v>
      </c>
      <c r="D39" s="16" t="s">
        <v>572</v>
      </c>
      <c r="E39" s="16" t="s">
        <v>607</v>
      </c>
      <c r="F39" s="16" t="s">
        <v>572</v>
      </c>
      <c r="G39" s="60">
        <v>0</v>
      </c>
      <c r="H39" s="60">
        <v>0</v>
      </c>
      <c r="I39" s="60">
        <v>0</v>
      </c>
      <c r="J39" s="60">
        <v>0</v>
      </c>
      <c r="K39" s="60">
        <v>0</v>
      </c>
      <c r="L39" s="60">
        <v>0</v>
      </c>
      <c r="M39" s="60">
        <v>0</v>
      </c>
      <c r="N39" s="60">
        <v>0</v>
      </c>
      <c r="O39" s="60">
        <v>0</v>
      </c>
      <c r="P39" s="60">
        <v>0</v>
      </c>
      <c r="Q39" s="60">
        <v>0</v>
      </c>
      <c r="R39" s="60">
        <v>0</v>
      </c>
      <c r="S39" s="61">
        <f t="shared" si="1"/>
        <v>0</v>
      </c>
      <c r="U39" s="61">
        <f t="shared" si="2"/>
        <v>0</v>
      </c>
    </row>
    <row r="40" spans="1:21" x14ac:dyDescent="0.3">
      <c r="A40" s="16" t="str">
        <f>_xlfn.XLOOKUP(B40,'Reference '!J:J,'Reference '!K:K)</f>
        <v>Ben Gbeve</v>
      </c>
      <c r="B40" s="16" t="s">
        <v>578</v>
      </c>
      <c r="C40" s="16">
        <v>612620</v>
      </c>
      <c r="D40" s="16" t="s">
        <v>572</v>
      </c>
      <c r="E40" s="16" t="s">
        <v>608</v>
      </c>
      <c r="F40" s="16" t="s">
        <v>572</v>
      </c>
      <c r="G40" s="60">
        <v>16667</v>
      </c>
      <c r="H40" s="60">
        <v>16667</v>
      </c>
      <c r="I40" s="60">
        <v>16667</v>
      </c>
      <c r="J40" s="60">
        <v>16667</v>
      </c>
      <c r="K40" s="60">
        <v>16667</v>
      </c>
      <c r="L40" s="60">
        <v>16667</v>
      </c>
      <c r="M40" s="60">
        <v>16667</v>
      </c>
      <c r="N40" s="60">
        <v>16667</v>
      </c>
      <c r="O40" s="60">
        <v>16667</v>
      </c>
      <c r="P40" s="60">
        <v>16667</v>
      </c>
      <c r="Q40" s="60">
        <v>16667</v>
      </c>
      <c r="R40" s="60">
        <v>16667</v>
      </c>
      <c r="S40" s="61">
        <f t="shared" si="1"/>
        <v>200004</v>
      </c>
      <c r="U40" s="61">
        <f t="shared" si="2"/>
        <v>200004</v>
      </c>
    </row>
    <row r="41" spans="1:21" x14ac:dyDescent="0.3">
      <c r="A41" s="16" t="str">
        <f>_xlfn.XLOOKUP(B41,'Reference '!J:J,'Reference '!K:K)</f>
        <v>Ben Gbeve</v>
      </c>
      <c r="B41" s="16" t="s">
        <v>578</v>
      </c>
      <c r="C41" s="16">
        <v>612520</v>
      </c>
      <c r="D41" s="16" t="s">
        <v>572</v>
      </c>
      <c r="E41" s="16" t="s">
        <v>609</v>
      </c>
      <c r="F41" s="16" t="s">
        <v>572</v>
      </c>
      <c r="G41" s="60">
        <v>833.33333333333337</v>
      </c>
      <c r="H41" s="60">
        <v>833.33333333333337</v>
      </c>
      <c r="I41" s="60">
        <v>833.33333333333337</v>
      </c>
      <c r="J41" s="60">
        <v>833.33333333333337</v>
      </c>
      <c r="K41" s="60">
        <v>833.33333333333337</v>
      </c>
      <c r="L41" s="60">
        <v>833.33333333333337</v>
      </c>
      <c r="M41" s="60">
        <v>833.33333333333337</v>
      </c>
      <c r="N41" s="60">
        <v>833.33333333333337</v>
      </c>
      <c r="O41" s="60">
        <v>833.33333333333337</v>
      </c>
      <c r="P41" s="60">
        <v>833.33333333333337</v>
      </c>
      <c r="Q41" s="60">
        <v>833.33333333333337</v>
      </c>
      <c r="R41" s="60">
        <v>833.33333333333337</v>
      </c>
      <c r="S41" s="61">
        <f t="shared" si="1"/>
        <v>10000</v>
      </c>
      <c r="U41" s="61">
        <f t="shared" si="2"/>
        <v>10000</v>
      </c>
    </row>
    <row r="42" spans="1:21" x14ac:dyDescent="0.3">
      <c r="A42" s="16" t="str">
        <f>_xlfn.XLOOKUP(B42,'Reference '!J:J,'Reference '!K:K)</f>
        <v>Ben Gbeve</v>
      </c>
      <c r="B42" s="16" t="s">
        <v>578</v>
      </c>
      <c r="C42" s="16">
        <v>612520</v>
      </c>
      <c r="D42" s="16" t="s">
        <v>572</v>
      </c>
      <c r="E42" s="16" t="s">
        <v>610</v>
      </c>
      <c r="F42" s="16" t="s">
        <v>572</v>
      </c>
      <c r="G42" s="60">
        <v>833.33333333333337</v>
      </c>
      <c r="H42" s="60">
        <v>833.33333333333337</v>
      </c>
      <c r="I42" s="60">
        <v>833.33333333333337</v>
      </c>
      <c r="J42" s="60">
        <v>833.33333333333337</v>
      </c>
      <c r="K42" s="60">
        <v>833.33333333333337</v>
      </c>
      <c r="L42" s="60">
        <v>833.33333333333337</v>
      </c>
      <c r="M42" s="60">
        <v>833.33333333333337</v>
      </c>
      <c r="N42" s="60">
        <v>833.33333333333337</v>
      </c>
      <c r="O42" s="60">
        <v>833.33333333333337</v>
      </c>
      <c r="P42" s="60">
        <v>833.33333333333337</v>
      </c>
      <c r="Q42" s="60">
        <v>833.33333333333337</v>
      </c>
      <c r="R42" s="60">
        <v>833.33333333333337</v>
      </c>
      <c r="S42" s="61">
        <f t="shared" si="1"/>
        <v>10000</v>
      </c>
      <c r="U42" s="61">
        <f t="shared" si="2"/>
        <v>10000</v>
      </c>
    </row>
    <row r="43" spans="1:21" x14ac:dyDescent="0.3">
      <c r="A43" s="16" t="str">
        <f>_xlfn.XLOOKUP(B43,'Reference '!J:J,'Reference '!K:K)</f>
        <v>Ben Gbeve</v>
      </c>
      <c r="B43" s="16" t="s">
        <v>578</v>
      </c>
      <c r="C43" s="16">
        <v>612520</v>
      </c>
      <c r="D43" s="16" t="s">
        <v>572</v>
      </c>
      <c r="E43" s="16" t="s">
        <v>611</v>
      </c>
      <c r="F43" s="16" t="s">
        <v>572</v>
      </c>
      <c r="G43" s="60">
        <v>833.33333333333337</v>
      </c>
      <c r="H43" s="60">
        <v>833.33333333333337</v>
      </c>
      <c r="I43" s="60">
        <v>833.33333333333337</v>
      </c>
      <c r="J43" s="60">
        <v>833.33333333333337</v>
      </c>
      <c r="K43" s="60">
        <v>833.33333333333337</v>
      </c>
      <c r="L43" s="60">
        <v>833.33333333333337</v>
      </c>
      <c r="M43" s="60">
        <v>833.33333333333337</v>
      </c>
      <c r="N43" s="60">
        <v>833.33333333333337</v>
      </c>
      <c r="O43" s="60">
        <v>833.33333333333337</v>
      </c>
      <c r="P43" s="60">
        <v>833.33333333333337</v>
      </c>
      <c r="Q43" s="60">
        <v>833.33333333333337</v>
      </c>
      <c r="R43" s="60">
        <v>833.33333333333337</v>
      </c>
      <c r="S43" s="61">
        <f t="shared" si="1"/>
        <v>10000</v>
      </c>
      <c r="U43" s="61">
        <f t="shared" si="2"/>
        <v>10000</v>
      </c>
    </row>
    <row r="44" spans="1:21" x14ac:dyDescent="0.3">
      <c r="A44" s="16" t="str">
        <f>_xlfn.XLOOKUP(B44,'Reference '!J:J,'Reference '!K:K)</f>
        <v>Ben Gbeve</v>
      </c>
      <c r="B44" s="16" t="s">
        <v>578</v>
      </c>
      <c r="C44" s="16">
        <v>612520</v>
      </c>
      <c r="D44" s="16" t="s">
        <v>572</v>
      </c>
      <c r="E44" s="16" t="s">
        <v>612</v>
      </c>
      <c r="F44" s="16" t="s">
        <v>572</v>
      </c>
      <c r="G44" s="60">
        <v>1666.6666666666667</v>
      </c>
      <c r="H44" s="60">
        <v>1666.6666666666667</v>
      </c>
      <c r="I44" s="60">
        <v>1666.6666666666667</v>
      </c>
      <c r="J44" s="60">
        <v>1666.6666666666667</v>
      </c>
      <c r="K44" s="60">
        <v>1666.6666666666667</v>
      </c>
      <c r="L44" s="60">
        <v>1666.6666666666667</v>
      </c>
      <c r="M44" s="60">
        <v>1666.6666666666667</v>
      </c>
      <c r="N44" s="60">
        <v>1666.6666666666667</v>
      </c>
      <c r="O44" s="60">
        <v>1666.6666666666667</v>
      </c>
      <c r="P44" s="60">
        <v>1666.6666666666667</v>
      </c>
      <c r="Q44" s="60">
        <v>1666.6666666666667</v>
      </c>
      <c r="R44" s="60">
        <v>1666.6666666666667</v>
      </c>
      <c r="S44" s="61">
        <f t="shared" si="1"/>
        <v>20000</v>
      </c>
      <c r="U44" s="61">
        <f t="shared" si="2"/>
        <v>20000</v>
      </c>
    </row>
    <row r="45" spans="1:21" x14ac:dyDescent="0.3">
      <c r="A45" s="16" t="str">
        <f>_xlfn.XLOOKUP(B45,'Reference '!J:J,'Reference '!K:K)</f>
        <v>Ben Gbeve</v>
      </c>
      <c r="B45" s="16" t="s">
        <v>578</v>
      </c>
      <c r="C45" s="16">
        <v>612620</v>
      </c>
      <c r="D45" s="16" t="s">
        <v>572</v>
      </c>
      <c r="E45" s="16" t="s">
        <v>613</v>
      </c>
      <c r="F45" s="16" t="s">
        <v>572</v>
      </c>
      <c r="G45" s="60">
        <v>1916.6666666666667</v>
      </c>
      <c r="H45" s="60">
        <v>1916.6666666666667</v>
      </c>
      <c r="I45" s="60">
        <v>1916.6666666666667</v>
      </c>
      <c r="J45" s="60">
        <v>1916.6666666666667</v>
      </c>
      <c r="K45" s="60">
        <v>1916.6666666666667</v>
      </c>
      <c r="L45" s="60">
        <v>1916.6666666666667</v>
      </c>
      <c r="M45" s="60">
        <v>1916.6666666666667</v>
      </c>
      <c r="N45" s="60">
        <v>1916.6666666666667</v>
      </c>
      <c r="O45" s="60">
        <v>1916.6666666666667</v>
      </c>
      <c r="P45" s="60">
        <v>1916.6666666666667</v>
      </c>
      <c r="Q45" s="60">
        <v>1916.6666666666667</v>
      </c>
      <c r="R45" s="60">
        <v>1916.6666666666667</v>
      </c>
      <c r="S45" s="61">
        <f t="shared" si="1"/>
        <v>23000.000000000004</v>
      </c>
      <c r="U45" s="61">
        <f t="shared" si="2"/>
        <v>23000.000000000004</v>
      </c>
    </row>
    <row r="46" spans="1:21" x14ac:dyDescent="0.3">
      <c r="A46" s="16" t="str">
        <f>_xlfn.XLOOKUP(B46,'Reference '!J:J,'Reference '!K:K)</f>
        <v>Ben Gbeve</v>
      </c>
      <c r="B46" s="16" t="s">
        <v>578</v>
      </c>
      <c r="C46" s="16">
        <v>612620</v>
      </c>
      <c r="D46" s="16" t="s">
        <v>572</v>
      </c>
      <c r="E46" s="16" t="s">
        <v>172</v>
      </c>
      <c r="F46" s="16" t="s">
        <v>572</v>
      </c>
      <c r="G46" s="60">
        <v>98333</v>
      </c>
      <c r="H46" s="60">
        <v>98333</v>
      </c>
      <c r="I46" s="60">
        <v>98333</v>
      </c>
      <c r="J46" s="60">
        <v>98333</v>
      </c>
      <c r="K46" s="60">
        <v>98333</v>
      </c>
      <c r="L46" s="60">
        <v>98333</v>
      </c>
      <c r="M46" s="60">
        <v>98333</v>
      </c>
      <c r="N46" s="60">
        <v>98333</v>
      </c>
      <c r="O46" s="60">
        <v>98333</v>
      </c>
      <c r="P46" s="60">
        <v>98333</v>
      </c>
      <c r="Q46" s="60">
        <v>98333</v>
      </c>
      <c r="R46" s="60">
        <v>98333</v>
      </c>
      <c r="S46" s="61">
        <f t="shared" si="1"/>
        <v>1179996</v>
      </c>
      <c r="T46" s="46">
        <f>'4.2 Simplify Savings'!AB55</f>
        <v>-151524</v>
      </c>
      <c r="U46" s="61">
        <f t="shared" si="2"/>
        <v>1028472</v>
      </c>
    </row>
    <row r="47" spans="1:21" x14ac:dyDescent="0.3">
      <c r="A47" s="16" t="str">
        <f>_xlfn.XLOOKUP(B47,'Reference '!J:J,'Reference '!K:K)</f>
        <v>Ben Gbeve</v>
      </c>
      <c r="B47" s="16" t="s">
        <v>578</v>
      </c>
      <c r="C47" s="16">
        <v>612520</v>
      </c>
      <c r="D47" s="16" t="s">
        <v>572</v>
      </c>
      <c r="E47" s="16" t="s">
        <v>614</v>
      </c>
      <c r="F47" s="16" t="s">
        <v>572</v>
      </c>
      <c r="G47" s="60">
        <v>2084</v>
      </c>
      <c r="H47" s="60">
        <v>2084</v>
      </c>
      <c r="I47" s="60">
        <v>2084</v>
      </c>
      <c r="J47" s="60">
        <v>2084</v>
      </c>
      <c r="K47" s="60">
        <v>2084</v>
      </c>
      <c r="L47" s="60">
        <v>2084</v>
      </c>
      <c r="M47" s="60">
        <v>2084</v>
      </c>
      <c r="N47" s="60">
        <v>2084</v>
      </c>
      <c r="O47" s="60">
        <v>2084</v>
      </c>
      <c r="P47" s="60">
        <v>2084</v>
      </c>
      <c r="Q47" s="60">
        <v>2084</v>
      </c>
      <c r="R47" s="60">
        <v>2084</v>
      </c>
      <c r="S47" s="61">
        <f t="shared" si="1"/>
        <v>25008</v>
      </c>
      <c r="U47" s="61">
        <f t="shared" si="2"/>
        <v>25008</v>
      </c>
    </row>
    <row r="48" spans="1:21" x14ac:dyDescent="0.3">
      <c r="A48" s="16" t="str">
        <f>_xlfn.XLOOKUP(B48,'Reference '!J:J,'Reference '!K:K)</f>
        <v>Ben Gbeve</v>
      </c>
      <c r="B48" s="16" t="s">
        <v>578</v>
      </c>
      <c r="C48" s="16">
        <v>612620</v>
      </c>
      <c r="D48" s="16" t="s">
        <v>572</v>
      </c>
      <c r="E48" s="16" t="s">
        <v>173</v>
      </c>
      <c r="F48" s="16" t="s">
        <v>572</v>
      </c>
      <c r="G48" s="60">
        <v>5333</v>
      </c>
      <c r="H48" s="60">
        <v>5333</v>
      </c>
      <c r="I48" s="60">
        <v>5333</v>
      </c>
      <c r="J48" s="60">
        <v>5333</v>
      </c>
      <c r="K48" s="60">
        <v>5333</v>
      </c>
      <c r="L48" s="60">
        <v>5333</v>
      </c>
      <c r="M48" s="60">
        <v>5333</v>
      </c>
      <c r="N48" s="60">
        <v>5333</v>
      </c>
      <c r="O48" s="60">
        <v>5333</v>
      </c>
      <c r="P48" s="60">
        <v>5333</v>
      </c>
      <c r="Q48" s="60">
        <v>5333</v>
      </c>
      <c r="R48" s="60">
        <v>5333</v>
      </c>
      <c r="S48" s="61">
        <f t="shared" si="1"/>
        <v>63996</v>
      </c>
      <c r="U48" s="61">
        <f t="shared" si="2"/>
        <v>63996</v>
      </c>
    </row>
    <row r="49" spans="1:22" x14ac:dyDescent="0.3">
      <c r="A49" s="16" t="str">
        <f>_xlfn.XLOOKUP(B49,'Reference '!J:J,'Reference '!K:K)</f>
        <v>Ben Gbeve</v>
      </c>
      <c r="B49" s="16" t="s">
        <v>578</v>
      </c>
      <c r="C49" s="16">
        <v>612620</v>
      </c>
      <c r="D49" s="16" t="s">
        <v>572</v>
      </c>
      <c r="E49" s="16" t="s">
        <v>174</v>
      </c>
      <c r="F49" s="16" t="s">
        <v>572</v>
      </c>
      <c r="G49" s="60">
        <v>1083.3</v>
      </c>
      <c r="H49" s="60">
        <v>1083.3</v>
      </c>
      <c r="I49" s="60">
        <v>1083.3</v>
      </c>
      <c r="J49" s="60">
        <v>1083.3</v>
      </c>
      <c r="K49" s="60">
        <v>1083.3</v>
      </c>
      <c r="L49" s="60">
        <v>1083.3</v>
      </c>
      <c r="M49" s="60">
        <v>1083.3</v>
      </c>
      <c r="N49" s="60">
        <v>1083.3</v>
      </c>
      <c r="O49" s="60">
        <v>1083.3</v>
      </c>
      <c r="P49" s="60">
        <v>1083.3</v>
      </c>
      <c r="Q49" s="60">
        <v>1083.3</v>
      </c>
      <c r="R49" s="60">
        <v>1083.3</v>
      </c>
      <c r="S49" s="61">
        <f t="shared" si="1"/>
        <v>12999.599999999997</v>
      </c>
      <c r="U49" s="61">
        <f t="shared" si="2"/>
        <v>12999.599999999997</v>
      </c>
    </row>
    <row r="50" spans="1:22" x14ac:dyDescent="0.3">
      <c r="A50" s="16" t="str">
        <f>_xlfn.XLOOKUP(B50,'Reference '!J:J,'Reference '!K:K)</f>
        <v>Ben Gbeve</v>
      </c>
      <c r="B50" s="16" t="s">
        <v>578</v>
      </c>
      <c r="C50" s="16">
        <v>613025</v>
      </c>
      <c r="D50" s="16" t="s">
        <v>572</v>
      </c>
      <c r="E50" s="16" t="s">
        <v>615</v>
      </c>
      <c r="F50" s="16" t="s">
        <v>572</v>
      </c>
      <c r="G50" s="60">
        <v>11646</v>
      </c>
      <c r="H50" s="60">
        <v>11646</v>
      </c>
      <c r="I50" s="60">
        <v>11646</v>
      </c>
      <c r="J50" s="60">
        <v>11646</v>
      </c>
      <c r="K50" s="60">
        <v>11646</v>
      </c>
      <c r="L50" s="60">
        <v>11646</v>
      </c>
      <c r="M50" s="60">
        <v>11646</v>
      </c>
      <c r="N50" s="60">
        <v>11646</v>
      </c>
      <c r="O50" s="60">
        <v>11646</v>
      </c>
      <c r="P50" s="60">
        <v>11646</v>
      </c>
      <c r="Q50" s="60">
        <v>11646</v>
      </c>
      <c r="R50" s="60">
        <v>11646</v>
      </c>
      <c r="S50" s="61">
        <f t="shared" si="1"/>
        <v>139752</v>
      </c>
      <c r="U50" s="61">
        <f t="shared" si="2"/>
        <v>139752</v>
      </c>
      <c r="V50" s="16" t="s">
        <v>1158</v>
      </c>
    </row>
    <row r="51" spans="1:22" x14ac:dyDescent="0.3">
      <c r="A51" s="16" t="str">
        <f>_xlfn.XLOOKUP(B51,'Reference '!J:J,'Reference '!K:K)</f>
        <v>Ben Gbeve</v>
      </c>
      <c r="B51" s="16" t="s">
        <v>578</v>
      </c>
      <c r="C51" s="16">
        <v>613025</v>
      </c>
      <c r="D51" s="16" t="s">
        <v>572</v>
      </c>
      <c r="E51" s="16" t="s">
        <v>616</v>
      </c>
      <c r="F51" s="16" t="s">
        <v>572</v>
      </c>
      <c r="G51" s="60">
        <v>8820</v>
      </c>
      <c r="H51" s="60">
        <v>8820</v>
      </c>
      <c r="I51" s="60">
        <v>8820</v>
      </c>
      <c r="J51" s="60">
        <v>8820</v>
      </c>
      <c r="K51" s="60">
        <v>8820</v>
      </c>
      <c r="L51" s="60">
        <v>8820</v>
      </c>
      <c r="M51" s="60">
        <v>8820</v>
      </c>
      <c r="N51" s="60">
        <v>8820</v>
      </c>
      <c r="O51" s="60">
        <v>8820</v>
      </c>
      <c r="P51" s="60">
        <v>8820</v>
      </c>
      <c r="Q51" s="60">
        <v>8820</v>
      </c>
      <c r="R51" s="60">
        <v>8820</v>
      </c>
      <c r="S51" s="61">
        <f t="shared" si="1"/>
        <v>105840</v>
      </c>
      <c r="T51" s="46">
        <f>'4.2 Simplify Savings'!AB56</f>
        <v>-105840</v>
      </c>
      <c r="U51" s="61">
        <f t="shared" si="2"/>
        <v>0</v>
      </c>
      <c r="V51" s="16" t="s">
        <v>1158</v>
      </c>
    </row>
    <row r="52" spans="1:22" x14ac:dyDescent="0.3">
      <c r="A52" s="16" t="str">
        <f>_xlfn.XLOOKUP(B52,'Reference '!J:J,'Reference '!K:K)</f>
        <v>Valerie Veyt</v>
      </c>
      <c r="B52" s="16" t="s">
        <v>617</v>
      </c>
      <c r="C52" s="16">
        <v>603300</v>
      </c>
      <c r="D52" s="16" t="s">
        <v>572</v>
      </c>
      <c r="E52" s="16" t="s">
        <v>618</v>
      </c>
      <c r="F52" s="16" t="s">
        <v>572</v>
      </c>
      <c r="G52" s="60">
        <v>79166.666666666672</v>
      </c>
      <c r="H52" s="60">
        <v>79166.666666666672</v>
      </c>
      <c r="I52" s="60">
        <v>79166.666666666672</v>
      </c>
      <c r="J52" s="60">
        <v>79166.666666666672</v>
      </c>
      <c r="K52" s="60">
        <v>79166.666666666672</v>
      </c>
      <c r="L52" s="60">
        <v>79166.666666666672</v>
      </c>
      <c r="M52" s="60">
        <v>79166.666666666672</v>
      </c>
      <c r="N52" s="60">
        <v>79166.666666666672</v>
      </c>
      <c r="O52" s="60">
        <v>79166.666666666672</v>
      </c>
      <c r="P52" s="60">
        <v>79166.666666666672</v>
      </c>
      <c r="Q52" s="60">
        <v>79166.666666666672</v>
      </c>
      <c r="R52" s="60">
        <v>79166.666666666672</v>
      </c>
      <c r="S52" s="61">
        <f t="shared" si="1"/>
        <v>949999.99999999988</v>
      </c>
      <c r="T52" s="46">
        <f>'4.2 Simplify Savings'!AB57</f>
        <v>-300000</v>
      </c>
      <c r="U52" s="61">
        <f t="shared" si="2"/>
        <v>649999.99999999988</v>
      </c>
    </row>
    <row r="53" spans="1:22" x14ac:dyDescent="0.3">
      <c r="A53" s="16" t="str">
        <f>_xlfn.XLOOKUP(B53,'Reference '!J:J,'Reference '!K:K)</f>
        <v>Valerie Veyt</v>
      </c>
      <c r="B53" s="16" t="s">
        <v>617</v>
      </c>
      <c r="C53" s="16">
        <v>603300</v>
      </c>
      <c r="D53" s="16" t="s">
        <v>572</v>
      </c>
      <c r="E53" s="16" t="s">
        <v>619</v>
      </c>
      <c r="F53" s="16" t="s">
        <v>572</v>
      </c>
      <c r="G53" s="60">
        <v>100000</v>
      </c>
      <c r="H53" s="60">
        <v>100000</v>
      </c>
      <c r="I53" s="60">
        <v>100000</v>
      </c>
      <c r="J53" s="60">
        <v>100000</v>
      </c>
      <c r="K53" s="60">
        <v>100000</v>
      </c>
      <c r="L53" s="60">
        <v>100000</v>
      </c>
      <c r="M53" s="60">
        <v>100000</v>
      </c>
      <c r="N53" s="60">
        <v>100000</v>
      </c>
      <c r="O53" s="60">
        <v>100000</v>
      </c>
      <c r="P53" s="60">
        <v>100000</v>
      </c>
      <c r="Q53" s="60">
        <v>100000</v>
      </c>
      <c r="R53" s="60">
        <v>100000</v>
      </c>
      <c r="S53" s="61">
        <f t="shared" si="1"/>
        <v>1200000</v>
      </c>
      <c r="U53" s="61">
        <f t="shared" si="2"/>
        <v>1200000</v>
      </c>
    </row>
    <row r="54" spans="1:22" x14ac:dyDescent="0.3">
      <c r="A54" s="16" t="str">
        <f>_xlfn.XLOOKUP(B54,'Reference '!J:J,'Reference '!K:K)</f>
        <v>Valerie Veyt</v>
      </c>
      <c r="B54" s="16" t="s">
        <v>617</v>
      </c>
      <c r="C54" s="16">
        <v>603300</v>
      </c>
      <c r="D54" s="16" t="s">
        <v>572</v>
      </c>
      <c r="E54" s="16" t="s">
        <v>620</v>
      </c>
      <c r="F54" s="16" t="s">
        <v>572</v>
      </c>
      <c r="G54" s="60">
        <v>4166.666666666667</v>
      </c>
      <c r="H54" s="60">
        <v>4166.666666666667</v>
      </c>
      <c r="I54" s="60">
        <v>4166.666666666667</v>
      </c>
      <c r="J54" s="60">
        <v>4166.666666666667</v>
      </c>
      <c r="K54" s="60">
        <v>4166.666666666667</v>
      </c>
      <c r="L54" s="60">
        <v>4166.666666666667</v>
      </c>
      <c r="M54" s="60">
        <v>4166.666666666667</v>
      </c>
      <c r="N54" s="60">
        <v>4166.666666666667</v>
      </c>
      <c r="O54" s="60">
        <v>4166.666666666667</v>
      </c>
      <c r="P54" s="60">
        <v>4166.666666666667</v>
      </c>
      <c r="Q54" s="60">
        <v>4166.666666666667</v>
      </c>
      <c r="R54" s="60">
        <v>4166.666666666667</v>
      </c>
      <c r="S54" s="61">
        <f t="shared" si="1"/>
        <v>49999.999999999993</v>
      </c>
      <c r="U54" s="61">
        <f t="shared" si="2"/>
        <v>49999.999999999993</v>
      </c>
    </row>
    <row r="55" spans="1:22" x14ac:dyDescent="0.3">
      <c r="A55" s="16" t="str">
        <f>_xlfn.XLOOKUP(B55,'Reference '!J:J,'Reference '!K:K)</f>
        <v>Valerie Veyt</v>
      </c>
      <c r="B55" s="16" t="s">
        <v>617</v>
      </c>
      <c r="C55" s="16">
        <v>612502</v>
      </c>
      <c r="D55" s="16" t="s">
        <v>572</v>
      </c>
      <c r="E55" s="16" t="s">
        <v>621</v>
      </c>
      <c r="F55" s="16" t="s">
        <v>572</v>
      </c>
      <c r="G55" s="60">
        <v>3333.3333333333335</v>
      </c>
      <c r="H55" s="60">
        <v>3333.3333333333335</v>
      </c>
      <c r="I55" s="60">
        <v>3333.3333333333335</v>
      </c>
      <c r="J55" s="60">
        <v>3333.3333333333335</v>
      </c>
      <c r="K55" s="60">
        <v>3333.3333333333335</v>
      </c>
      <c r="L55" s="60">
        <v>3333.3333333333335</v>
      </c>
      <c r="M55" s="60">
        <v>3333.3333333333335</v>
      </c>
      <c r="N55" s="60">
        <v>3333.3333333333335</v>
      </c>
      <c r="O55" s="60">
        <v>3333.3333333333335</v>
      </c>
      <c r="P55" s="60">
        <v>3333.3333333333335</v>
      </c>
      <c r="Q55" s="60">
        <v>3333.3333333333335</v>
      </c>
      <c r="R55" s="60">
        <v>3333.3333333333335</v>
      </c>
      <c r="S55" s="61">
        <f t="shared" si="1"/>
        <v>40000</v>
      </c>
      <c r="U55" s="61">
        <f t="shared" si="2"/>
        <v>40000</v>
      </c>
    </row>
    <row r="56" spans="1:22" x14ac:dyDescent="0.3">
      <c r="A56" s="16" t="str">
        <f>_xlfn.XLOOKUP(B56,'Reference '!J:J,'Reference '!K:K)</f>
        <v>Valerie Veyt</v>
      </c>
      <c r="B56" s="16" t="s">
        <v>617</v>
      </c>
      <c r="C56" s="16">
        <v>612520</v>
      </c>
      <c r="D56" s="16" t="s">
        <v>572</v>
      </c>
      <c r="E56" s="16" t="s">
        <v>622</v>
      </c>
      <c r="F56" s="16" t="s">
        <v>572</v>
      </c>
      <c r="G56" s="60">
        <v>1666.6666666666667</v>
      </c>
      <c r="H56" s="60">
        <v>1666.6666666666667</v>
      </c>
      <c r="I56" s="60">
        <v>1666.6666666666667</v>
      </c>
      <c r="J56" s="60">
        <v>1666.6666666666667</v>
      </c>
      <c r="K56" s="60">
        <v>1666.6666666666667</v>
      </c>
      <c r="L56" s="60">
        <v>1666.6666666666667</v>
      </c>
      <c r="M56" s="60">
        <v>1666.6666666666667</v>
      </c>
      <c r="N56" s="60">
        <v>1666.6666666666667</v>
      </c>
      <c r="O56" s="60">
        <v>1666.6666666666667</v>
      </c>
      <c r="P56" s="60">
        <v>1666.6666666666667</v>
      </c>
      <c r="Q56" s="60">
        <v>1666.6666666666667</v>
      </c>
      <c r="R56" s="60">
        <v>1666.6666666666667</v>
      </c>
      <c r="S56" s="61">
        <f t="shared" si="1"/>
        <v>20000</v>
      </c>
      <c r="U56" s="61">
        <f t="shared" si="2"/>
        <v>20000</v>
      </c>
    </row>
    <row r="57" spans="1:22" x14ac:dyDescent="0.3">
      <c r="A57" s="16" t="str">
        <f>_xlfn.XLOOKUP(B57,'Reference '!J:J,'Reference '!K:K)</f>
        <v>Valerie Veyt</v>
      </c>
      <c r="B57" s="16" t="s">
        <v>617</v>
      </c>
      <c r="C57" s="16">
        <v>612520</v>
      </c>
      <c r="D57" s="16" t="s">
        <v>572</v>
      </c>
      <c r="E57" s="16" t="s">
        <v>623</v>
      </c>
      <c r="F57" s="16" t="s">
        <v>572</v>
      </c>
      <c r="G57" s="60">
        <v>1333.3333333333333</v>
      </c>
      <c r="H57" s="60">
        <v>1333.3333333333333</v>
      </c>
      <c r="I57" s="60">
        <v>1333.3333333333333</v>
      </c>
      <c r="J57" s="60">
        <v>1333.3333333333333</v>
      </c>
      <c r="K57" s="60">
        <v>1333.3333333333333</v>
      </c>
      <c r="L57" s="60">
        <v>1333.3333333333333</v>
      </c>
      <c r="M57" s="60">
        <v>1333.3333333333333</v>
      </c>
      <c r="N57" s="60">
        <v>1333.3333333333333</v>
      </c>
      <c r="O57" s="60">
        <v>1333.3333333333333</v>
      </c>
      <c r="P57" s="60">
        <v>1333.3333333333333</v>
      </c>
      <c r="Q57" s="60">
        <v>1333.3333333333333</v>
      </c>
      <c r="R57" s="60">
        <v>1333.3333333333333</v>
      </c>
      <c r="S57" s="61">
        <f t="shared" si="1"/>
        <v>16000.000000000002</v>
      </c>
      <c r="U57" s="61">
        <f t="shared" si="2"/>
        <v>16000.000000000002</v>
      </c>
    </row>
    <row r="58" spans="1:22" x14ac:dyDescent="0.3">
      <c r="A58" s="16" t="str">
        <f>_xlfn.XLOOKUP(B58,'Reference '!J:J,'Reference '!K:K)</f>
        <v>Valerie Veyt</v>
      </c>
      <c r="B58" s="16" t="s">
        <v>617</v>
      </c>
      <c r="C58" s="16">
        <v>612520</v>
      </c>
      <c r="D58" s="16" t="s">
        <v>572</v>
      </c>
      <c r="E58" s="16" t="s">
        <v>624</v>
      </c>
      <c r="F58" s="16" t="s">
        <v>572</v>
      </c>
      <c r="G58" s="60">
        <v>416.66666666666669</v>
      </c>
      <c r="H58" s="60">
        <v>416.66666666666669</v>
      </c>
      <c r="I58" s="60">
        <v>416.66666666666669</v>
      </c>
      <c r="J58" s="60">
        <v>416.66666666666669</v>
      </c>
      <c r="K58" s="60">
        <v>416.66666666666669</v>
      </c>
      <c r="L58" s="60">
        <v>416.66666666666669</v>
      </c>
      <c r="M58" s="60">
        <v>416.66666666666669</v>
      </c>
      <c r="N58" s="60">
        <v>416.66666666666669</v>
      </c>
      <c r="O58" s="60">
        <v>416.66666666666669</v>
      </c>
      <c r="P58" s="60">
        <v>416.66666666666669</v>
      </c>
      <c r="Q58" s="60">
        <v>416.66666666666669</v>
      </c>
      <c r="R58" s="60">
        <v>416.66666666666669</v>
      </c>
      <c r="S58" s="61">
        <f t="shared" si="1"/>
        <v>5000</v>
      </c>
      <c r="U58" s="61">
        <f t="shared" si="2"/>
        <v>5000</v>
      </c>
    </row>
    <row r="59" spans="1:22" x14ac:dyDescent="0.3">
      <c r="A59" s="16" t="str">
        <f>_xlfn.XLOOKUP(B59,'Reference '!J:J,'Reference '!K:K)</f>
        <v>Valerie Veyt</v>
      </c>
      <c r="B59" s="16" t="s">
        <v>617</v>
      </c>
      <c r="C59" s="16">
        <v>613003</v>
      </c>
      <c r="D59" s="28" t="s">
        <v>572</v>
      </c>
      <c r="E59" s="16" t="s">
        <v>625</v>
      </c>
      <c r="F59" s="16" t="s">
        <v>626</v>
      </c>
      <c r="G59" s="60">
        <v>193750</v>
      </c>
      <c r="H59" s="60">
        <v>193750</v>
      </c>
      <c r="I59" s="60">
        <v>193750</v>
      </c>
      <c r="J59" s="60">
        <v>193750</v>
      </c>
      <c r="K59" s="60">
        <v>193750</v>
      </c>
      <c r="L59" s="60">
        <v>193750</v>
      </c>
      <c r="M59" s="60">
        <v>193750</v>
      </c>
      <c r="N59" s="60">
        <v>193750</v>
      </c>
      <c r="O59" s="60">
        <v>193750</v>
      </c>
      <c r="P59" s="60">
        <v>193750</v>
      </c>
      <c r="Q59" s="60">
        <v>193750</v>
      </c>
      <c r="R59" s="60">
        <v>193750</v>
      </c>
      <c r="S59" s="61">
        <f t="shared" si="1"/>
        <v>2325000</v>
      </c>
      <c r="U59" s="61">
        <f t="shared" si="2"/>
        <v>2325000</v>
      </c>
    </row>
    <row r="60" spans="1:22" x14ac:dyDescent="0.3">
      <c r="A60" s="16" t="str">
        <f>_xlfn.XLOOKUP(B60,'Reference '!J:J,'Reference '!K:K)</f>
        <v>Valerie Veyt</v>
      </c>
      <c r="B60" s="16" t="s">
        <v>617</v>
      </c>
      <c r="C60" s="16">
        <v>613003</v>
      </c>
      <c r="D60" s="16" t="s">
        <v>572</v>
      </c>
      <c r="E60" s="16" t="s">
        <v>627</v>
      </c>
      <c r="F60" s="16" t="s">
        <v>572</v>
      </c>
      <c r="G60" s="60">
        <v>4166.666666666667</v>
      </c>
      <c r="H60" s="60">
        <v>4166.666666666667</v>
      </c>
      <c r="I60" s="60">
        <v>4166.666666666667</v>
      </c>
      <c r="J60" s="60">
        <v>4166.666666666667</v>
      </c>
      <c r="K60" s="60">
        <v>4166.666666666667</v>
      </c>
      <c r="L60" s="60">
        <v>4166.666666666667</v>
      </c>
      <c r="M60" s="60">
        <v>4166.666666666667</v>
      </c>
      <c r="N60" s="60">
        <v>4166.666666666667</v>
      </c>
      <c r="O60" s="60">
        <v>4166.666666666667</v>
      </c>
      <c r="P60" s="60">
        <v>4166.666666666667</v>
      </c>
      <c r="Q60" s="60">
        <v>4166.666666666667</v>
      </c>
      <c r="R60" s="60">
        <v>4166.666666666667</v>
      </c>
      <c r="S60" s="61">
        <f t="shared" ref="S60:S113" si="3">SUM(G60:R60)</f>
        <v>49999.999999999993</v>
      </c>
      <c r="U60" s="61">
        <f t="shared" si="2"/>
        <v>49999.999999999993</v>
      </c>
    </row>
    <row r="61" spans="1:22" x14ac:dyDescent="0.3">
      <c r="A61" s="16" t="str">
        <f>_xlfn.XLOOKUP(B61,'Reference '!J:J,'Reference '!K:K)</f>
        <v>Valerie Veyt</v>
      </c>
      <c r="B61" s="16" t="s">
        <v>617</v>
      </c>
      <c r="C61" s="16">
        <v>613003</v>
      </c>
      <c r="D61" s="16" t="s">
        <v>572</v>
      </c>
      <c r="E61" s="16" t="s">
        <v>628</v>
      </c>
      <c r="F61" s="16" t="s">
        <v>572</v>
      </c>
      <c r="G61" s="60">
        <v>16666.666666666668</v>
      </c>
      <c r="H61" s="60">
        <v>16666.666666666668</v>
      </c>
      <c r="I61" s="60">
        <v>16666.666666666668</v>
      </c>
      <c r="J61" s="60">
        <v>16666.666666666668</v>
      </c>
      <c r="K61" s="60">
        <v>16666.666666666668</v>
      </c>
      <c r="L61" s="60">
        <v>16666.666666666668</v>
      </c>
      <c r="M61" s="60">
        <v>16666.666666666668</v>
      </c>
      <c r="N61" s="60">
        <v>16666.666666666668</v>
      </c>
      <c r="O61" s="60">
        <v>16666.666666666668</v>
      </c>
      <c r="P61" s="60">
        <v>16666.666666666668</v>
      </c>
      <c r="Q61" s="60">
        <v>16666.666666666668</v>
      </c>
      <c r="R61" s="60">
        <v>16666.666666666668</v>
      </c>
      <c r="S61" s="61">
        <f t="shared" si="3"/>
        <v>199999.99999999997</v>
      </c>
      <c r="T61" s="46">
        <f>'4.2 Simplify Savings'!AB58</f>
        <v>-10000</v>
      </c>
      <c r="U61" s="61">
        <f t="shared" si="2"/>
        <v>189999.99999999997</v>
      </c>
    </row>
    <row r="62" spans="1:22" x14ac:dyDescent="0.3">
      <c r="A62" s="16" t="str">
        <f>_xlfn.XLOOKUP(B62,'Reference '!J:J,'Reference '!K:K)</f>
        <v>Valerie Veyt</v>
      </c>
      <c r="B62" s="16" t="s">
        <v>617</v>
      </c>
      <c r="C62" s="16">
        <v>613003</v>
      </c>
      <c r="D62" s="16" t="s">
        <v>572</v>
      </c>
      <c r="E62" s="16" t="s">
        <v>629</v>
      </c>
      <c r="F62" s="16" t="s">
        <v>572</v>
      </c>
      <c r="G62" s="60">
        <v>4166.666666666667</v>
      </c>
      <c r="H62" s="60">
        <v>4166.666666666667</v>
      </c>
      <c r="I62" s="60">
        <v>4166.666666666667</v>
      </c>
      <c r="J62" s="60">
        <v>4166.666666666667</v>
      </c>
      <c r="K62" s="60">
        <v>4166.666666666667</v>
      </c>
      <c r="L62" s="60">
        <v>4166.666666666667</v>
      </c>
      <c r="M62" s="60">
        <v>4166.666666666667</v>
      </c>
      <c r="N62" s="60">
        <v>4166.666666666667</v>
      </c>
      <c r="O62" s="60">
        <v>4166.666666666667</v>
      </c>
      <c r="P62" s="60">
        <v>4166.666666666667</v>
      </c>
      <c r="Q62" s="60">
        <v>4166.666666666667</v>
      </c>
      <c r="R62" s="60">
        <v>4166.666666666667</v>
      </c>
      <c r="S62" s="61">
        <f t="shared" si="3"/>
        <v>49999.999999999993</v>
      </c>
      <c r="U62" s="61">
        <f t="shared" si="2"/>
        <v>49999.999999999993</v>
      </c>
    </row>
    <row r="63" spans="1:22" x14ac:dyDescent="0.3">
      <c r="A63" s="16" t="str">
        <f>_xlfn.XLOOKUP(B63,'Reference '!J:J,'Reference '!K:K)</f>
        <v>Valerie Veyt</v>
      </c>
      <c r="B63" s="16" t="s">
        <v>617</v>
      </c>
      <c r="C63" s="16">
        <v>613003</v>
      </c>
      <c r="D63" s="16" t="s">
        <v>572</v>
      </c>
      <c r="E63" s="16" t="s">
        <v>630</v>
      </c>
      <c r="F63" s="16" t="s">
        <v>572</v>
      </c>
      <c r="G63" s="60">
        <v>2500</v>
      </c>
      <c r="H63" s="60">
        <v>2500</v>
      </c>
      <c r="I63" s="60">
        <v>2500</v>
      </c>
      <c r="J63" s="60">
        <v>2500</v>
      </c>
      <c r="K63" s="60">
        <v>2500</v>
      </c>
      <c r="L63" s="60">
        <v>2500</v>
      </c>
      <c r="M63" s="60">
        <v>2500</v>
      </c>
      <c r="N63" s="60">
        <v>2500</v>
      </c>
      <c r="O63" s="60">
        <v>2500</v>
      </c>
      <c r="P63" s="60">
        <v>2500</v>
      </c>
      <c r="Q63" s="60">
        <v>2500</v>
      </c>
      <c r="R63" s="60">
        <v>2500</v>
      </c>
      <c r="S63" s="61">
        <f t="shared" si="3"/>
        <v>30000</v>
      </c>
      <c r="U63" s="61">
        <f t="shared" si="2"/>
        <v>30000</v>
      </c>
    </row>
    <row r="64" spans="1:22" x14ac:dyDescent="0.3">
      <c r="A64" s="16" t="str">
        <f>_xlfn.XLOOKUP(B64,'Reference '!J:J,'Reference '!K:K)</f>
        <v>Valerie Veyt</v>
      </c>
      <c r="B64" s="16" t="s">
        <v>617</v>
      </c>
      <c r="C64" s="16">
        <v>613003</v>
      </c>
      <c r="D64" s="16" t="s">
        <v>572</v>
      </c>
      <c r="E64" s="16" t="s">
        <v>631</v>
      </c>
      <c r="F64" s="16" t="s">
        <v>572</v>
      </c>
      <c r="G64" s="60">
        <v>10000</v>
      </c>
      <c r="H64" s="60">
        <v>10000</v>
      </c>
      <c r="I64" s="60">
        <v>10000</v>
      </c>
      <c r="J64" s="60">
        <v>10000</v>
      </c>
      <c r="K64" s="60">
        <v>10000</v>
      </c>
      <c r="L64" s="60">
        <v>10000</v>
      </c>
      <c r="M64" s="60">
        <v>10000</v>
      </c>
      <c r="N64" s="60">
        <v>10000</v>
      </c>
      <c r="O64" s="60">
        <v>10000</v>
      </c>
      <c r="P64" s="60">
        <v>10000</v>
      </c>
      <c r="Q64" s="60">
        <v>10000</v>
      </c>
      <c r="R64" s="60">
        <v>10000</v>
      </c>
      <c r="S64" s="61">
        <f t="shared" si="3"/>
        <v>120000</v>
      </c>
      <c r="U64" s="61">
        <f t="shared" si="2"/>
        <v>120000</v>
      </c>
    </row>
    <row r="65" spans="1:22" x14ac:dyDescent="0.3">
      <c r="A65" s="16" t="str">
        <f>_xlfn.XLOOKUP(B65,'Reference '!J:J,'Reference '!K:K)</f>
        <v>Valerie Veyt</v>
      </c>
      <c r="B65" s="16" t="s">
        <v>617</v>
      </c>
      <c r="C65" s="16">
        <v>613003</v>
      </c>
      <c r="D65" s="16" t="s">
        <v>572</v>
      </c>
      <c r="E65" s="16" t="s">
        <v>632</v>
      </c>
      <c r="F65" s="16" t="s">
        <v>572</v>
      </c>
      <c r="G65" s="60">
        <v>4583.333333333333</v>
      </c>
      <c r="H65" s="60">
        <v>4583.333333333333</v>
      </c>
      <c r="I65" s="60">
        <v>4583.333333333333</v>
      </c>
      <c r="J65" s="60">
        <v>4583.333333333333</v>
      </c>
      <c r="K65" s="60">
        <v>4583.333333333333</v>
      </c>
      <c r="L65" s="60">
        <v>4583.333333333333</v>
      </c>
      <c r="M65" s="60">
        <v>4583.333333333333</v>
      </c>
      <c r="N65" s="60">
        <v>4583.333333333333</v>
      </c>
      <c r="O65" s="60">
        <v>4583.333333333333</v>
      </c>
      <c r="P65" s="60">
        <v>4583.333333333333</v>
      </c>
      <c r="Q65" s="60">
        <v>4583.333333333333</v>
      </c>
      <c r="R65" s="60">
        <v>4583.333333333333</v>
      </c>
      <c r="S65" s="61">
        <f t="shared" si="3"/>
        <v>55000.000000000007</v>
      </c>
      <c r="U65" s="61">
        <f t="shared" si="2"/>
        <v>55000.000000000007</v>
      </c>
    </row>
    <row r="66" spans="1:22" x14ac:dyDescent="0.3">
      <c r="A66" s="16" t="str">
        <f>_xlfn.XLOOKUP(B66,'Reference '!J:J,'Reference '!K:K)</f>
        <v>Valerie Veyt</v>
      </c>
      <c r="B66" s="16" t="s">
        <v>617</v>
      </c>
      <c r="C66" s="16">
        <v>613003</v>
      </c>
      <c r="D66" s="16" t="s">
        <v>572</v>
      </c>
      <c r="E66" s="16" t="s">
        <v>633</v>
      </c>
      <c r="F66" s="16" t="s">
        <v>572</v>
      </c>
      <c r="G66" s="60">
        <v>12500</v>
      </c>
      <c r="H66" s="60">
        <v>12500</v>
      </c>
      <c r="I66" s="60">
        <v>12500</v>
      </c>
      <c r="J66" s="60">
        <v>12500</v>
      </c>
      <c r="K66" s="60">
        <v>12500</v>
      </c>
      <c r="L66" s="60">
        <v>12500</v>
      </c>
      <c r="M66" s="60">
        <v>12500</v>
      </c>
      <c r="N66" s="60">
        <v>12500</v>
      </c>
      <c r="O66" s="60">
        <v>12500</v>
      </c>
      <c r="P66" s="60">
        <v>12500</v>
      </c>
      <c r="Q66" s="60">
        <v>12500</v>
      </c>
      <c r="R66" s="60">
        <v>12500</v>
      </c>
      <c r="S66" s="61">
        <f t="shared" si="3"/>
        <v>150000</v>
      </c>
      <c r="U66" s="61">
        <f t="shared" si="2"/>
        <v>150000</v>
      </c>
    </row>
    <row r="67" spans="1:22" x14ac:dyDescent="0.3">
      <c r="A67" s="16" t="str">
        <f>_xlfn.XLOOKUP(B67,'Reference '!J:J,'Reference '!K:K)</f>
        <v>Valerie Veyt</v>
      </c>
      <c r="B67" s="16" t="s">
        <v>617</v>
      </c>
      <c r="C67" s="16">
        <v>613003</v>
      </c>
      <c r="D67" s="16" t="s">
        <v>572</v>
      </c>
      <c r="E67" s="16" t="s">
        <v>634</v>
      </c>
      <c r="F67" s="16" t="s">
        <v>572</v>
      </c>
      <c r="G67" s="60">
        <v>1666.6666666666667</v>
      </c>
      <c r="H67" s="60">
        <v>1666.6666666666667</v>
      </c>
      <c r="I67" s="60">
        <v>1666.6666666666667</v>
      </c>
      <c r="J67" s="60">
        <v>1666.6666666666667</v>
      </c>
      <c r="K67" s="60">
        <v>1666.6666666666667</v>
      </c>
      <c r="L67" s="60">
        <v>1666.6666666666667</v>
      </c>
      <c r="M67" s="60">
        <v>1666.6666666666667</v>
      </c>
      <c r="N67" s="60">
        <v>1666.6666666666667</v>
      </c>
      <c r="O67" s="60">
        <v>1666.6666666666667</v>
      </c>
      <c r="P67" s="60">
        <v>1666.6666666666667</v>
      </c>
      <c r="Q67" s="60">
        <v>1666.6666666666667</v>
      </c>
      <c r="R67" s="60">
        <v>1666.6666666666667</v>
      </c>
      <c r="S67" s="61">
        <f t="shared" si="3"/>
        <v>20000</v>
      </c>
      <c r="U67" s="61">
        <f t="shared" ref="U67:U98" si="4">SUM(S67:T67)</f>
        <v>20000</v>
      </c>
    </row>
    <row r="68" spans="1:22" x14ac:dyDescent="0.3">
      <c r="A68" s="16" t="str">
        <f>_xlfn.XLOOKUP(B68,'Reference '!J:J,'Reference '!K:K)</f>
        <v>Valerie Veyt</v>
      </c>
      <c r="B68" s="16" t="s">
        <v>617</v>
      </c>
      <c r="C68" s="16">
        <v>613003</v>
      </c>
      <c r="D68" s="16" t="s">
        <v>572</v>
      </c>
      <c r="E68" s="16" t="s">
        <v>635</v>
      </c>
      <c r="F68" s="16" t="s">
        <v>572</v>
      </c>
      <c r="G68" s="60">
        <v>41666.666666666664</v>
      </c>
      <c r="H68" s="60">
        <v>41666.666666666664</v>
      </c>
      <c r="I68" s="60">
        <v>41666.666666666664</v>
      </c>
      <c r="J68" s="60">
        <v>41666.666666666664</v>
      </c>
      <c r="K68" s="60">
        <v>41666.666666666664</v>
      </c>
      <c r="L68" s="60">
        <v>41666.666666666664</v>
      </c>
      <c r="M68" s="60">
        <v>41666.666666666664</v>
      </c>
      <c r="N68" s="60">
        <v>41666.666666666664</v>
      </c>
      <c r="O68" s="60">
        <v>41666.666666666664</v>
      </c>
      <c r="P68" s="60">
        <v>41666.666666666664</v>
      </c>
      <c r="Q68" s="60">
        <v>41666.666666666664</v>
      </c>
      <c r="R68" s="60">
        <v>41666.666666666664</v>
      </c>
      <c r="S68" s="61">
        <f t="shared" si="3"/>
        <v>500000.00000000006</v>
      </c>
      <c r="U68" s="61">
        <f t="shared" si="4"/>
        <v>500000.00000000006</v>
      </c>
    </row>
    <row r="69" spans="1:22" x14ac:dyDescent="0.3">
      <c r="A69" s="16" t="str">
        <f>_xlfn.XLOOKUP(B69,'Reference '!J:J,'Reference '!K:K)</f>
        <v>Valerie Veyt</v>
      </c>
      <c r="B69" s="16" t="s">
        <v>617</v>
      </c>
      <c r="C69" s="16">
        <v>613003</v>
      </c>
      <c r="D69" s="16" t="s">
        <v>572</v>
      </c>
      <c r="E69" s="16" t="s">
        <v>636</v>
      </c>
      <c r="F69" s="16" t="s">
        <v>572</v>
      </c>
      <c r="G69" s="60">
        <v>25000</v>
      </c>
      <c r="H69" s="60">
        <v>25000</v>
      </c>
      <c r="I69" s="60">
        <v>25000</v>
      </c>
      <c r="J69" s="60">
        <v>25000</v>
      </c>
      <c r="K69" s="60">
        <v>25000</v>
      </c>
      <c r="L69" s="60">
        <v>25000</v>
      </c>
      <c r="M69" s="60">
        <v>25000</v>
      </c>
      <c r="N69" s="60">
        <v>25000</v>
      </c>
      <c r="O69" s="60">
        <v>25000</v>
      </c>
      <c r="P69" s="60">
        <v>25000</v>
      </c>
      <c r="Q69" s="60">
        <v>25000</v>
      </c>
      <c r="R69" s="60">
        <v>25000</v>
      </c>
      <c r="S69" s="61">
        <f t="shared" si="3"/>
        <v>300000</v>
      </c>
      <c r="U69" s="61">
        <f t="shared" si="4"/>
        <v>300000</v>
      </c>
    </row>
    <row r="70" spans="1:22" x14ac:dyDescent="0.3">
      <c r="A70" s="16" t="str">
        <f>_xlfn.XLOOKUP(B70,'Reference '!J:J,'Reference '!K:K)</f>
        <v>Valerie Veyt</v>
      </c>
      <c r="B70" s="16" t="s">
        <v>617</v>
      </c>
      <c r="C70" s="16">
        <v>613003</v>
      </c>
      <c r="D70" s="16" t="s">
        <v>572</v>
      </c>
      <c r="E70" s="16" t="s">
        <v>637</v>
      </c>
      <c r="F70" s="16" t="s">
        <v>572</v>
      </c>
      <c r="G70" s="60">
        <v>5750</v>
      </c>
      <c r="H70" s="60">
        <v>5750</v>
      </c>
      <c r="I70" s="60">
        <v>5750</v>
      </c>
      <c r="J70" s="60">
        <v>5750</v>
      </c>
      <c r="K70" s="60">
        <v>5750</v>
      </c>
      <c r="L70" s="60">
        <v>5750</v>
      </c>
      <c r="M70" s="60">
        <v>5750</v>
      </c>
      <c r="N70" s="60">
        <v>5750</v>
      </c>
      <c r="O70" s="60">
        <v>5750</v>
      </c>
      <c r="P70" s="60">
        <v>5750</v>
      </c>
      <c r="Q70" s="60">
        <v>5750</v>
      </c>
      <c r="R70" s="60">
        <v>5750</v>
      </c>
      <c r="S70" s="61">
        <f t="shared" si="3"/>
        <v>69000</v>
      </c>
      <c r="U70" s="61">
        <f t="shared" si="4"/>
        <v>69000</v>
      </c>
    </row>
    <row r="71" spans="1:22" x14ac:dyDescent="0.3">
      <c r="A71" s="16" t="str">
        <f>_xlfn.XLOOKUP(B71,'Reference '!J:J,'Reference '!K:K)</f>
        <v>Valerie Veyt</v>
      </c>
      <c r="B71" s="16" t="s">
        <v>617</v>
      </c>
      <c r="C71" s="16">
        <v>613025</v>
      </c>
      <c r="D71" s="16" t="s">
        <v>572</v>
      </c>
      <c r="E71" s="16" t="s">
        <v>638</v>
      </c>
      <c r="F71" s="16" t="s">
        <v>572</v>
      </c>
      <c r="G71" s="60">
        <v>13666.666666666666</v>
      </c>
      <c r="H71" s="60">
        <v>13666.666666666666</v>
      </c>
      <c r="I71" s="60">
        <v>13666.666666666666</v>
      </c>
      <c r="J71" s="60">
        <v>13666.666666666666</v>
      </c>
      <c r="K71" s="60">
        <v>13666.666666666666</v>
      </c>
      <c r="L71" s="60">
        <v>13666.666666666666</v>
      </c>
      <c r="M71" s="60">
        <v>13666.666666666666</v>
      </c>
      <c r="N71" s="60">
        <v>13666.666666666666</v>
      </c>
      <c r="O71" s="60">
        <v>13666.666666666666</v>
      </c>
      <c r="P71" s="60">
        <v>13666.666666666666</v>
      </c>
      <c r="Q71" s="60">
        <v>13666.666666666666</v>
      </c>
      <c r="R71" s="60">
        <v>13666.666666666666</v>
      </c>
      <c r="S71" s="61">
        <f t="shared" si="3"/>
        <v>164000</v>
      </c>
      <c r="U71" s="61">
        <f t="shared" si="4"/>
        <v>164000</v>
      </c>
      <c r="V71" s="16" t="s">
        <v>1158</v>
      </c>
    </row>
    <row r="72" spans="1:22" x14ac:dyDescent="0.3">
      <c r="A72" s="16" t="str">
        <f>_xlfn.XLOOKUP(B72,'Reference '!J:J,'Reference '!K:K)</f>
        <v>Valerie Veyt</v>
      </c>
      <c r="B72" s="16" t="s">
        <v>617</v>
      </c>
      <c r="C72" s="16">
        <v>613025</v>
      </c>
      <c r="D72" s="16" t="s">
        <v>572</v>
      </c>
      <c r="E72" s="16" t="s">
        <v>639</v>
      </c>
      <c r="F72" s="16" t="s">
        <v>572</v>
      </c>
      <c r="G72" s="60">
        <v>15000</v>
      </c>
      <c r="H72" s="60">
        <v>15000</v>
      </c>
      <c r="I72" s="60">
        <v>15000</v>
      </c>
      <c r="J72" s="60">
        <v>15000</v>
      </c>
      <c r="K72" s="60">
        <v>15000</v>
      </c>
      <c r="L72" s="60">
        <v>15000</v>
      </c>
      <c r="M72" s="60">
        <v>15000</v>
      </c>
      <c r="N72" s="60">
        <v>15000</v>
      </c>
      <c r="O72" s="60">
        <v>15000</v>
      </c>
      <c r="P72" s="60">
        <v>15000</v>
      </c>
      <c r="Q72" s="60">
        <v>15000</v>
      </c>
      <c r="R72" s="60">
        <v>15000</v>
      </c>
      <c r="S72" s="61">
        <f t="shared" si="3"/>
        <v>180000</v>
      </c>
      <c r="U72" s="61">
        <f t="shared" si="4"/>
        <v>180000</v>
      </c>
      <c r="V72" s="16" t="s">
        <v>1158</v>
      </c>
    </row>
    <row r="73" spans="1:22" x14ac:dyDescent="0.3">
      <c r="A73" s="16" t="str">
        <f>_xlfn.XLOOKUP(B73,'Reference '!J:J,'Reference '!K:K)</f>
        <v>Valerie Veyt</v>
      </c>
      <c r="B73" s="16" t="s">
        <v>617</v>
      </c>
      <c r="C73" s="16">
        <v>613003</v>
      </c>
      <c r="D73" s="16" t="s">
        <v>572</v>
      </c>
      <c r="E73" s="16" t="s">
        <v>640</v>
      </c>
      <c r="F73" s="16" t="s">
        <v>572</v>
      </c>
      <c r="G73" s="60">
        <v>15000</v>
      </c>
      <c r="H73" s="60">
        <v>15000</v>
      </c>
      <c r="I73" s="60">
        <v>15000</v>
      </c>
      <c r="J73" s="60">
        <v>15000</v>
      </c>
      <c r="K73" s="60">
        <v>15000</v>
      </c>
      <c r="L73" s="60">
        <v>15000</v>
      </c>
      <c r="M73" s="60">
        <v>15000</v>
      </c>
      <c r="N73" s="60">
        <v>15000</v>
      </c>
      <c r="O73" s="60">
        <v>15000</v>
      </c>
      <c r="P73" s="60">
        <v>15000</v>
      </c>
      <c r="Q73" s="60">
        <v>15000</v>
      </c>
      <c r="R73" s="60">
        <v>15000</v>
      </c>
      <c r="S73" s="61">
        <f t="shared" si="3"/>
        <v>180000</v>
      </c>
      <c r="U73" s="61">
        <f t="shared" si="4"/>
        <v>180000</v>
      </c>
    </row>
    <row r="74" spans="1:22" x14ac:dyDescent="0.3">
      <c r="A74" s="16" t="str">
        <f>_xlfn.XLOOKUP(B74,'Reference '!J:J,'Reference '!K:K)</f>
        <v>Valerie Veyt</v>
      </c>
      <c r="B74" s="16" t="s">
        <v>617</v>
      </c>
      <c r="C74" s="16">
        <v>603300</v>
      </c>
      <c r="D74" s="16" t="s">
        <v>572</v>
      </c>
      <c r="E74" s="16" t="s">
        <v>618</v>
      </c>
      <c r="F74" s="16" t="s">
        <v>572</v>
      </c>
      <c r="G74" s="60">
        <v>25000</v>
      </c>
      <c r="H74" s="60">
        <v>25000</v>
      </c>
      <c r="I74" s="60">
        <v>25000</v>
      </c>
      <c r="J74" s="60">
        <v>25000</v>
      </c>
      <c r="K74" s="60">
        <v>25000</v>
      </c>
      <c r="L74" s="60">
        <v>25000</v>
      </c>
      <c r="M74" s="60">
        <v>25000</v>
      </c>
      <c r="N74" s="60">
        <v>25000</v>
      </c>
      <c r="O74" s="60">
        <v>25000</v>
      </c>
      <c r="P74" s="60">
        <v>25000</v>
      </c>
      <c r="Q74" s="60">
        <v>25000</v>
      </c>
      <c r="R74" s="60">
        <v>25000</v>
      </c>
      <c r="S74" s="61">
        <f t="shared" si="3"/>
        <v>300000</v>
      </c>
      <c r="U74" s="61">
        <f t="shared" si="4"/>
        <v>300000</v>
      </c>
    </row>
    <row r="75" spans="1:22" x14ac:dyDescent="0.3">
      <c r="A75" s="16" t="str">
        <f>_xlfn.XLOOKUP(B75,'Reference '!J:J,'Reference '!K:K)</f>
        <v>Valerie Veyt</v>
      </c>
      <c r="B75" s="16" t="s">
        <v>617</v>
      </c>
      <c r="C75" s="16">
        <v>613003</v>
      </c>
      <c r="D75" s="16" t="s">
        <v>572</v>
      </c>
      <c r="E75" s="16" t="s">
        <v>641</v>
      </c>
      <c r="F75" s="16" t="s">
        <v>572</v>
      </c>
      <c r="G75" s="60">
        <v>833.33333333333337</v>
      </c>
      <c r="H75" s="60">
        <v>833.33333333333337</v>
      </c>
      <c r="I75" s="60">
        <v>833.33333333333337</v>
      </c>
      <c r="J75" s="60">
        <v>833.33333333333337</v>
      </c>
      <c r="K75" s="60">
        <v>833.33333333333337</v>
      </c>
      <c r="L75" s="60">
        <v>833.33333333333337</v>
      </c>
      <c r="M75" s="60">
        <v>833.33333333333337</v>
      </c>
      <c r="N75" s="60">
        <v>833.33333333333337</v>
      </c>
      <c r="O75" s="60">
        <v>833.33333333333337</v>
      </c>
      <c r="P75" s="60">
        <v>833.33333333333337</v>
      </c>
      <c r="Q75" s="60">
        <v>833.33333333333337</v>
      </c>
      <c r="R75" s="60">
        <v>833.33333333333337</v>
      </c>
      <c r="S75" s="61">
        <f t="shared" si="3"/>
        <v>10000</v>
      </c>
      <c r="U75" s="61">
        <f t="shared" si="4"/>
        <v>10000</v>
      </c>
    </row>
    <row r="76" spans="1:22" x14ac:dyDescent="0.3">
      <c r="A76" s="16" t="str">
        <f>_xlfn.XLOOKUP(B76,'Reference '!J:J,'Reference '!K:K)</f>
        <v>Valerie Veyt</v>
      </c>
      <c r="B76" s="16" t="s">
        <v>617</v>
      </c>
      <c r="C76" s="16">
        <v>612502</v>
      </c>
      <c r="D76" s="16" t="s">
        <v>572</v>
      </c>
      <c r="E76" s="16" t="s">
        <v>642</v>
      </c>
      <c r="F76" s="16" t="s">
        <v>572</v>
      </c>
      <c r="G76" s="60">
        <v>8333.3333333333339</v>
      </c>
      <c r="H76" s="60">
        <v>8333.3333333333339</v>
      </c>
      <c r="I76" s="60">
        <v>8333.3333333333339</v>
      </c>
      <c r="J76" s="60">
        <v>8333.3333333333339</v>
      </c>
      <c r="K76" s="60">
        <v>8333.3333333333339</v>
      </c>
      <c r="L76" s="60">
        <v>8333.3333333333339</v>
      </c>
      <c r="M76" s="60">
        <v>8333.3333333333339</v>
      </c>
      <c r="N76" s="60">
        <v>8333.3333333333339</v>
      </c>
      <c r="O76" s="60">
        <v>8333.3333333333339</v>
      </c>
      <c r="P76" s="60">
        <v>8333.3333333333339</v>
      </c>
      <c r="Q76" s="60">
        <v>8333.3333333333339</v>
      </c>
      <c r="R76" s="60">
        <v>8333.3333333333339</v>
      </c>
      <c r="S76" s="61">
        <f t="shared" si="3"/>
        <v>99999.999999999985</v>
      </c>
      <c r="T76" s="46">
        <f>'4.2 Simplify Savings'!AB59</f>
        <v>-99999.999999999985</v>
      </c>
      <c r="U76" s="61">
        <f t="shared" si="4"/>
        <v>0</v>
      </c>
    </row>
    <row r="77" spans="1:22" x14ac:dyDescent="0.3">
      <c r="A77" s="16" t="str">
        <f>_xlfn.XLOOKUP(B77,'Reference '!J:J,'Reference '!K:K)</f>
        <v>Valerie Veyt</v>
      </c>
      <c r="B77" s="16" t="s">
        <v>617</v>
      </c>
      <c r="C77" s="16">
        <v>613003</v>
      </c>
      <c r="D77" s="16" t="s">
        <v>572</v>
      </c>
      <c r="E77" s="16" t="s">
        <v>643</v>
      </c>
      <c r="F77" s="16" t="s">
        <v>572</v>
      </c>
      <c r="G77" s="60">
        <v>4583.333333333333</v>
      </c>
      <c r="H77" s="60">
        <v>4583.333333333333</v>
      </c>
      <c r="I77" s="60">
        <v>4583.333333333333</v>
      </c>
      <c r="J77" s="60">
        <v>4583.333333333333</v>
      </c>
      <c r="K77" s="60">
        <v>4583.333333333333</v>
      </c>
      <c r="L77" s="60">
        <v>4583.333333333333</v>
      </c>
      <c r="M77" s="60">
        <v>4583.333333333333</v>
      </c>
      <c r="N77" s="60">
        <v>4583.333333333333</v>
      </c>
      <c r="O77" s="60">
        <v>4583.333333333333</v>
      </c>
      <c r="P77" s="60">
        <v>4583.333333333333</v>
      </c>
      <c r="Q77" s="60">
        <v>4583.333333333333</v>
      </c>
      <c r="R77" s="60">
        <v>4583.333333333333</v>
      </c>
      <c r="S77" s="61">
        <f t="shared" si="3"/>
        <v>55000.000000000007</v>
      </c>
      <c r="T77" s="46">
        <f>'4.2 Simplify Savings'!AB60</f>
        <v>-55000.000000000007</v>
      </c>
      <c r="U77" s="61">
        <f t="shared" si="4"/>
        <v>0</v>
      </c>
    </row>
    <row r="78" spans="1:22" x14ac:dyDescent="0.3">
      <c r="A78" s="16" t="str">
        <f>_xlfn.XLOOKUP(B78,'Reference '!J:J,'Reference '!K:K)</f>
        <v>Mael Delmas</v>
      </c>
      <c r="B78" s="16" t="s">
        <v>644</v>
      </c>
      <c r="C78" s="16">
        <v>612520</v>
      </c>
      <c r="D78" s="16" t="s">
        <v>645</v>
      </c>
      <c r="E78" s="16" t="s">
        <v>294</v>
      </c>
      <c r="F78" s="16" t="s">
        <v>572</v>
      </c>
      <c r="G78" s="60">
        <v>41535.573199999999</v>
      </c>
      <c r="H78" s="60">
        <v>41535.573199999999</v>
      </c>
      <c r="I78" s="60">
        <v>41535.573199999999</v>
      </c>
      <c r="J78" s="60">
        <v>41535.573199999999</v>
      </c>
      <c r="K78" s="60">
        <v>41535.573199999999</v>
      </c>
      <c r="L78" s="60">
        <v>41535.573199999999</v>
      </c>
      <c r="M78" s="60">
        <v>41535.573199999999</v>
      </c>
      <c r="N78" s="60">
        <v>41535.573199999999</v>
      </c>
      <c r="O78" s="60">
        <v>41535.573199999999</v>
      </c>
      <c r="P78" s="60">
        <v>41535.573199999999</v>
      </c>
      <c r="Q78" s="60">
        <v>41535.573199999999</v>
      </c>
      <c r="R78" s="60">
        <v>41535.573199999999</v>
      </c>
      <c r="S78" s="61">
        <f t="shared" si="3"/>
        <v>498426.87839999987</v>
      </c>
      <c r="U78" s="61">
        <f t="shared" si="4"/>
        <v>498426.87839999987</v>
      </c>
    </row>
    <row r="79" spans="1:22" x14ac:dyDescent="0.3">
      <c r="A79" s="16" t="str">
        <f>_xlfn.XLOOKUP(B79,'Reference '!J:J,'Reference '!K:K)</f>
        <v>Mael Delmas</v>
      </c>
      <c r="B79" s="16" t="s">
        <v>644</v>
      </c>
      <c r="C79" s="16">
        <v>612520</v>
      </c>
      <c r="D79" s="16" t="s">
        <v>645</v>
      </c>
      <c r="E79" s="16" t="s">
        <v>288</v>
      </c>
      <c r="F79" s="16" t="s">
        <v>572</v>
      </c>
      <c r="G79" s="60">
        <v>19128.224499999997</v>
      </c>
      <c r="H79" s="60">
        <v>19128.224499999997</v>
      </c>
      <c r="I79" s="60">
        <v>19128.224499999997</v>
      </c>
      <c r="J79" s="60">
        <v>19128.224499999997</v>
      </c>
      <c r="K79" s="60">
        <v>19128.224499999997</v>
      </c>
      <c r="L79" s="60">
        <v>19128.224499999997</v>
      </c>
      <c r="M79" s="60">
        <v>19128.224499999997</v>
      </c>
      <c r="N79" s="60">
        <v>19128.224499999997</v>
      </c>
      <c r="O79" s="60">
        <v>19128.224499999997</v>
      </c>
      <c r="P79" s="60">
        <v>19128.224499999997</v>
      </c>
      <c r="Q79" s="60">
        <v>19128.224499999997</v>
      </c>
      <c r="R79" s="60">
        <v>19128.224499999997</v>
      </c>
      <c r="S79" s="61">
        <f t="shared" si="3"/>
        <v>229538.69400000002</v>
      </c>
      <c r="U79" s="61">
        <f t="shared" si="4"/>
        <v>229538.69400000002</v>
      </c>
    </row>
    <row r="80" spans="1:22" x14ac:dyDescent="0.3">
      <c r="A80" s="16" t="str">
        <f>_xlfn.XLOOKUP(B80,'Reference '!J:J,'Reference '!K:K)</f>
        <v>Mael Delmas</v>
      </c>
      <c r="B80" s="16" t="s">
        <v>644</v>
      </c>
      <c r="C80" s="16">
        <v>612520</v>
      </c>
      <c r="D80" s="16" t="s">
        <v>645</v>
      </c>
      <c r="E80" s="16" t="s">
        <v>289</v>
      </c>
      <c r="F80" s="16" t="s">
        <v>572</v>
      </c>
      <c r="G80" s="60">
        <v>12979.866624999999</v>
      </c>
      <c r="H80" s="60">
        <v>12979.866624999999</v>
      </c>
      <c r="I80" s="60">
        <v>12979.866624999999</v>
      </c>
      <c r="J80" s="60">
        <v>12979.866624999999</v>
      </c>
      <c r="K80" s="60">
        <v>12979.866624999999</v>
      </c>
      <c r="L80" s="60">
        <v>12979.866624999999</v>
      </c>
      <c r="M80" s="60">
        <v>12979.866624999999</v>
      </c>
      <c r="N80" s="60">
        <v>12979.320104299997</v>
      </c>
      <c r="O80" s="60">
        <v>12979.866624999999</v>
      </c>
      <c r="P80" s="60">
        <v>12979.866624999999</v>
      </c>
      <c r="Q80" s="60">
        <v>12979.866624999999</v>
      </c>
      <c r="R80" s="60">
        <v>12979.866624999999</v>
      </c>
      <c r="S80" s="61">
        <f t="shared" si="3"/>
        <v>155757.85297929996</v>
      </c>
      <c r="U80" s="61">
        <f t="shared" si="4"/>
        <v>155757.85297929996</v>
      </c>
    </row>
    <row r="81" spans="1:27" x14ac:dyDescent="0.3">
      <c r="A81" s="16" t="str">
        <f>_xlfn.XLOOKUP(B81,'Reference '!J:J,'Reference '!K:K)</f>
        <v>Mael Delmas</v>
      </c>
      <c r="B81" s="16" t="s">
        <v>644</v>
      </c>
      <c r="C81" s="16">
        <v>612520</v>
      </c>
      <c r="D81" s="16" t="s">
        <v>645</v>
      </c>
      <c r="E81" s="16" t="s">
        <v>307</v>
      </c>
      <c r="F81" s="16" t="s">
        <v>572</v>
      </c>
      <c r="G81" s="60">
        <v>17800.179198999998</v>
      </c>
      <c r="H81" s="60">
        <v>17800.179198999998</v>
      </c>
      <c r="I81" s="60">
        <v>17800.179198999998</v>
      </c>
      <c r="J81" s="60">
        <v>17800.179198999998</v>
      </c>
      <c r="K81" s="60">
        <v>17800.179198999998</v>
      </c>
      <c r="L81" s="60">
        <v>17800.179198999998</v>
      </c>
      <c r="M81" s="60">
        <v>17800.179198999998</v>
      </c>
      <c r="N81" s="60">
        <v>17800.179198999998</v>
      </c>
      <c r="O81" s="60">
        <v>17800.725719699996</v>
      </c>
      <c r="P81" s="60">
        <v>17801.272240399998</v>
      </c>
      <c r="Q81" s="60">
        <v>17801.818761099999</v>
      </c>
      <c r="R81" s="60">
        <v>17802.365281799997</v>
      </c>
      <c r="S81" s="61">
        <f t="shared" si="3"/>
        <v>213607.61559499998</v>
      </c>
      <c r="U81" s="61">
        <f t="shared" si="4"/>
        <v>213607.61559499998</v>
      </c>
    </row>
    <row r="82" spans="1:27" x14ac:dyDescent="0.3">
      <c r="A82" s="16" t="str">
        <f>_xlfn.XLOOKUP(B82,'Reference '!J:J,'Reference '!K:K)</f>
        <v>Mael Delmas</v>
      </c>
      <c r="B82" s="16" t="s">
        <v>644</v>
      </c>
      <c r="C82" s="16">
        <v>613004</v>
      </c>
      <c r="D82" s="16" t="s">
        <v>572</v>
      </c>
      <c r="E82" s="16" t="s">
        <v>646</v>
      </c>
      <c r="F82" s="16" t="s">
        <v>572</v>
      </c>
      <c r="G82" s="60">
        <v>30000</v>
      </c>
      <c r="H82" s="60">
        <v>30000</v>
      </c>
      <c r="I82" s="60">
        <v>30000</v>
      </c>
      <c r="J82" s="60">
        <v>30000</v>
      </c>
      <c r="K82" s="60">
        <v>30000</v>
      </c>
      <c r="L82" s="60">
        <v>30000</v>
      </c>
      <c r="M82" s="60">
        <v>30000</v>
      </c>
      <c r="N82" s="60">
        <v>30000</v>
      </c>
      <c r="O82" s="60">
        <v>30000</v>
      </c>
      <c r="P82" s="60">
        <v>30000</v>
      </c>
      <c r="Q82" s="60">
        <v>30000</v>
      </c>
      <c r="R82" s="60">
        <v>30000</v>
      </c>
      <c r="S82" s="61">
        <f t="shared" si="3"/>
        <v>360000</v>
      </c>
      <c r="T82" s="46">
        <f>'4.2 Simplify Savings'!AB61</f>
        <v>-8400</v>
      </c>
      <c r="U82" s="61">
        <f t="shared" si="4"/>
        <v>351600</v>
      </c>
      <c r="V82" s="27"/>
      <c r="W82" s="27"/>
    </row>
    <row r="83" spans="1:27" x14ac:dyDescent="0.3">
      <c r="A83" s="16" t="str">
        <f>_xlfn.XLOOKUP(B83,'Reference '!J:J,'Reference '!K:K)</f>
        <v>Mael Delmas</v>
      </c>
      <c r="B83" s="16" t="s">
        <v>644</v>
      </c>
      <c r="C83" s="16">
        <v>613003</v>
      </c>
      <c r="D83" s="16" t="s">
        <v>572</v>
      </c>
      <c r="E83" s="16" t="s">
        <v>647</v>
      </c>
      <c r="F83" s="16" t="s">
        <v>572</v>
      </c>
      <c r="G83" s="60">
        <v>922</v>
      </c>
      <c r="H83" s="60">
        <v>922</v>
      </c>
      <c r="I83" s="60">
        <v>922</v>
      </c>
      <c r="J83" s="60">
        <v>922</v>
      </c>
      <c r="K83" s="60">
        <v>922</v>
      </c>
      <c r="L83" s="60">
        <v>922</v>
      </c>
      <c r="M83" s="60">
        <v>922</v>
      </c>
      <c r="N83" s="60">
        <v>922</v>
      </c>
      <c r="O83" s="60">
        <v>922</v>
      </c>
      <c r="P83" s="60">
        <v>922</v>
      </c>
      <c r="Q83" s="60">
        <v>922</v>
      </c>
      <c r="R83" s="60">
        <v>922</v>
      </c>
      <c r="S83" s="61">
        <f t="shared" si="3"/>
        <v>11064</v>
      </c>
      <c r="U83" s="61">
        <f t="shared" si="4"/>
        <v>11064</v>
      </c>
      <c r="Z83" s="27"/>
      <c r="AA83" s="27"/>
    </row>
    <row r="84" spans="1:27" x14ac:dyDescent="0.3">
      <c r="A84" s="16" t="str">
        <f>_xlfn.XLOOKUP(B84,'Reference '!J:J,'Reference '!K:K)</f>
        <v>Mael Delmas</v>
      </c>
      <c r="B84" s="16" t="s">
        <v>644</v>
      </c>
      <c r="C84" s="16">
        <v>613003</v>
      </c>
      <c r="D84" s="16" t="s">
        <v>572</v>
      </c>
      <c r="E84" s="16" t="s">
        <v>648</v>
      </c>
      <c r="F84" s="16" t="s">
        <v>572</v>
      </c>
      <c r="G84" s="60">
        <v>3513.5</v>
      </c>
      <c r="H84" s="60">
        <v>3513.5</v>
      </c>
      <c r="I84" s="60">
        <v>3513.5</v>
      </c>
      <c r="J84" s="60">
        <v>3513.5</v>
      </c>
      <c r="K84" s="60">
        <v>3513.5</v>
      </c>
      <c r="L84" s="60">
        <v>3513.5</v>
      </c>
      <c r="M84" s="60">
        <v>3513.5</v>
      </c>
      <c r="N84" s="60">
        <v>3513.5</v>
      </c>
      <c r="O84" s="60">
        <v>3513.5</v>
      </c>
      <c r="P84" s="60">
        <v>3513.5</v>
      </c>
      <c r="Q84" s="60">
        <v>3513.5</v>
      </c>
      <c r="R84" s="60">
        <v>3513.5</v>
      </c>
      <c r="S84" s="61">
        <f t="shared" si="3"/>
        <v>42162</v>
      </c>
      <c r="U84" s="61">
        <f t="shared" si="4"/>
        <v>42162</v>
      </c>
    </row>
    <row r="85" spans="1:27" x14ac:dyDescent="0.3">
      <c r="A85" s="16" t="str">
        <f>_xlfn.XLOOKUP(B85,'Reference '!J:J,'Reference '!K:K)</f>
        <v>Olivier Lepret</v>
      </c>
      <c r="B85" s="16" t="s">
        <v>649</v>
      </c>
      <c r="C85" s="16">
        <v>612520</v>
      </c>
      <c r="D85" s="16" t="s">
        <v>572</v>
      </c>
      <c r="E85" s="16" t="s">
        <v>650</v>
      </c>
      <c r="F85" s="16" t="s">
        <v>572</v>
      </c>
      <c r="G85" s="60">
        <v>5833.333333333333</v>
      </c>
      <c r="H85" s="60">
        <v>5833.333333333333</v>
      </c>
      <c r="I85" s="60">
        <v>5833.333333333333</v>
      </c>
      <c r="J85" s="60">
        <v>5833.333333333333</v>
      </c>
      <c r="K85" s="60">
        <v>5833.333333333333</v>
      </c>
      <c r="L85" s="60">
        <v>5833.333333333333</v>
      </c>
      <c r="M85" s="60">
        <v>5833.333333333333</v>
      </c>
      <c r="N85" s="60">
        <v>5833.333333333333</v>
      </c>
      <c r="O85" s="60">
        <v>5833.333333333333</v>
      </c>
      <c r="P85" s="60">
        <v>5833.333333333333</v>
      </c>
      <c r="Q85" s="60">
        <v>5833.333333333333</v>
      </c>
      <c r="R85" s="60">
        <v>5833.333333333333</v>
      </c>
      <c r="S85" s="61">
        <f t="shared" si="3"/>
        <v>70000.000000000015</v>
      </c>
      <c r="T85" s="46">
        <f>'4.2 Simplify Savings'!AB62</f>
        <v>-99999.999999999985</v>
      </c>
      <c r="U85" s="61">
        <f t="shared" si="4"/>
        <v>-29999.999999999971</v>
      </c>
    </row>
    <row r="86" spans="1:27" x14ac:dyDescent="0.3">
      <c r="A86" s="16" t="str">
        <f>_xlfn.XLOOKUP(B86,'Reference '!J:J,'Reference '!K:K)</f>
        <v>Olivier Lepret</v>
      </c>
      <c r="B86" s="16" t="s">
        <v>649</v>
      </c>
      <c r="C86" s="16">
        <v>612520</v>
      </c>
      <c r="D86" s="16" t="s">
        <v>572</v>
      </c>
      <c r="E86" s="16" t="s">
        <v>651</v>
      </c>
      <c r="F86" s="16" t="s">
        <v>572</v>
      </c>
      <c r="G86" s="60">
        <v>12725</v>
      </c>
      <c r="H86" s="60">
        <v>12725</v>
      </c>
      <c r="I86" s="60">
        <v>12725</v>
      </c>
      <c r="J86" s="60">
        <v>12725</v>
      </c>
      <c r="K86" s="60">
        <v>12725</v>
      </c>
      <c r="L86" s="60">
        <v>12725</v>
      </c>
      <c r="M86" s="60">
        <v>12725</v>
      </c>
      <c r="N86" s="60">
        <v>12725</v>
      </c>
      <c r="O86" s="60">
        <v>12725</v>
      </c>
      <c r="P86" s="60">
        <v>12725</v>
      </c>
      <c r="Q86" s="60">
        <v>12725</v>
      </c>
      <c r="R86" s="60">
        <v>12725</v>
      </c>
      <c r="S86" s="61">
        <f t="shared" si="3"/>
        <v>152700</v>
      </c>
      <c r="U86" s="61">
        <f t="shared" si="4"/>
        <v>152700</v>
      </c>
    </row>
    <row r="87" spans="1:27" x14ac:dyDescent="0.3">
      <c r="A87" s="16" t="str">
        <f>_xlfn.XLOOKUP(B87,'Reference '!J:J,'Reference '!K:K)</f>
        <v>Olivier Lepret</v>
      </c>
      <c r="B87" s="16" t="s">
        <v>649</v>
      </c>
      <c r="C87" s="16">
        <v>613020</v>
      </c>
      <c r="D87" s="16" t="s">
        <v>572</v>
      </c>
      <c r="E87" s="16" t="s">
        <v>332</v>
      </c>
      <c r="F87" s="16" t="s">
        <v>572</v>
      </c>
      <c r="G87" s="60">
        <v>7500</v>
      </c>
      <c r="H87" s="60">
        <v>7500</v>
      </c>
      <c r="I87" s="60">
        <v>7500</v>
      </c>
      <c r="J87" s="60">
        <v>7500</v>
      </c>
      <c r="K87" s="60">
        <v>7500</v>
      </c>
      <c r="L87" s="60">
        <v>7500</v>
      </c>
      <c r="M87" s="60">
        <v>7500</v>
      </c>
      <c r="N87" s="60">
        <v>7500</v>
      </c>
      <c r="O87" s="60">
        <v>7500</v>
      </c>
      <c r="P87" s="60">
        <v>7500</v>
      </c>
      <c r="Q87" s="60">
        <v>7500</v>
      </c>
      <c r="R87" s="60">
        <v>7500</v>
      </c>
      <c r="S87" s="61">
        <f t="shared" si="3"/>
        <v>90000</v>
      </c>
      <c r="U87" s="61">
        <f t="shared" si="4"/>
        <v>90000</v>
      </c>
    </row>
    <row r="88" spans="1:27" x14ac:dyDescent="0.3">
      <c r="A88" s="16" t="str">
        <f>_xlfn.XLOOKUP(B88,'Reference '!J:J,'Reference '!K:K)</f>
        <v>Olivier Lepret</v>
      </c>
      <c r="B88" s="16" t="s">
        <v>649</v>
      </c>
      <c r="C88" s="16">
        <v>613025</v>
      </c>
      <c r="D88" s="16" t="s">
        <v>572</v>
      </c>
      <c r="E88" s="16" t="s">
        <v>338</v>
      </c>
      <c r="F88" s="16" t="s">
        <v>572</v>
      </c>
      <c r="G88" s="60">
        <v>1696.6666666666667</v>
      </c>
      <c r="H88" s="60">
        <v>1696.6666666666667</v>
      </c>
      <c r="I88" s="60">
        <v>1696.6666666666667</v>
      </c>
      <c r="J88" s="60">
        <v>1696.6666666666667</v>
      </c>
      <c r="K88" s="60">
        <v>1696.6666666666667</v>
      </c>
      <c r="L88" s="60">
        <v>1696.6666666666667</v>
      </c>
      <c r="M88" s="60">
        <v>1696.6666666666667</v>
      </c>
      <c r="N88" s="60">
        <v>1696.6666666666667</v>
      </c>
      <c r="O88" s="60">
        <v>1696.6666666666667</v>
      </c>
      <c r="P88" s="60">
        <v>1696.6666666666667</v>
      </c>
      <c r="Q88" s="60">
        <v>1696.6666666666667</v>
      </c>
      <c r="R88" s="60">
        <v>1696.6666666666667</v>
      </c>
      <c r="S88" s="61">
        <f t="shared" si="3"/>
        <v>20360</v>
      </c>
      <c r="U88" s="61">
        <f t="shared" si="4"/>
        <v>20360</v>
      </c>
      <c r="V88" s="16" t="s">
        <v>1158</v>
      </c>
    </row>
    <row r="89" spans="1:27" x14ac:dyDescent="0.3">
      <c r="A89" s="16" t="str">
        <f>_xlfn.XLOOKUP(B89,'Reference '!J:J,'Reference '!K:K)</f>
        <v>Olivier Lepret</v>
      </c>
      <c r="B89" s="16" t="s">
        <v>649</v>
      </c>
      <c r="C89" s="16">
        <v>613025</v>
      </c>
      <c r="D89" s="16" t="s">
        <v>572</v>
      </c>
      <c r="E89" s="16" t="s">
        <v>652</v>
      </c>
      <c r="F89" s="16" t="s">
        <v>572</v>
      </c>
      <c r="G89" s="60">
        <v>1250</v>
      </c>
      <c r="H89" s="60">
        <v>1250</v>
      </c>
      <c r="I89" s="60">
        <v>1250</v>
      </c>
      <c r="J89" s="60">
        <v>1250</v>
      </c>
      <c r="K89" s="60">
        <v>1250</v>
      </c>
      <c r="L89" s="60">
        <v>1250</v>
      </c>
      <c r="M89" s="60">
        <v>1250</v>
      </c>
      <c r="N89" s="60">
        <v>1250</v>
      </c>
      <c r="O89" s="60">
        <v>1250</v>
      </c>
      <c r="P89" s="60">
        <v>1250</v>
      </c>
      <c r="Q89" s="60">
        <v>1250</v>
      </c>
      <c r="R89" s="60">
        <v>1250</v>
      </c>
      <c r="S89" s="61">
        <f t="shared" si="3"/>
        <v>15000</v>
      </c>
      <c r="U89" s="61">
        <f t="shared" si="4"/>
        <v>15000</v>
      </c>
      <c r="V89" s="16" t="s">
        <v>1158</v>
      </c>
    </row>
    <row r="90" spans="1:27" x14ac:dyDescent="0.3">
      <c r="A90" s="16" t="str">
        <f>_xlfn.XLOOKUP(B90,'Reference '!J:J,'Reference '!K:K)</f>
        <v>Olivier Lepret</v>
      </c>
      <c r="B90" s="16" t="s">
        <v>649</v>
      </c>
      <c r="C90" s="16">
        <v>612520</v>
      </c>
      <c r="D90" s="16" t="s">
        <v>572</v>
      </c>
      <c r="E90" s="16" t="s">
        <v>653</v>
      </c>
      <c r="F90" s="16" t="s">
        <v>572</v>
      </c>
      <c r="G90" s="60">
        <v>12500</v>
      </c>
      <c r="H90" s="60">
        <v>12500</v>
      </c>
      <c r="I90" s="60">
        <v>12500</v>
      </c>
      <c r="J90" s="60">
        <v>12500</v>
      </c>
      <c r="K90" s="60">
        <v>12500</v>
      </c>
      <c r="L90" s="60">
        <v>12500</v>
      </c>
      <c r="M90" s="60">
        <v>12500</v>
      </c>
      <c r="N90" s="60">
        <v>12500</v>
      </c>
      <c r="O90" s="60">
        <v>12500</v>
      </c>
      <c r="P90" s="60">
        <v>12500</v>
      </c>
      <c r="Q90" s="60">
        <v>12500</v>
      </c>
      <c r="R90" s="60">
        <v>12500</v>
      </c>
      <c r="S90" s="61">
        <f t="shared" si="3"/>
        <v>150000</v>
      </c>
      <c r="U90" s="61">
        <f t="shared" si="4"/>
        <v>150000</v>
      </c>
    </row>
    <row r="91" spans="1:27" x14ac:dyDescent="0.3">
      <c r="A91" s="16" t="str">
        <f>_xlfn.XLOOKUP(B91,'Reference '!J:J,'Reference '!K:K)</f>
        <v>Olivier Lepret</v>
      </c>
      <c r="B91" s="16" t="s">
        <v>649</v>
      </c>
      <c r="C91" s="16">
        <v>613025</v>
      </c>
      <c r="D91" s="16" t="s">
        <v>572</v>
      </c>
      <c r="E91" s="16" t="s">
        <v>654</v>
      </c>
      <c r="F91" s="16" t="s">
        <v>572</v>
      </c>
      <c r="G91" s="60">
        <v>22666.666666666668</v>
      </c>
      <c r="H91" s="60">
        <v>22666.666666666668</v>
      </c>
      <c r="I91" s="60">
        <v>22666.666666666668</v>
      </c>
      <c r="J91" s="60">
        <v>22666.666666666668</v>
      </c>
      <c r="K91" s="60">
        <v>22666.666666666668</v>
      </c>
      <c r="L91" s="60">
        <v>22666.666666666668</v>
      </c>
      <c r="M91" s="60">
        <v>22666.666666666668</v>
      </c>
      <c r="N91" s="60">
        <v>22666.666666666668</v>
      </c>
      <c r="O91" s="60">
        <v>22666.666666666668</v>
      </c>
      <c r="P91" s="60">
        <v>22666.666666666668</v>
      </c>
      <c r="Q91" s="60">
        <v>22666.666666666668</v>
      </c>
      <c r="R91" s="60">
        <v>22666.666666666668</v>
      </c>
      <c r="S91" s="61">
        <f t="shared" si="3"/>
        <v>271999.99999999994</v>
      </c>
      <c r="U91" s="61">
        <f t="shared" si="4"/>
        <v>271999.99999999994</v>
      </c>
      <c r="V91" s="16" t="s">
        <v>1158</v>
      </c>
    </row>
    <row r="92" spans="1:27" x14ac:dyDescent="0.3">
      <c r="A92" s="16" t="str">
        <f>_xlfn.XLOOKUP(B92,'Reference '!J:J,'Reference '!K:K)</f>
        <v>Olivier Lepret</v>
      </c>
      <c r="B92" s="16" t="s">
        <v>649</v>
      </c>
      <c r="C92" s="16">
        <v>612520</v>
      </c>
      <c r="D92" s="16" t="s">
        <v>572</v>
      </c>
      <c r="E92" s="16" t="s">
        <v>340</v>
      </c>
      <c r="F92" s="16" t="s">
        <v>572</v>
      </c>
      <c r="G92" s="60">
        <v>424.16666666666669</v>
      </c>
      <c r="H92" s="60">
        <v>424.16666666666669</v>
      </c>
      <c r="I92" s="60">
        <v>424.16666666666669</v>
      </c>
      <c r="J92" s="60">
        <v>424.16666666666669</v>
      </c>
      <c r="K92" s="60">
        <v>424.16666666666669</v>
      </c>
      <c r="L92" s="60">
        <v>424.16666666666669</v>
      </c>
      <c r="M92" s="60">
        <v>424.16666666666669</v>
      </c>
      <c r="N92" s="60">
        <v>424.16666666666669</v>
      </c>
      <c r="O92" s="60">
        <v>424.16666666666669</v>
      </c>
      <c r="P92" s="60">
        <v>424.16666666666669</v>
      </c>
      <c r="Q92" s="60">
        <v>424.16666666666669</v>
      </c>
      <c r="R92" s="60">
        <v>424.16666666666669</v>
      </c>
      <c r="S92" s="61">
        <f t="shared" si="3"/>
        <v>5090</v>
      </c>
      <c r="U92" s="61">
        <f t="shared" si="4"/>
        <v>5090</v>
      </c>
    </row>
    <row r="93" spans="1:27" x14ac:dyDescent="0.3">
      <c r="A93" s="16" t="str">
        <f>_xlfn.XLOOKUP(B93,'Reference '!J:J,'Reference '!K:K)</f>
        <v>Olivier Lepret</v>
      </c>
      <c r="B93" s="16" t="s">
        <v>649</v>
      </c>
      <c r="C93" s="16">
        <v>613020</v>
      </c>
      <c r="D93" s="16" t="s">
        <v>572</v>
      </c>
      <c r="E93" s="16" t="s">
        <v>655</v>
      </c>
      <c r="F93" s="16" t="s">
        <v>572</v>
      </c>
      <c r="G93" s="60">
        <v>633.33333333333337</v>
      </c>
      <c r="H93" s="60">
        <v>633.33333333333337</v>
      </c>
      <c r="I93" s="60">
        <v>633.33333333333337</v>
      </c>
      <c r="J93" s="60">
        <v>633.33333333333337</v>
      </c>
      <c r="K93" s="60">
        <v>633.33333333333337</v>
      </c>
      <c r="L93" s="60">
        <v>633.33333333333337</v>
      </c>
      <c r="M93" s="60">
        <v>633.33333333333337</v>
      </c>
      <c r="N93" s="60">
        <v>633.33333333333337</v>
      </c>
      <c r="O93" s="60">
        <v>633.33333333333337</v>
      </c>
      <c r="P93" s="60">
        <v>633.33333333333337</v>
      </c>
      <c r="Q93" s="60">
        <v>633.33333333333337</v>
      </c>
      <c r="R93" s="60">
        <v>633.33333333333337</v>
      </c>
      <c r="S93" s="61">
        <f t="shared" si="3"/>
        <v>7599.9999999999991</v>
      </c>
      <c r="U93" s="61">
        <f t="shared" si="4"/>
        <v>7599.9999999999991</v>
      </c>
    </row>
    <row r="94" spans="1:27" x14ac:dyDescent="0.3">
      <c r="A94" s="16" t="str">
        <f>_xlfn.XLOOKUP(B94,'Reference '!J:J,'Reference '!K:K)</f>
        <v>Olivier Lepret</v>
      </c>
      <c r="B94" s="16" t="s">
        <v>649</v>
      </c>
      <c r="C94" s="16">
        <v>613020</v>
      </c>
      <c r="D94" s="16" t="s">
        <v>572</v>
      </c>
      <c r="E94" s="16" t="s">
        <v>656</v>
      </c>
      <c r="F94" s="16" t="s">
        <v>572</v>
      </c>
      <c r="G94" s="60">
        <v>32250</v>
      </c>
      <c r="H94" s="60">
        <v>32250</v>
      </c>
      <c r="I94" s="60">
        <v>32250</v>
      </c>
      <c r="J94" s="60">
        <v>32250</v>
      </c>
      <c r="K94" s="60">
        <v>32250</v>
      </c>
      <c r="L94" s="60">
        <v>32250</v>
      </c>
      <c r="M94" s="60">
        <v>32250</v>
      </c>
      <c r="N94" s="60">
        <v>32250</v>
      </c>
      <c r="O94" s="60">
        <v>32250</v>
      </c>
      <c r="P94" s="60">
        <v>32250</v>
      </c>
      <c r="Q94" s="60">
        <v>32250</v>
      </c>
      <c r="R94" s="60">
        <v>32250</v>
      </c>
      <c r="S94" s="61">
        <f t="shared" si="3"/>
        <v>387000</v>
      </c>
      <c r="U94" s="61">
        <f t="shared" si="4"/>
        <v>387000</v>
      </c>
    </row>
    <row r="95" spans="1:27" x14ac:dyDescent="0.3">
      <c r="A95" s="16" t="str">
        <f>_xlfn.XLOOKUP(B95,'Reference '!J:J,'Reference '!K:K)</f>
        <v>Olivier Lepret</v>
      </c>
      <c r="B95" s="16" t="s">
        <v>649</v>
      </c>
      <c r="C95" s="16">
        <v>615130</v>
      </c>
      <c r="D95" s="16" t="s">
        <v>572</v>
      </c>
      <c r="E95" s="16" t="s">
        <v>657</v>
      </c>
      <c r="F95" s="16" t="s">
        <v>572</v>
      </c>
      <c r="G95" s="60">
        <v>833.33333333333337</v>
      </c>
      <c r="H95" s="60">
        <v>833.33333333333337</v>
      </c>
      <c r="I95" s="60">
        <v>833.33333333333337</v>
      </c>
      <c r="J95" s="60">
        <v>833.33333333333337</v>
      </c>
      <c r="K95" s="60">
        <v>833.33333333333337</v>
      </c>
      <c r="L95" s="60">
        <v>833.33333333333337</v>
      </c>
      <c r="M95" s="60">
        <v>833.33333333333337</v>
      </c>
      <c r="N95" s="60">
        <v>833.33333333333337</v>
      </c>
      <c r="O95" s="60">
        <v>833.33333333333337</v>
      </c>
      <c r="P95" s="60">
        <v>833.33333333333337</v>
      </c>
      <c r="Q95" s="60">
        <v>833.33333333333337</v>
      </c>
      <c r="R95" s="60">
        <v>833.33333333333337</v>
      </c>
      <c r="S95" s="61">
        <f t="shared" si="3"/>
        <v>10000</v>
      </c>
      <c r="U95" s="61">
        <f t="shared" si="4"/>
        <v>10000</v>
      </c>
    </row>
    <row r="96" spans="1:27" x14ac:dyDescent="0.3">
      <c r="A96" s="16" t="str">
        <f>_xlfn.XLOOKUP(B96,'Reference '!J:J,'Reference '!K:K)</f>
        <v>Olivier Lepret</v>
      </c>
      <c r="B96" s="16" t="s">
        <v>649</v>
      </c>
      <c r="C96" s="16">
        <v>612620</v>
      </c>
      <c r="D96" s="16" t="s">
        <v>572</v>
      </c>
      <c r="E96" s="16" t="s">
        <v>658</v>
      </c>
      <c r="F96" s="16" t="s">
        <v>572</v>
      </c>
      <c r="G96" s="60">
        <v>666.66666666666663</v>
      </c>
      <c r="H96" s="60">
        <v>666.66666666666663</v>
      </c>
      <c r="I96" s="60">
        <v>666.66666666666663</v>
      </c>
      <c r="J96" s="60">
        <v>666.66666666666663</v>
      </c>
      <c r="K96" s="60">
        <v>666.66666666666663</v>
      </c>
      <c r="L96" s="60">
        <v>666.66666666666663</v>
      </c>
      <c r="M96" s="60">
        <v>666.66666666666663</v>
      </c>
      <c r="N96" s="60">
        <v>666.66666666666663</v>
      </c>
      <c r="O96" s="60">
        <v>666.66666666666663</v>
      </c>
      <c r="P96" s="60">
        <v>666.66666666666663</v>
      </c>
      <c r="Q96" s="60">
        <v>666.66666666666663</v>
      </c>
      <c r="R96" s="60">
        <v>666.66666666666663</v>
      </c>
      <c r="S96" s="61">
        <f t="shared" si="3"/>
        <v>8000.0000000000009</v>
      </c>
      <c r="U96" s="61">
        <f t="shared" si="4"/>
        <v>8000.0000000000009</v>
      </c>
    </row>
    <row r="97" spans="1:21" x14ac:dyDescent="0.3">
      <c r="A97" s="16" t="str">
        <f>_xlfn.XLOOKUP(B97,'Reference '!J:J,'Reference '!K:K)</f>
        <v>Olivier Lepret</v>
      </c>
      <c r="B97" s="16" t="s">
        <v>649</v>
      </c>
      <c r="C97" s="16">
        <v>612620</v>
      </c>
      <c r="D97" s="16" t="s">
        <v>572</v>
      </c>
      <c r="E97" s="16" t="s">
        <v>659</v>
      </c>
      <c r="F97" s="16" t="s">
        <v>572</v>
      </c>
      <c r="G97" s="60">
        <v>1250</v>
      </c>
      <c r="H97" s="60">
        <v>1250</v>
      </c>
      <c r="I97" s="60">
        <v>1250</v>
      </c>
      <c r="J97" s="60">
        <v>1250</v>
      </c>
      <c r="K97" s="60">
        <v>1250</v>
      </c>
      <c r="L97" s="60">
        <v>1250</v>
      </c>
      <c r="M97" s="60">
        <v>1250</v>
      </c>
      <c r="N97" s="60">
        <v>1250</v>
      </c>
      <c r="O97" s="60">
        <v>1250</v>
      </c>
      <c r="P97" s="60">
        <v>1250</v>
      </c>
      <c r="Q97" s="60">
        <v>1250</v>
      </c>
      <c r="R97" s="60">
        <v>1250</v>
      </c>
      <c r="S97" s="61">
        <f t="shared" si="3"/>
        <v>15000</v>
      </c>
      <c r="U97" s="61">
        <f t="shared" si="4"/>
        <v>15000</v>
      </c>
    </row>
    <row r="98" spans="1:21" x14ac:dyDescent="0.3">
      <c r="A98" s="16" t="str">
        <f>_xlfn.XLOOKUP(B98,'Reference '!J:J,'Reference '!K:K)</f>
        <v>Olivier Lepret</v>
      </c>
      <c r="B98" s="16" t="s">
        <v>649</v>
      </c>
      <c r="C98" s="16">
        <v>616800</v>
      </c>
      <c r="D98" s="16" t="s">
        <v>572</v>
      </c>
      <c r="E98" s="16" t="s">
        <v>660</v>
      </c>
      <c r="F98" s="16" t="s">
        <v>572</v>
      </c>
      <c r="G98" s="60">
        <v>66.666666666666671</v>
      </c>
      <c r="H98" s="60">
        <v>66.666666666666671</v>
      </c>
      <c r="I98" s="60">
        <v>66.666666666666671</v>
      </c>
      <c r="J98" s="60">
        <v>66.666666666666671</v>
      </c>
      <c r="K98" s="60">
        <v>66.666666666666671</v>
      </c>
      <c r="L98" s="60">
        <v>66.666666666666671</v>
      </c>
      <c r="M98" s="60">
        <v>66.666666666666671</v>
      </c>
      <c r="N98" s="60">
        <v>66.666666666666671</v>
      </c>
      <c r="O98" s="60">
        <v>66.666666666666671</v>
      </c>
      <c r="P98" s="60">
        <v>66.666666666666671</v>
      </c>
      <c r="Q98" s="60">
        <v>66.666666666666671</v>
      </c>
      <c r="R98" s="60">
        <v>66.666666666666671</v>
      </c>
      <c r="S98" s="61">
        <f t="shared" si="3"/>
        <v>799.99999999999989</v>
      </c>
      <c r="U98" s="61">
        <f t="shared" si="4"/>
        <v>799.99999999999989</v>
      </c>
    </row>
    <row r="99" spans="1:21" x14ac:dyDescent="0.3">
      <c r="A99" s="16" t="str">
        <f>_xlfn.XLOOKUP(B99,'Reference '!J:J,'Reference '!K:K)</f>
        <v>Roger Plummer</v>
      </c>
      <c r="B99" s="28" t="s">
        <v>661</v>
      </c>
      <c r="C99" s="28">
        <v>612520</v>
      </c>
      <c r="D99" s="28" t="s">
        <v>572</v>
      </c>
      <c r="E99" s="28" t="s">
        <v>662</v>
      </c>
      <c r="F99" s="28" t="s">
        <v>572</v>
      </c>
      <c r="G99" s="60">
        <v>7267.5624999999991</v>
      </c>
      <c r="H99" s="60">
        <v>7267.5624999999991</v>
      </c>
      <c r="I99" s="60">
        <v>7267.5624999999991</v>
      </c>
      <c r="J99" s="60">
        <v>7267.5624999999991</v>
      </c>
      <c r="K99" s="60">
        <v>7267.5624999999991</v>
      </c>
      <c r="L99" s="60">
        <v>7267.5624999999991</v>
      </c>
      <c r="M99" s="60">
        <v>7267.5624999999991</v>
      </c>
      <c r="N99" s="60">
        <v>7267.5624999999991</v>
      </c>
      <c r="O99" s="60">
        <v>7267.5624999999991</v>
      </c>
      <c r="P99" s="60">
        <v>7267.5624999999991</v>
      </c>
      <c r="Q99" s="60">
        <v>7267.5624999999991</v>
      </c>
      <c r="R99" s="60">
        <v>7267.5624999999991</v>
      </c>
      <c r="S99" s="62">
        <f t="shared" si="3"/>
        <v>87210.749999999985</v>
      </c>
      <c r="U99" s="61">
        <f t="shared" ref="U99:U130" si="5">SUM(S99:T99)</f>
        <v>87210.749999999985</v>
      </c>
    </row>
    <row r="100" spans="1:21" x14ac:dyDescent="0.3">
      <c r="A100" s="16" t="str">
        <f>_xlfn.XLOOKUP(B100,'Reference '!J:J,'Reference '!K:K)</f>
        <v>Roger Plummer</v>
      </c>
      <c r="B100" s="16" t="s">
        <v>661</v>
      </c>
      <c r="C100" s="16">
        <v>612520</v>
      </c>
      <c r="D100" s="16" t="s">
        <v>572</v>
      </c>
      <c r="E100" s="16" t="s">
        <v>663</v>
      </c>
      <c r="F100" s="16" t="s">
        <v>572</v>
      </c>
      <c r="G100" s="60">
        <v>1916.6666666666667</v>
      </c>
      <c r="H100" s="60">
        <v>1916.6666666666667</v>
      </c>
      <c r="I100" s="60">
        <v>1916.6666666666667</v>
      </c>
      <c r="J100" s="60">
        <v>1916.6666666666667</v>
      </c>
      <c r="K100" s="60">
        <v>1916.6666666666667</v>
      </c>
      <c r="L100" s="60">
        <v>1916.6666666666667</v>
      </c>
      <c r="M100" s="60">
        <v>1916.6666666666667</v>
      </c>
      <c r="N100" s="60">
        <v>1916.6666666666667</v>
      </c>
      <c r="O100" s="60">
        <v>1916.6666666666667</v>
      </c>
      <c r="P100" s="60">
        <v>1916.6666666666667</v>
      </c>
      <c r="Q100" s="60">
        <v>1916.6666666666667</v>
      </c>
      <c r="R100" s="60">
        <v>1916.6666666666667</v>
      </c>
      <c r="S100" s="61">
        <f t="shared" si="3"/>
        <v>23000.000000000004</v>
      </c>
      <c r="U100" s="61">
        <f t="shared" si="5"/>
        <v>23000.000000000004</v>
      </c>
    </row>
    <row r="101" spans="1:21" x14ac:dyDescent="0.3">
      <c r="A101" s="16" t="str">
        <f>_xlfn.XLOOKUP(B101,'Reference '!J:J,'Reference '!K:K)</f>
        <v>Roger Plummer</v>
      </c>
      <c r="B101" s="16" t="s">
        <v>661</v>
      </c>
      <c r="C101" s="16">
        <v>612520</v>
      </c>
      <c r="D101" s="16" t="s">
        <v>572</v>
      </c>
      <c r="E101" s="16" t="s">
        <v>664</v>
      </c>
      <c r="F101" s="16" t="s">
        <v>572</v>
      </c>
      <c r="G101" s="60">
        <v>2500</v>
      </c>
      <c r="H101" s="60">
        <v>2500</v>
      </c>
      <c r="I101" s="60">
        <v>2500</v>
      </c>
      <c r="J101" s="60">
        <v>2500</v>
      </c>
      <c r="K101" s="60">
        <v>2500</v>
      </c>
      <c r="L101" s="60">
        <v>2500</v>
      </c>
      <c r="M101" s="60">
        <v>2500</v>
      </c>
      <c r="N101" s="60">
        <v>2500</v>
      </c>
      <c r="O101" s="60">
        <v>2500</v>
      </c>
      <c r="P101" s="60">
        <v>2500</v>
      </c>
      <c r="Q101" s="60">
        <v>2500</v>
      </c>
      <c r="R101" s="60">
        <v>2500</v>
      </c>
      <c r="S101" s="61">
        <f t="shared" si="3"/>
        <v>30000</v>
      </c>
      <c r="U101" s="61">
        <f t="shared" si="5"/>
        <v>30000</v>
      </c>
    </row>
    <row r="102" spans="1:21" x14ac:dyDescent="0.3">
      <c r="A102" s="16" t="str">
        <f>_xlfn.XLOOKUP(B102,'Reference '!J:J,'Reference '!K:K)</f>
        <v>Roger Plummer</v>
      </c>
      <c r="B102" s="16" t="s">
        <v>661</v>
      </c>
      <c r="C102" s="16">
        <v>612520</v>
      </c>
      <c r="D102" s="16" t="s">
        <v>572</v>
      </c>
      <c r="E102" s="16" t="s">
        <v>665</v>
      </c>
      <c r="F102" s="16" t="s">
        <v>572</v>
      </c>
      <c r="G102" s="60">
        <v>5833.333333333333</v>
      </c>
      <c r="H102" s="60">
        <v>5833.333333333333</v>
      </c>
      <c r="I102" s="60">
        <v>5833.333333333333</v>
      </c>
      <c r="J102" s="60">
        <v>5833.333333333333</v>
      </c>
      <c r="K102" s="60">
        <v>5833.333333333333</v>
      </c>
      <c r="L102" s="60">
        <v>5833.333333333333</v>
      </c>
      <c r="M102" s="60">
        <v>5833.333333333333</v>
      </c>
      <c r="N102" s="60">
        <v>5833.333333333333</v>
      </c>
      <c r="O102" s="60">
        <v>5833.333333333333</v>
      </c>
      <c r="P102" s="60">
        <v>5833.333333333333</v>
      </c>
      <c r="Q102" s="60">
        <v>5833.333333333333</v>
      </c>
      <c r="R102" s="60">
        <v>5833.333333333333</v>
      </c>
      <c r="S102" s="61">
        <f t="shared" si="3"/>
        <v>70000.000000000015</v>
      </c>
      <c r="U102" s="61">
        <f t="shared" si="5"/>
        <v>70000.000000000015</v>
      </c>
    </row>
    <row r="103" spans="1:21" x14ac:dyDescent="0.3">
      <c r="A103" s="16" t="str">
        <f>_xlfn.XLOOKUP(B103,'Reference '!J:J,'Reference '!K:K)</f>
        <v>Roger Plummer</v>
      </c>
      <c r="B103" s="16" t="s">
        <v>661</v>
      </c>
      <c r="C103" s="16">
        <v>612520</v>
      </c>
      <c r="D103" s="16" t="s">
        <v>572</v>
      </c>
      <c r="E103" s="16" t="s">
        <v>666</v>
      </c>
      <c r="F103" s="16" t="s">
        <v>572</v>
      </c>
      <c r="G103" s="60">
        <v>4833.333333333333</v>
      </c>
      <c r="H103" s="60">
        <v>4833.333333333333</v>
      </c>
      <c r="I103" s="60">
        <v>4833.333333333333</v>
      </c>
      <c r="J103" s="60">
        <v>4833.333333333333</v>
      </c>
      <c r="K103" s="60">
        <v>4833.333333333333</v>
      </c>
      <c r="L103" s="60">
        <v>4833.333333333333</v>
      </c>
      <c r="M103" s="60">
        <v>4833.333333333333</v>
      </c>
      <c r="N103" s="60">
        <v>4833.333333333333</v>
      </c>
      <c r="O103" s="60">
        <v>4833.333333333333</v>
      </c>
      <c r="P103" s="60">
        <v>4833.333333333333</v>
      </c>
      <c r="Q103" s="60">
        <v>4833.333333333333</v>
      </c>
      <c r="R103" s="60">
        <v>4833.333333333333</v>
      </c>
      <c r="S103" s="61">
        <f t="shared" si="3"/>
        <v>58000.000000000007</v>
      </c>
      <c r="U103" s="61">
        <f t="shared" si="5"/>
        <v>58000.000000000007</v>
      </c>
    </row>
    <row r="104" spans="1:21" x14ac:dyDescent="0.3">
      <c r="A104" s="16" t="str">
        <f>_xlfn.XLOOKUP(B104,'Reference '!J:J,'Reference '!K:K)</f>
        <v>Roger Plummer</v>
      </c>
      <c r="B104" s="28" t="s">
        <v>661</v>
      </c>
      <c r="C104" s="28">
        <v>612520</v>
      </c>
      <c r="D104" s="28" t="s">
        <v>572</v>
      </c>
      <c r="E104" s="28" t="s">
        <v>667</v>
      </c>
      <c r="F104" s="28" t="s">
        <v>572</v>
      </c>
      <c r="G104" s="60">
        <v>20833.333333333332</v>
      </c>
      <c r="H104" s="60">
        <v>20833.333333333332</v>
      </c>
      <c r="I104" s="60">
        <v>20833.333333333332</v>
      </c>
      <c r="J104" s="60">
        <v>20833.333333333332</v>
      </c>
      <c r="K104" s="60">
        <v>20833.333333333332</v>
      </c>
      <c r="L104" s="60">
        <v>20833.333333333332</v>
      </c>
      <c r="M104" s="60">
        <v>20833.333333333332</v>
      </c>
      <c r="N104" s="60">
        <v>20833.333333333332</v>
      </c>
      <c r="O104" s="60">
        <v>20833.333333333332</v>
      </c>
      <c r="P104" s="60">
        <v>20833.333333333332</v>
      </c>
      <c r="Q104" s="60">
        <v>20833.333333333332</v>
      </c>
      <c r="R104" s="60">
        <v>20833.333333333332</v>
      </c>
      <c r="S104" s="62">
        <f t="shared" si="3"/>
        <v>250000.00000000003</v>
      </c>
      <c r="U104" s="61">
        <f t="shared" si="5"/>
        <v>250000.00000000003</v>
      </c>
    </row>
    <row r="105" spans="1:21" x14ac:dyDescent="0.3">
      <c r="A105" s="16" t="str">
        <f>_xlfn.XLOOKUP(B105,'Reference '!J:J,'Reference '!K:K)</f>
        <v>Roger Plummer</v>
      </c>
      <c r="B105" s="16" t="s">
        <v>661</v>
      </c>
      <c r="C105" s="16">
        <v>612520</v>
      </c>
      <c r="D105" s="16" t="s">
        <v>572</v>
      </c>
      <c r="E105" s="16" t="s">
        <v>668</v>
      </c>
      <c r="F105" s="16" t="s">
        <v>572</v>
      </c>
      <c r="G105" s="60">
        <v>2500</v>
      </c>
      <c r="H105" s="60">
        <v>2500</v>
      </c>
      <c r="I105" s="60">
        <v>2500</v>
      </c>
      <c r="J105" s="60">
        <v>2500</v>
      </c>
      <c r="K105" s="60">
        <v>2500</v>
      </c>
      <c r="L105" s="60">
        <v>2500</v>
      </c>
      <c r="M105" s="60">
        <v>2500</v>
      </c>
      <c r="N105" s="60">
        <v>2500</v>
      </c>
      <c r="O105" s="60">
        <v>2500</v>
      </c>
      <c r="P105" s="60">
        <v>2500</v>
      </c>
      <c r="Q105" s="60">
        <v>2500</v>
      </c>
      <c r="R105" s="60">
        <v>2500</v>
      </c>
      <c r="S105" s="61">
        <f t="shared" si="3"/>
        <v>30000</v>
      </c>
      <c r="U105" s="61">
        <f t="shared" si="5"/>
        <v>30000</v>
      </c>
    </row>
    <row r="106" spans="1:21" x14ac:dyDescent="0.3">
      <c r="A106" s="16" t="str">
        <f>_xlfn.XLOOKUP(B106,'Reference '!J:J,'Reference '!K:K)</f>
        <v>Paolo Rodeghiero</v>
      </c>
      <c r="B106" s="16" t="s">
        <v>669</v>
      </c>
      <c r="C106" s="16">
        <v>612520</v>
      </c>
      <c r="D106" s="16" t="s">
        <v>572</v>
      </c>
      <c r="E106" s="16" t="s">
        <v>670</v>
      </c>
      <c r="F106" s="16" t="s">
        <v>572</v>
      </c>
      <c r="G106" s="60">
        <v>2000</v>
      </c>
      <c r="H106" s="60">
        <v>2000</v>
      </c>
      <c r="I106" s="60">
        <v>2000</v>
      </c>
      <c r="J106" s="60">
        <v>2000</v>
      </c>
      <c r="K106" s="60">
        <v>2000</v>
      </c>
      <c r="L106" s="60">
        <v>2000</v>
      </c>
      <c r="M106" s="60">
        <v>2000</v>
      </c>
      <c r="N106" s="60">
        <v>2000</v>
      </c>
      <c r="O106" s="60">
        <v>2000</v>
      </c>
      <c r="P106" s="60">
        <v>2000</v>
      </c>
      <c r="Q106" s="60">
        <v>2000</v>
      </c>
      <c r="R106" s="60">
        <v>2000</v>
      </c>
      <c r="S106" s="61">
        <f t="shared" si="3"/>
        <v>24000</v>
      </c>
      <c r="U106" s="61">
        <f t="shared" si="5"/>
        <v>24000</v>
      </c>
    </row>
    <row r="107" spans="1:21" x14ac:dyDescent="0.3">
      <c r="A107" s="16" t="str">
        <f>_xlfn.XLOOKUP(B107,'Reference '!J:J,'Reference '!K:K)</f>
        <v>Paolo Rodeghiero</v>
      </c>
      <c r="B107" s="16" t="s">
        <v>669</v>
      </c>
      <c r="C107" s="16">
        <v>612520</v>
      </c>
      <c r="D107" s="16" t="s">
        <v>572</v>
      </c>
      <c r="E107" s="16" t="s">
        <v>671</v>
      </c>
      <c r="F107" s="16" t="s">
        <v>572</v>
      </c>
      <c r="G107" s="60">
        <v>200</v>
      </c>
      <c r="H107" s="60">
        <v>200</v>
      </c>
      <c r="I107" s="60">
        <v>200</v>
      </c>
      <c r="J107" s="60">
        <v>200</v>
      </c>
      <c r="K107" s="60">
        <v>200</v>
      </c>
      <c r="L107" s="60">
        <v>200</v>
      </c>
      <c r="M107" s="60">
        <v>200</v>
      </c>
      <c r="N107" s="60">
        <v>200</v>
      </c>
      <c r="O107" s="60">
        <v>200</v>
      </c>
      <c r="P107" s="60">
        <v>200</v>
      </c>
      <c r="Q107" s="60">
        <v>200</v>
      </c>
      <c r="R107" s="60">
        <v>200</v>
      </c>
      <c r="S107" s="61">
        <f t="shared" si="3"/>
        <v>2400</v>
      </c>
      <c r="U107" s="61">
        <f t="shared" si="5"/>
        <v>2400</v>
      </c>
    </row>
    <row r="108" spans="1:21" x14ac:dyDescent="0.3">
      <c r="A108" s="16" t="str">
        <f>_xlfn.XLOOKUP(B108,'Reference '!J:J,'Reference '!K:K)</f>
        <v>Paolo Rodeghiero</v>
      </c>
      <c r="B108" s="16" t="s">
        <v>669</v>
      </c>
      <c r="C108" s="16">
        <v>612520</v>
      </c>
      <c r="D108" s="16" t="s">
        <v>572</v>
      </c>
      <c r="E108" s="16" t="s">
        <v>672</v>
      </c>
      <c r="F108" s="16" t="s">
        <v>572</v>
      </c>
      <c r="G108" s="60">
        <v>200</v>
      </c>
      <c r="H108" s="60">
        <v>200</v>
      </c>
      <c r="I108" s="60">
        <v>200</v>
      </c>
      <c r="J108" s="60">
        <v>200</v>
      </c>
      <c r="K108" s="60">
        <v>200</v>
      </c>
      <c r="L108" s="60">
        <v>200</v>
      </c>
      <c r="M108" s="60">
        <v>200</v>
      </c>
      <c r="N108" s="60">
        <v>200</v>
      </c>
      <c r="O108" s="60">
        <v>200</v>
      </c>
      <c r="P108" s="60">
        <v>200</v>
      </c>
      <c r="Q108" s="60">
        <v>200</v>
      </c>
      <c r="R108" s="60">
        <v>200</v>
      </c>
      <c r="S108" s="61">
        <f t="shared" si="3"/>
        <v>2400</v>
      </c>
      <c r="U108" s="61">
        <f t="shared" si="5"/>
        <v>2400</v>
      </c>
    </row>
    <row r="109" spans="1:21" x14ac:dyDescent="0.3">
      <c r="A109" s="16" t="str">
        <f>_xlfn.XLOOKUP(B109,'Reference '!J:J,'Reference '!K:K)</f>
        <v>Paolo Rodeghiero</v>
      </c>
      <c r="B109" s="16" t="s">
        <v>669</v>
      </c>
      <c r="C109" s="16">
        <v>612520</v>
      </c>
      <c r="D109" s="16" t="s">
        <v>572</v>
      </c>
      <c r="E109" s="16" t="s">
        <v>673</v>
      </c>
      <c r="F109" s="16" t="s">
        <v>572</v>
      </c>
      <c r="G109" s="60">
        <v>833.33333333333337</v>
      </c>
      <c r="H109" s="60">
        <v>833.33333333333337</v>
      </c>
      <c r="I109" s="60">
        <v>833.33333333333337</v>
      </c>
      <c r="J109" s="60">
        <v>833.33333333333337</v>
      </c>
      <c r="K109" s="60">
        <v>833.33333333333337</v>
      </c>
      <c r="L109" s="60">
        <v>833.33333333333337</v>
      </c>
      <c r="M109" s="60">
        <v>833.33333333333337</v>
      </c>
      <c r="N109" s="60">
        <v>833.33333333333337</v>
      </c>
      <c r="O109" s="60">
        <v>833.33333333333337</v>
      </c>
      <c r="P109" s="60">
        <v>833.33333333333337</v>
      </c>
      <c r="Q109" s="60">
        <v>833.33333333333337</v>
      </c>
      <c r="R109" s="60">
        <v>833.33333333333337</v>
      </c>
      <c r="S109" s="61">
        <f t="shared" si="3"/>
        <v>10000</v>
      </c>
      <c r="U109" s="61">
        <f t="shared" si="5"/>
        <v>10000</v>
      </c>
    </row>
    <row r="110" spans="1:21" x14ac:dyDescent="0.3">
      <c r="A110" s="16" t="str">
        <f>_xlfn.XLOOKUP(B110,'Reference '!J:J,'Reference '!K:K)</f>
        <v>Paolo Rodeghiero</v>
      </c>
      <c r="B110" s="16" t="s">
        <v>669</v>
      </c>
      <c r="C110" s="16">
        <v>612520</v>
      </c>
      <c r="D110" s="16" t="s">
        <v>572</v>
      </c>
      <c r="E110" s="16" t="s">
        <v>674</v>
      </c>
      <c r="F110" s="16" t="s">
        <v>572</v>
      </c>
      <c r="G110" s="60">
        <v>4166.666666666667</v>
      </c>
      <c r="H110" s="60">
        <v>4166.666666666667</v>
      </c>
      <c r="I110" s="60">
        <v>4166.666666666667</v>
      </c>
      <c r="J110" s="60">
        <v>4166.666666666667</v>
      </c>
      <c r="K110" s="60">
        <v>4166.666666666667</v>
      </c>
      <c r="L110" s="60">
        <v>4166.666666666667</v>
      </c>
      <c r="M110" s="60">
        <v>4166.666666666667</v>
      </c>
      <c r="N110" s="60">
        <v>4166.666666666667</v>
      </c>
      <c r="O110" s="60">
        <v>4166.666666666667</v>
      </c>
      <c r="P110" s="60">
        <v>4166.666666666667</v>
      </c>
      <c r="Q110" s="60">
        <v>4166.666666666667</v>
      </c>
      <c r="R110" s="60">
        <v>4166.666666666667</v>
      </c>
      <c r="S110" s="61">
        <f t="shared" si="3"/>
        <v>49999.999999999993</v>
      </c>
      <c r="T110" s="46">
        <f>'4.2 Simplify Savings'!AB63</f>
        <v>-49999.999999999993</v>
      </c>
      <c r="U110" s="61">
        <f t="shared" si="5"/>
        <v>0</v>
      </c>
    </row>
    <row r="111" spans="1:21" x14ac:dyDescent="0.3">
      <c r="A111" s="16" t="str">
        <f>_xlfn.XLOOKUP(B111,'Reference '!J:J,'Reference '!K:K)</f>
        <v>Paolo Rodeghiero</v>
      </c>
      <c r="B111" s="16" t="s">
        <v>669</v>
      </c>
      <c r="C111" s="16">
        <v>612520</v>
      </c>
      <c r="D111" s="16" t="s">
        <v>572</v>
      </c>
      <c r="E111" s="16" t="s">
        <v>675</v>
      </c>
      <c r="F111" s="16" t="s">
        <v>572</v>
      </c>
      <c r="G111" s="60">
        <v>4166.666666666667</v>
      </c>
      <c r="H111" s="60">
        <v>4166.666666666667</v>
      </c>
      <c r="I111" s="60">
        <v>4166.666666666667</v>
      </c>
      <c r="J111" s="60">
        <v>4166.666666666667</v>
      </c>
      <c r="K111" s="60">
        <v>4166.666666666667</v>
      </c>
      <c r="L111" s="60">
        <v>4166.666666666667</v>
      </c>
      <c r="M111" s="60">
        <v>4166.666666666667</v>
      </c>
      <c r="N111" s="60">
        <v>4166.666666666667</v>
      </c>
      <c r="O111" s="60">
        <v>4166.666666666667</v>
      </c>
      <c r="P111" s="60">
        <v>4166.666666666667</v>
      </c>
      <c r="Q111" s="60">
        <v>4166.666666666667</v>
      </c>
      <c r="R111" s="60">
        <v>4166.666666666667</v>
      </c>
      <c r="S111" s="61">
        <f t="shared" si="3"/>
        <v>49999.999999999993</v>
      </c>
      <c r="T111" s="46">
        <f>'4.2 Simplify Savings'!AB64</f>
        <v>-49999.999999999993</v>
      </c>
      <c r="U111" s="61">
        <f t="shared" si="5"/>
        <v>0</v>
      </c>
    </row>
    <row r="112" spans="1:21" x14ac:dyDescent="0.3">
      <c r="A112" s="16" t="str">
        <f>_xlfn.XLOOKUP(B112,'Reference '!J:J,'Reference '!K:K)</f>
        <v>Paolo Rodeghiero</v>
      </c>
      <c r="B112" s="16" t="s">
        <v>669</v>
      </c>
      <c r="C112" s="16">
        <v>612520</v>
      </c>
      <c r="D112" s="16" t="s">
        <v>572</v>
      </c>
      <c r="E112" s="16" t="s">
        <v>676</v>
      </c>
      <c r="F112" s="16" t="s">
        <v>572</v>
      </c>
      <c r="G112" s="60">
        <v>333.33333333333331</v>
      </c>
      <c r="H112" s="60">
        <v>333.33333333333331</v>
      </c>
      <c r="I112" s="60">
        <v>333.33333333333331</v>
      </c>
      <c r="J112" s="60">
        <v>333.33333333333331</v>
      </c>
      <c r="K112" s="60">
        <v>333.33333333333331</v>
      </c>
      <c r="L112" s="60">
        <v>333.33333333333331</v>
      </c>
      <c r="M112" s="60">
        <v>333.33333333333331</v>
      </c>
      <c r="N112" s="60">
        <v>333.33333333333331</v>
      </c>
      <c r="O112" s="60">
        <v>333.33333333333331</v>
      </c>
      <c r="P112" s="60">
        <v>333.33333333333331</v>
      </c>
      <c r="Q112" s="60">
        <v>333.33333333333331</v>
      </c>
      <c r="R112" s="60">
        <v>333.33333333333331</v>
      </c>
      <c r="S112" s="61">
        <f t="shared" si="3"/>
        <v>4000.0000000000005</v>
      </c>
      <c r="T112" s="46">
        <f>'4.2 Simplify Savings'!AB65</f>
        <v>-4000.0000000000005</v>
      </c>
      <c r="U112" s="61">
        <f t="shared" si="5"/>
        <v>0</v>
      </c>
    </row>
    <row r="113" spans="1:28" x14ac:dyDescent="0.3">
      <c r="A113" s="16" t="str">
        <f>_xlfn.XLOOKUP(B113,'Reference '!J:J,'Reference '!K:K)</f>
        <v>Paolo Rodeghiero</v>
      </c>
      <c r="B113" s="16" t="s">
        <v>669</v>
      </c>
      <c r="C113" s="16">
        <v>613025</v>
      </c>
      <c r="D113" s="16" t="s">
        <v>572</v>
      </c>
      <c r="E113" s="16" t="s">
        <v>677</v>
      </c>
      <c r="F113" s="16" t="s">
        <v>572</v>
      </c>
      <c r="G113" s="60">
        <v>15833.333333333334</v>
      </c>
      <c r="H113" s="60">
        <v>15833.333333333334</v>
      </c>
      <c r="I113" s="60">
        <v>15833.333333333334</v>
      </c>
      <c r="J113" s="60">
        <v>15833.333333333334</v>
      </c>
      <c r="K113" s="60">
        <v>15833.333333333334</v>
      </c>
      <c r="L113" s="60">
        <v>15833.333333333334</v>
      </c>
      <c r="M113" s="60">
        <v>15833.333333333334</v>
      </c>
      <c r="N113" s="60">
        <v>15833.333333333334</v>
      </c>
      <c r="O113" s="60">
        <v>15833.333333333334</v>
      </c>
      <c r="P113" s="60">
        <v>15833.333333333334</v>
      </c>
      <c r="Q113" s="60">
        <v>15833.333333333334</v>
      </c>
      <c r="R113" s="60">
        <v>15833.333333333334</v>
      </c>
      <c r="S113" s="61">
        <f t="shared" si="3"/>
        <v>190000.00000000003</v>
      </c>
      <c r="T113" s="46">
        <f>'4.2 Simplify Savings'!AB66</f>
        <v>-70000.000000000015</v>
      </c>
      <c r="U113" s="61">
        <f t="shared" si="5"/>
        <v>120000.00000000001</v>
      </c>
      <c r="V113" s="16" t="s">
        <v>1158</v>
      </c>
    </row>
    <row r="114" spans="1:28" x14ac:dyDescent="0.3">
      <c r="A114" s="16" t="str">
        <f>_xlfn.XLOOKUP(B114,'Reference '!J:J,'Reference '!K:K)</f>
        <v>Paolo Rodeghiero</v>
      </c>
      <c r="B114" s="16" t="s">
        <v>669</v>
      </c>
      <c r="C114" s="16">
        <v>613025</v>
      </c>
      <c r="D114" s="16" t="s">
        <v>572</v>
      </c>
      <c r="E114" s="16" t="s">
        <v>678</v>
      </c>
      <c r="F114" s="16" t="s">
        <v>572</v>
      </c>
      <c r="G114" s="60">
        <v>21666.666666666668</v>
      </c>
      <c r="H114" s="60">
        <v>21666.666666666668</v>
      </c>
      <c r="I114" s="60">
        <v>21666.666666666668</v>
      </c>
      <c r="J114" s="60">
        <v>21666.666666666668</v>
      </c>
      <c r="K114" s="60">
        <v>21666.666666666668</v>
      </c>
      <c r="L114" s="60">
        <v>21666.666666666668</v>
      </c>
      <c r="M114" s="60">
        <v>21666.666666666668</v>
      </c>
      <c r="N114" s="60">
        <v>21666.666666666668</v>
      </c>
      <c r="O114" s="60">
        <v>21666.666666666668</v>
      </c>
      <c r="P114" s="60">
        <v>21666.666666666668</v>
      </c>
      <c r="Q114" s="60">
        <v>21666.666666666668</v>
      </c>
      <c r="R114" s="60">
        <v>21666.666666666668</v>
      </c>
      <c r="S114" s="61">
        <f t="shared" ref="S114:S138" si="6">SUM(G114:R114)</f>
        <v>259999.99999999997</v>
      </c>
      <c r="T114" s="46">
        <f>'4.2 Simplify Savings'!AB67</f>
        <v>-70000.000000000015</v>
      </c>
      <c r="U114" s="61">
        <f t="shared" si="5"/>
        <v>189999.99999999994</v>
      </c>
      <c r="V114" s="16" t="s">
        <v>1158</v>
      </c>
    </row>
    <row r="115" spans="1:28" x14ac:dyDescent="0.3">
      <c r="A115" s="16" t="str">
        <f>_xlfn.XLOOKUP(B115,'Reference '!J:J,'Reference '!K:K)</f>
        <v>Paolo Rodeghiero</v>
      </c>
      <c r="B115" s="16" t="s">
        <v>669</v>
      </c>
      <c r="C115" s="16">
        <v>613025</v>
      </c>
      <c r="D115" s="16" t="s">
        <v>572</v>
      </c>
      <c r="E115" s="16" t="s">
        <v>679</v>
      </c>
      <c r="F115" s="16" t="s">
        <v>572</v>
      </c>
      <c r="G115" s="60">
        <v>13333.333333333334</v>
      </c>
      <c r="H115" s="60">
        <v>13333.333333333334</v>
      </c>
      <c r="I115" s="60">
        <v>13333.333333333334</v>
      </c>
      <c r="J115" s="60">
        <v>13333.333333333334</v>
      </c>
      <c r="K115" s="60">
        <v>13333.333333333334</v>
      </c>
      <c r="L115" s="60">
        <v>13333.333333333334</v>
      </c>
      <c r="M115" s="60">
        <v>13333.333333333334</v>
      </c>
      <c r="N115" s="60">
        <v>13333.333333333334</v>
      </c>
      <c r="O115" s="60">
        <v>13333.333333333334</v>
      </c>
      <c r="P115" s="60">
        <v>13333.333333333334</v>
      </c>
      <c r="Q115" s="60">
        <v>13333.333333333334</v>
      </c>
      <c r="R115" s="60">
        <v>13333.333333333334</v>
      </c>
      <c r="S115" s="61">
        <f t="shared" si="6"/>
        <v>160000</v>
      </c>
      <c r="T115" s="46">
        <f>'4.2 Simplify Savings'!AB68</f>
        <v>-70000.000000000015</v>
      </c>
      <c r="U115" s="61">
        <f t="shared" si="5"/>
        <v>89999.999999999985</v>
      </c>
      <c r="V115" s="16" t="s">
        <v>1158</v>
      </c>
    </row>
    <row r="116" spans="1:28" x14ac:dyDescent="0.3">
      <c r="A116" s="16" t="str">
        <f>_xlfn.XLOOKUP(B116,'Reference '!J:J,'Reference '!K:K)</f>
        <v>Paolo Rodeghiero</v>
      </c>
      <c r="B116" s="16" t="s">
        <v>669</v>
      </c>
      <c r="C116" s="16">
        <v>613003</v>
      </c>
      <c r="D116" s="16" t="s">
        <v>572</v>
      </c>
      <c r="E116" s="16" t="s">
        <v>680</v>
      </c>
      <c r="F116" s="16" t="s">
        <v>572</v>
      </c>
      <c r="G116" s="60">
        <v>183.33333333333334</v>
      </c>
      <c r="H116" s="60">
        <v>183.33333333333334</v>
      </c>
      <c r="I116" s="60">
        <v>183.33333333333334</v>
      </c>
      <c r="J116" s="60">
        <v>183.33333333333334</v>
      </c>
      <c r="K116" s="60">
        <v>183.33333333333334</v>
      </c>
      <c r="L116" s="60">
        <v>183.33333333333334</v>
      </c>
      <c r="M116" s="60">
        <v>183.33333333333334</v>
      </c>
      <c r="N116" s="60">
        <v>183.33333333333334</v>
      </c>
      <c r="O116" s="60">
        <v>183.33333333333334</v>
      </c>
      <c r="P116" s="60">
        <v>183.33333333333334</v>
      </c>
      <c r="Q116" s="60">
        <v>183.33333333333334</v>
      </c>
      <c r="R116" s="60">
        <v>183.33333333333334</v>
      </c>
      <c r="S116" s="61">
        <f t="shared" si="6"/>
        <v>2199.9999999999995</v>
      </c>
      <c r="U116" s="61">
        <f t="shared" si="5"/>
        <v>2199.9999999999995</v>
      </c>
    </row>
    <row r="117" spans="1:28" x14ac:dyDescent="0.3">
      <c r="A117" s="16" t="str">
        <f>_xlfn.XLOOKUP(B117,'Reference '!J:J,'Reference '!K:K)</f>
        <v>Paolo Rodeghiero</v>
      </c>
      <c r="B117" s="16" t="s">
        <v>669</v>
      </c>
      <c r="C117" s="16">
        <v>613003</v>
      </c>
      <c r="D117" s="16" t="s">
        <v>572</v>
      </c>
      <c r="E117" s="16" t="s">
        <v>681</v>
      </c>
      <c r="F117" s="16" t="s">
        <v>572</v>
      </c>
      <c r="G117" s="60">
        <v>1666.6666666666667</v>
      </c>
      <c r="H117" s="60">
        <v>1666.6666666666667</v>
      </c>
      <c r="I117" s="60">
        <v>1666.6666666666667</v>
      </c>
      <c r="J117" s="60">
        <v>1666.6666666666667</v>
      </c>
      <c r="K117" s="60">
        <v>1666.6666666666667</v>
      </c>
      <c r="L117" s="60">
        <v>1666.6666666666667</v>
      </c>
      <c r="M117" s="60">
        <v>1666.6666666666667</v>
      </c>
      <c r="N117" s="60">
        <v>1666.6666666666667</v>
      </c>
      <c r="O117" s="60">
        <v>1666.6666666666667</v>
      </c>
      <c r="P117" s="60">
        <v>1666.6666666666667</v>
      </c>
      <c r="Q117" s="60">
        <v>1666.6666666666667</v>
      </c>
      <c r="R117" s="60">
        <v>1666.6666666666667</v>
      </c>
      <c r="S117" s="61">
        <f t="shared" si="6"/>
        <v>20000</v>
      </c>
      <c r="U117" s="61">
        <f t="shared" si="5"/>
        <v>20000</v>
      </c>
    </row>
    <row r="118" spans="1:28" x14ac:dyDescent="0.3">
      <c r="A118" s="16" t="str">
        <f>_xlfn.XLOOKUP(B118,'Reference '!J:J,'Reference '!K:K)</f>
        <v>Paolo Rodeghiero</v>
      </c>
      <c r="B118" s="16" t="s">
        <v>669</v>
      </c>
      <c r="C118" s="16">
        <v>613003</v>
      </c>
      <c r="D118" s="16" t="s">
        <v>572</v>
      </c>
      <c r="E118" s="16" t="s">
        <v>682</v>
      </c>
      <c r="F118" s="16" t="s">
        <v>572</v>
      </c>
      <c r="G118" s="60">
        <v>4166.666666666667</v>
      </c>
      <c r="H118" s="60">
        <v>4166.666666666667</v>
      </c>
      <c r="I118" s="60">
        <v>4166.666666666667</v>
      </c>
      <c r="J118" s="60">
        <v>4166.666666666667</v>
      </c>
      <c r="K118" s="60">
        <v>4166.666666666667</v>
      </c>
      <c r="L118" s="60">
        <v>4166.666666666667</v>
      </c>
      <c r="M118" s="60">
        <v>4166.666666666667</v>
      </c>
      <c r="N118" s="60">
        <v>4166.666666666667</v>
      </c>
      <c r="O118" s="60">
        <v>4166.666666666667</v>
      </c>
      <c r="P118" s="60">
        <v>4166.666666666667</v>
      </c>
      <c r="Q118" s="60">
        <v>4166.666666666667</v>
      </c>
      <c r="R118" s="60">
        <v>4166.666666666667</v>
      </c>
      <c r="S118" s="61">
        <f t="shared" si="6"/>
        <v>49999.999999999993</v>
      </c>
      <c r="U118" s="61">
        <f t="shared" si="5"/>
        <v>49999.999999999993</v>
      </c>
    </row>
    <row r="119" spans="1:28" x14ac:dyDescent="0.3">
      <c r="A119" s="16" t="str">
        <f>_xlfn.XLOOKUP(B119,'Reference '!J:J,'Reference '!K:K)</f>
        <v>Paolo Rodeghiero</v>
      </c>
      <c r="B119" s="16" t="s">
        <v>669</v>
      </c>
      <c r="C119" s="16">
        <v>613025</v>
      </c>
      <c r="D119" s="16" t="s">
        <v>572</v>
      </c>
      <c r="E119" s="16" t="s">
        <v>683</v>
      </c>
      <c r="F119" s="16" t="s">
        <v>572</v>
      </c>
      <c r="G119" s="60">
        <v>25000</v>
      </c>
      <c r="H119" s="60">
        <v>25000</v>
      </c>
      <c r="I119" s="60">
        <v>25000</v>
      </c>
      <c r="J119" s="60">
        <v>25000</v>
      </c>
      <c r="K119" s="60">
        <v>25000</v>
      </c>
      <c r="L119" s="60">
        <v>25000</v>
      </c>
      <c r="M119" s="60">
        <v>25000</v>
      </c>
      <c r="N119" s="60">
        <v>25000</v>
      </c>
      <c r="O119" s="60">
        <v>25000</v>
      </c>
      <c r="P119" s="60">
        <v>25000</v>
      </c>
      <c r="Q119" s="60">
        <v>25000</v>
      </c>
      <c r="R119" s="60">
        <v>25000</v>
      </c>
      <c r="S119" s="61">
        <f t="shared" si="6"/>
        <v>300000</v>
      </c>
      <c r="T119" s="46">
        <f>'4.2 Simplify Savings'!AB69</f>
        <v>-120000</v>
      </c>
      <c r="U119" s="61">
        <f t="shared" si="5"/>
        <v>180000</v>
      </c>
      <c r="V119" s="16" t="s">
        <v>1158</v>
      </c>
      <c r="Y119" s="49"/>
      <c r="Z119" s="49" t="s">
        <v>684</v>
      </c>
      <c r="AA119" s="49" t="s">
        <v>9</v>
      </c>
    </row>
    <row r="120" spans="1:28" x14ac:dyDescent="0.3">
      <c r="A120" s="16" t="str">
        <f>_xlfn.XLOOKUP(B120,'Reference '!J:J,'Reference '!K:K)</f>
        <v>Paolo Rodeghiero</v>
      </c>
      <c r="B120" s="16" t="s">
        <v>669</v>
      </c>
      <c r="C120" s="16">
        <v>613025</v>
      </c>
      <c r="D120" s="16" t="s">
        <v>572</v>
      </c>
      <c r="E120" s="16" t="s">
        <v>685</v>
      </c>
      <c r="F120" s="16" t="s">
        <v>572</v>
      </c>
      <c r="G120" s="60">
        <v>37500</v>
      </c>
      <c r="H120" s="60">
        <v>37500</v>
      </c>
      <c r="I120" s="60">
        <v>37500</v>
      </c>
      <c r="J120" s="60">
        <v>37500</v>
      </c>
      <c r="K120" s="60">
        <v>37500</v>
      </c>
      <c r="L120" s="60">
        <v>37500</v>
      </c>
      <c r="M120" s="60">
        <v>37500</v>
      </c>
      <c r="N120" s="60">
        <v>37500</v>
      </c>
      <c r="O120" s="60">
        <v>37500</v>
      </c>
      <c r="P120" s="60">
        <v>37500</v>
      </c>
      <c r="Q120" s="60">
        <v>37500</v>
      </c>
      <c r="R120" s="60">
        <v>37500</v>
      </c>
      <c r="S120" s="61">
        <f t="shared" si="6"/>
        <v>450000</v>
      </c>
      <c r="T120" s="46">
        <f>'4.2 Simplify Savings'!AB70</f>
        <v>-129999.99999999999</v>
      </c>
      <c r="U120" s="61">
        <f t="shared" si="5"/>
        <v>320000</v>
      </c>
      <c r="V120" s="16" t="s">
        <v>1158</v>
      </c>
      <c r="X120" s="16" t="s">
        <v>686</v>
      </c>
      <c r="Y120" s="50" t="s">
        <v>687</v>
      </c>
      <c r="Z120" s="51"/>
      <c r="AA120" s="52">
        <f>S122</f>
        <v>169000</v>
      </c>
      <c r="AB120" s="47">
        <f>SUM(Z120:AA120)</f>
        <v>169000</v>
      </c>
    </row>
    <row r="121" spans="1:28" x14ac:dyDescent="0.3">
      <c r="A121" s="16" t="str">
        <f>_xlfn.XLOOKUP(B121,'Reference '!J:J,'Reference '!K:K)</f>
        <v>Paolo Rodeghiero</v>
      </c>
      <c r="B121" s="16" t="s">
        <v>669</v>
      </c>
      <c r="C121" s="16">
        <v>613025</v>
      </c>
      <c r="D121" s="16" t="s">
        <v>572</v>
      </c>
      <c r="E121" s="16" t="s">
        <v>688</v>
      </c>
      <c r="F121" s="16" t="s">
        <v>572</v>
      </c>
      <c r="G121" s="60">
        <v>17250</v>
      </c>
      <c r="H121" s="60">
        <v>17250</v>
      </c>
      <c r="I121" s="60">
        <v>17250</v>
      </c>
      <c r="J121" s="60">
        <v>17250</v>
      </c>
      <c r="K121" s="60">
        <v>17250</v>
      </c>
      <c r="L121" s="60">
        <v>17250</v>
      </c>
      <c r="M121" s="60">
        <v>17250</v>
      </c>
      <c r="N121" s="60">
        <v>17250</v>
      </c>
      <c r="O121" s="60">
        <v>17250</v>
      </c>
      <c r="P121" s="60">
        <v>17250</v>
      </c>
      <c r="Q121" s="60">
        <v>17250</v>
      </c>
      <c r="R121" s="60">
        <v>17250</v>
      </c>
      <c r="S121" s="61">
        <f t="shared" si="6"/>
        <v>207000</v>
      </c>
      <c r="T121" s="46">
        <f>'4.2 Simplify Savings'!AB71</f>
        <v>-80000</v>
      </c>
      <c r="U121" s="61">
        <f t="shared" si="5"/>
        <v>127000</v>
      </c>
      <c r="V121" s="16" t="s">
        <v>1158</v>
      </c>
      <c r="Y121" s="16" t="s">
        <v>689</v>
      </c>
      <c r="Z121" s="45">
        <f>'2.1 EIL Opex'!AB177</f>
        <v>2085.9599999999996</v>
      </c>
      <c r="AB121" s="45">
        <f>SUM(Z121:AA121)</f>
        <v>2085.9599999999996</v>
      </c>
    </row>
    <row r="122" spans="1:28" x14ac:dyDescent="0.3">
      <c r="A122" s="16" t="str">
        <f>_xlfn.XLOOKUP(B122,'Reference '!J:J,'Reference '!K:K)</f>
        <v>Paolo Rodeghiero</v>
      </c>
      <c r="B122" s="16" t="s">
        <v>669</v>
      </c>
      <c r="C122" s="16">
        <v>613025</v>
      </c>
      <c r="D122" s="16" t="s">
        <v>572</v>
      </c>
      <c r="E122" s="16" t="s">
        <v>690</v>
      </c>
      <c r="F122" s="16" t="s">
        <v>572</v>
      </c>
      <c r="G122" s="60">
        <v>14083.333333333334</v>
      </c>
      <c r="H122" s="60">
        <v>14083.333333333334</v>
      </c>
      <c r="I122" s="60">
        <v>14083.333333333334</v>
      </c>
      <c r="J122" s="60">
        <v>14083.333333333334</v>
      </c>
      <c r="K122" s="60">
        <v>14083.333333333334</v>
      </c>
      <c r="L122" s="60">
        <v>14083.333333333334</v>
      </c>
      <c r="M122" s="60">
        <v>14083.333333333334</v>
      </c>
      <c r="N122" s="60">
        <v>14083.333333333334</v>
      </c>
      <c r="O122" s="60">
        <v>14083.333333333334</v>
      </c>
      <c r="P122" s="60">
        <v>14083.333333333334</v>
      </c>
      <c r="Q122" s="60">
        <v>14083.333333333334</v>
      </c>
      <c r="R122" s="60">
        <v>14083.333333333334</v>
      </c>
      <c r="S122" s="61">
        <f t="shared" si="6"/>
        <v>169000</v>
      </c>
      <c r="T122" s="46">
        <f>'4.2 Simplify Savings'!AB72</f>
        <v>-49999.999999999993</v>
      </c>
      <c r="U122" s="61">
        <f t="shared" si="5"/>
        <v>119000</v>
      </c>
      <c r="V122" s="16" t="s">
        <v>1158</v>
      </c>
      <c r="Z122" s="46">
        <f>'4.2 Simplify Savings'!AB42</f>
        <v>-10008</v>
      </c>
      <c r="AA122" s="46">
        <f>'4.2 Simplify Savings'!AB72</f>
        <v>-49999.999999999993</v>
      </c>
    </row>
    <row r="123" spans="1:28" x14ac:dyDescent="0.3">
      <c r="A123" s="16" t="str">
        <f>_xlfn.XLOOKUP(B123,'Reference '!J:J,'Reference '!K:K)</f>
        <v>Paolo Rodeghiero</v>
      </c>
      <c r="B123" s="16" t="s">
        <v>669</v>
      </c>
      <c r="C123" s="16">
        <v>613025</v>
      </c>
      <c r="D123" s="16" t="s">
        <v>572</v>
      </c>
      <c r="E123" s="16" t="s">
        <v>691</v>
      </c>
      <c r="F123" s="16" t="s">
        <v>572</v>
      </c>
      <c r="G123" s="60">
        <v>10604.666666666666</v>
      </c>
      <c r="H123" s="60">
        <v>10604.666666666666</v>
      </c>
      <c r="I123" s="60">
        <v>10604.666666666666</v>
      </c>
      <c r="J123" s="60">
        <v>10604.666666666666</v>
      </c>
      <c r="K123" s="60">
        <v>10604.666666666666</v>
      </c>
      <c r="L123" s="60">
        <v>10604.666666666666</v>
      </c>
      <c r="M123" s="60">
        <v>10604.666666666666</v>
      </c>
      <c r="N123" s="60">
        <v>10604.666666666666</v>
      </c>
      <c r="O123" s="60">
        <v>10604.666666666666</v>
      </c>
      <c r="P123" s="60">
        <v>10604.666666666666</v>
      </c>
      <c r="Q123" s="60">
        <v>10604.666666666666</v>
      </c>
      <c r="R123" s="60">
        <v>10604.666666666666</v>
      </c>
      <c r="S123" s="61">
        <f t="shared" si="6"/>
        <v>127256.00000000001</v>
      </c>
      <c r="U123" s="61">
        <f t="shared" si="5"/>
        <v>127256.00000000001</v>
      </c>
      <c r="V123" s="16" t="s">
        <v>1158</v>
      </c>
      <c r="Z123" s="48">
        <f>Z121+Z122</f>
        <v>-7922.0400000000009</v>
      </c>
      <c r="AA123" s="27">
        <f>AA120+AA122</f>
        <v>119000</v>
      </c>
      <c r="AB123" s="27">
        <f>Z123+AA123</f>
        <v>111077.95999999999</v>
      </c>
    </row>
    <row r="124" spans="1:28" x14ac:dyDescent="0.3">
      <c r="A124" s="16" t="str">
        <f>_xlfn.XLOOKUP(B124,'Reference '!J:J,'Reference '!K:K)</f>
        <v>Valerie Veyt</v>
      </c>
      <c r="B124" s="16" t="s">
        <v>617</v>
      </c>
      <c r="C124" s="16">
        <v>613003</v>
      </c>
      <c r="D124" s="16" t="s">
        <v>572</v>
      </c>
      <c r="E124" s="16" t="s">
        <v>692</v>
      </c>
      <c r="F124" s="16" t="s">
        <v>693</v>
      </c>
      <c r="G124" s="60">
        <v>0</v>
      </c>
      <c r="H124" s="60">
        <v>0</v>
      </c>
      <c r="I124" s="60">
        <v>0</v>
      </c>
      <c r="J124" s="60">
        <v>0</v>
      </c>
      <c r="K124" s="60">
        <v>0</v>
      </c>
      <c r="L124" s="60">
        <v>0</v>
      </c>
      <c r="M124" s="60">
        <v>0</v>
      </c>
      <c r="N124" s="60">
        <v>0</v>
      </c>
      <c r="O124" s="60">
        <v>0</v>
      </c>
      <c r="P124" s="60">
        <v>0</v>
      </c>
      <c r="Q124" s="60">
        <v>0</v>
      </c>
      <c r="R124" s="60">
        <v>273300.00000000006</v>
      </c>
      <c r="S124" s="61">
        <f t="shared" si="6"/>
        <v>273300.00000000006</v>
      </c>
      <c r="U124" s="61">
        <f t="shared" si="5"/>
        <v>273300.00000000006</v>
      </c>
    </row>
    <row r="125" spans="1:28" x14ac:dyDescent="0.3">
      <c r="A125" s="16" t="str">
        <f>_xlfn.XLOOKUP(B125,'Reference '!J:J,'Reference '!K:K)</f>
        <v>Valerie Veyt</v>
      </c>
      <c r="B125" s="16" t="s">
        <v>617</v>
      </c>
      <c r="C125" s="16">
        <v>613003</v>
      </c>
      <c r="D125" s="16" t="s">
        <v>572</v>
      </c>
      <c r="E125" s="16" t="s">
        <v>694</v>
      </c>
      <c r="F125" s="16" t="s">
        <v>693</v>
      </c>
      <c r="G125" s="60">
        <v>0</v>
      </c>
      <c r="H125" s="60">
        <v>0</v>
      </c>
      <c r="I125" s="60">
        <v>0</v>
      </c>
      <c r="J125" s="60">
        <v>0</v>
      </c>
      <c r="K125" s="60">
        <v>0</v>
      </c>
      <c r="L125" s="60">
        <v>0</v>
      </c>
      <c r="M125" s="60">
        <v>141666.66666666666</v>
      </c>
      <c r="N125" s="60">
        <v>141666.66666666666</v>
      </c>
      <c r="O125" s="60">
        <v>141666.66666666666</v>
      </c>
      <c r="P125" s="60">
        <v>141666.66666666666</v>
      </c>
      <c r="Q125" s="60">
        <v>141666.66666666666</v>
      </c>
      <c r="R125" s="60">
        <v>141666.66666666666</v>
      </c>
      <c r="S125" s="61">
        <f t="shared" si="6"/>
        <v>849999.99999999988</v>
      </c>
      <c r="U125" s="61">
        <f t="shared" si="5"/>
        <v>849999.99999999988</v>
      </c>
    </row>
    <row r="126" spans="1:28" x14ac:dyDescent="0.3">
      <c r="A126" s="16" t="str">
        <f>_xlfn.XLOOKUP(B126,'Reference '!J:J,'Reference '!K:K)</f>
        <v>Valerie Veyt</v>
      </c>
      <c r="B126" s="16" t="s">
        <v>617</v>
      </c>
      <c r="C126" s="16">
        <v>613003</v>
      </c>
      <c r="D126" s="16" t="s">
        <v>572</v>
      </c>
      <c r="E126" s="16" t="s">
        <v>695</v>
      </c>
      <c r="F126" s="16" t="s">
        <v>693</v>
      </c>
      <c r="G126" s="60">
        <v>15000</v>
      </c>
      <c r="H126" s="60">
        <v>15000</v>
      </c>
      <c r="I126" s="60">
        <v>15000</v>
      </c>
      <c r="J126" s="60">
        <v>15000</v>
      </c>
      <c r="K126" s="60">
        <v>15000</v>
      </c>
      <c r="L126" s="60">
        <v>15000</v>
      </c>
      <c r="M126" s="60">
        <v>15000</v>
      </c>
      <c r="N126" s="60">
        <v>15000</v>
      </c>
      <c r="O126" s="60">
        <v>15000</v>
      </c>
      <c r="P126" s="60">
        <v>15000</v>
      </c>
      <c r="Q126" s="60">
        <v>15000</v>
      </c>
      <c r="R126" s="60">
        <v>15000</v>
      </c>
      <c r="S126" s="61">
        <f t="shared" si="6"/>
        <v>180000</v>
      </c>
      <c r="U126" s="61">
        <f t="shared" si="5"/>
        <v>180000</v>
      </c>
    </row>
    <row r="127" spans="1:28" x14ac:dyDescent="0.3">
      <c r="A127" s="16" t="str">
        <f>_xlfn.XLOOKUP(B127,'Reference '!J:J,'Reference '!K:K)</f>
        <v>Paolo Rodeghiero</v>
      </c>
      <c r="B127" s="16" t="s">
        <v>669</v>
      </c>
      <c r="C127" s="16">
        <v>613003</v>
      </c>
      <c r="D127" s="16" t="s">
        <v>572</v>
      </c>
      <c r="E127" s="16" t="s">
        <v>696</v>
      </c>
      <c r="F127" s="16" t="s">
        <v>693</v>
      </c>
      <c r="G127" s="60">
        <v>51000</v>
      </c>
      <c r="H127" s="60">
        <v>51000</v>
      </c>
      <c r="I127" s="60">
        <v>51000</v>
      </c>
      <c r="J127" s="60">
        <v>51000</v>
      </c>
      <c r="K127" s="60">
        <v>51000</v>
      </c>
      <c r="L127" s="60">
        <v>51000</v>
      </c>
      <c r="M127" s="60">
        <v>51000</v>
      </c>
      <c r="N127" s="60">
        <v>51000</v>
      </c>
      <c r="O127" s="60">
        <v>51000</v>
      </c>
      <c r="P127" s="60">
        <v>51000</v>
      </c>
      <c r="Q127" s="60">
        <v>51000</v>
      </c>
      <c r="R127" s="60">
        <v>51000</v>
      </c>
      <c r="S127" s="61">
        <f t="shared" si="6"/>
        <v>612000</v>
      </c>
      <c r="U127" s="61">
        <f t="shared" si="5"/>
        <v>612000</v>
      </c>
      <c r="X127" s="16" t="s">
        <v>697</v>
      </c>
      <c r="Y127" s="50" t="s">
        <v>687</v>
      </c>
      <c r="Z127" s="50"/>
      <c r="AA127" s="52">
        <f>S121</f>
        <v>207000</v>
      </c>
      <c r="AB127" s="47">
        <f>SUM(Z127:AA127)</f>
        <v>207000</v>
      </c>
    </row>
    <row r="128" spans="1:28" x14ac:dyDescent="0.3">
      <c r="A128" s="16" t="str">
        <f>_xlfn.XLOOKUP(B128,'Reference '!J:J,'Reference '!K:K)</f>
        <v>Paolo Rodeghiero</v>
      </c>
      <c r="B128" s="16" t="s">
        <v>669</v>
      </c>
      <c r="C128" s="16">
        <v>613003</v>
      </c>
      <c r="D128" s="16" t="s">
        <v>572</v>
      </c>
      <c r="E128" s="16" t="s">
        <v>696</v>
      </c>
      <c r="F128" s="16" t="s">
        <v>693</v>
      </c>
      <c r="G128" s="60">
        <v>-25500</v>
      </c>
      <c r="H128" s="60">
        <v>-25500</v>
      </c>
      <c r="I128" s="60">
        <v>-25500</v>
      </c>
      <c r="J128" s="60">
        <v>-25500</v>
      </c>
      <c r="K128" s="60">
        <v>-25500</v>
      </c>
      <c r="L128" s="60">
        <v>-25500</v>
      </c>
      <c r="M128" s="60">
        <v>-25500</v>
      </c>
      <c r="N128" s="60">
        <v>-25500</v>
      </c>
      <c r="O128" s="60">
        <v>-25500</v>
      </c>
      <c r="P128" s="60">
        <v>-25500</v>
      </c>
      <c r="Q128" s="60">
        <v>-25500</v>
      </c>
      <c r="R128" s="60">
        <v>-25500</v>
      </c>
      <c r="S128" s="61">
        <f t="shared" si="6"/>
        <v>-306000</v>
      </c>
      <c r="U128" s="61">
        <f t="shared" si="5"/>
        <v>-306000</v>
      </c>
      <c r="Y128" s="16" t="s">
        <v>689</v>
      </c>
      <c r="Z128" s="45">
        <f>'2.1 EIL Opex'!AB176</f>
        <v>17241.379310344826</v>
      </c>
      <c r="AB128" s="45">
        <f>SUM(Z128:AA128)</f>
        <v>17241.379310344826</v>
      </c>
    </row>
    <row r="129" spans="1:28" x14ac:dyDescent="0.3">
      <c r="A129" s="16" t="str">
        <f>_xlfn.XLOOKUP(B129,'Reference '!J:J,'Reference '!K:K)</f>
        <v>Valerie Veyt</v>
      </c>
      <c r="B129" s="16" t="s">
        <v>617</v>
      </c>
      <c r="C129" s="16">
        <v>613003</v>
      </c>
      <c r="D129" s="16" t="s">
        <v>572</v>
      </c>
      <c r="E129" s="16" t="s">
        <v>698</v>
      </c>
      <c r="F129" s="16" t="s">
        <v>693</v>
      </c>
      <c r="G129" s="60">
        <v>15000</v>
      </c>
      <c r="H129" s="60">
        <v>15000</v>
      </c>
      <c r="I129" s="60">
        <v>15000</v>
      </c>
      <c r="J129" s="60">
        <v>15000</v>
      </c>
      <c r="K129" s="60">
        <v>15000</v>
      </c>
      <c r="L129" s="60">
        <v>15000</v>
      </c>
      <c r="M129" s="60">
        <v>15000</v>
      </c>
      <c r="N129" s="60">
        <v>15000</v>
      </c>
      <c r="O129" s="60">
        <v>15000</v>
      </c>
      <c r="P129" s="60">
        <v>15000</v>
      </c>
      <c r="Q129" s="60">
        <v>15000</v>
      </c>
      <c r="R129" s="60">
        <v>15000</v>
      </c>
      <c r="S129" s="61">
        <f t="shared" si="6"/>
        <v>180000</v>
      </c>
      <c r="U129" s="61">
        <f t="shared" si="5"/>
        <v>180000</v>
      </c>
    </row>
    <row r="130" spans="1:28" x14ac:dyDescent="0.3">
      <c r="A130" s="16" t="str">
        <f>_xlfn.XLOOKUP(B130,'Reference '!J:J,'Reference '!K:K)</f>
        <v>Paolo Rodeghiero</v>
      </c>
      <c r="B130" s="16" t="s">
        <v>669</v>
      </c>
      <c r="C130" s="16">
        <v>613003</v>
      </c>
      <c r="D130" s="16" t="s">
        <v>572</v>
      </c>
      <c r="E130" s="16" t="s">
        <v>699</v>
      </c>
      <c r="F130" s="16" t="s">
        <v>693</v>
      </c>
      <c r="G130" s="60">
        <v>34000</v>
      </c>
      <c r="H130" s="60">
        <v>34000</v>
      </c>
      <c r="I130" s="60">
        <v>34000</v>
      </c>
      <c r="J130" s="60">
        <v>34000</v>
      </c>
      <c r="K130" s="60">
        <v>34000</v>
      </c>
      <c r="L130" s="60">
        <v>34000</v>
      </c>
      <c r="M130" s="60">
        <v>34000</v>
      </c>
      <c r="N130" s="60">
        <v>34000</v>
      </c>
      <c r="O130" s="60">
        <v>34000</v>
      </c>
      <c r="P130" s="60">
        <v>34000</v>
      </c>
      <c r="Q130" s="60">
        <v>34000</v>
      </c>
      <c r="R130" s="60">
        <v>34000</v>
      </c>
      <c r="S130" s="61">
        <f t="shared" si="6"/>
        <v>408000</v>
      </c>
      <c r="U130" s="61">
        <f t="shared" si="5"/>
        <v>408000</v>
      </c>
      <c r="Z130" s="46">
        <f>'4.2 Simplify Savings'!AA41</f>
        <v>-105000</v>
      </c>
      <c r="AA130" s="16">
        <v>-80000</v>
      </c>
    </row>
    <row r="131" spans="1:28" x14ac:dyDescent="0.3">
      <c r="A131" s="16" t="str">
        <f>_xlfn.XLOOKUP(B131,'Reference '!J:J,'Reference '!K:K)</f>
        <v>Paolo Rodeghiero</v>
      </c>
      <c r="B131" s="16" t="s">
        <v>669</v>
      </c>
      <c r="C131" s="16">
        <v>613003</v>
      </c>
      <c r="D131" s="16" t="s">
        <v>572</v>
      </c>
      <c r="E131" s="16" t="s">
        <v>700</v>
      </c>
      <c r="F131" s="16" t="s">
        <v>693</v>
      </c>
      <c r="G131" s="60">
        <v>51000</v>
      </c>
      <c r="H131" s="60">
        <v>0</v>
      </c>
      <c r="I131" s="60">
        <v>0</v>
      </c>
      <c r="J131" s="60">
        <v>0</v>
      </c>
      <c r="K131" s="60">
        <v>0</v>
      </c>
      <c r="L131" s="60">
        <v>0</v>
      </c>
      <c r="M131" s="60">
        <v>0</v>
      </c>
      <c r="N131" s="60">
        <v>0</v>
      </c>
      <c r="O131" s="60">
        <v>0</v>
      </c>
      <c r="P131" s="60">
        <v>0</v>
      </c>
      <c r="Q131" s="60">
        <v>0</v>
      </c>
      <c r="R131" s="60">
        <v>0</v>
      </c>
      <c r="S131" s="61">
        <f t="shared" si="6"/>
        <v>51000</v>
      </c>
      <c r="U131" s="61">
        <f t="shared" ref="U131:U162" si="7">SUM(S131:T131)</f>
        <v>51000</v>
      </c>
      <c r="Z131" s="48">
        <f>Z128+Z130</f>
        <v>-87758.620689655174</v>
      </c>
      <c r="AA131" s="27">
        <f>AA127+AA130</f>
        <v>127000</v>
      </c>
      <c r="AB131" s="27"/>
    </row>
    <row r="132" spans="1:28" x14ac:dyDescent="0.3">
      <c r="A132" s="16" t="str">
        <f>_xlfn.XLOOKUP(B132,'Reference '!J:J,'Reference '!K:K)</f>
        <v>Paolo Rodeghiero</v>
      </c>
      <c r="B132" s="16" t="s">
        <v>669</v>
      </c>
      <c r="C132" s="16">
        <v>613003</v>
      </c>
      <c r="D132" s="16" t="s">
        <v>572</v>
      </c>
      <c r="E132" s="16" t="s">
        <v>701</v>
      </c>
      <c r="F132" s="16" t="s">
        <v>693</v>
      </c>
      <c r="G132" s="60">
        <v>20000</v>
      </c>
      <c r="H132" s="60">
        <v>20000</v>
      </c>
      <c r="I132" s="60">
        <v>20000</v>
      </c>
      <c r="J132" s="60">
        <v>0</v>
      </c>
      <c r="K132" s="60">
        <v>0</v>
      </c>
      <c r="L132" s="60">
        <v>0</v>
      </c>
      <c r="M132" s="60">
        <v>0</v>
      </c>
      <c r="N132" s="60">
        <v>0</v>
      </c>
      <c r="O132" s="60">
        <v>0</v>
      </c>
      <c r="P132" s="60">
        <v>0</v>
      </c>
      <c r="Q132" s="60">
        <v>0</v>
      </c>
      <c r="R132" s="60">
        <v>0</v>
      </c>
      <c r="S132" s="61">
        <f t="shared" si="6"/>
        <v>60000</v>
      </c>
      <c r="U132" s="61">
        <f t="shared" si="7"/>
        <v>60000</v>
      </c>
    </row>
    <row r="133" spans="1:28" x14ac:dyDescent="0.3">
      <c r="A133" s="16" t="str">
        <f>_xlfn.XLOOKUP(B133,'Reference '!J:J,'Reference '!K:K)</f>
        <v>Paolo Rodeghiero</v>
      </c>
      <c r="B133" s="16" t="s">
        <v>669</v>
      </c>
      <c r="C133" s="16">
        <v>613003</v>
      </c>
      <c r="D133" s="16" t="s">
        <v>572</v>
      </c>
      <c r="E133" s="16" t="s">
        <v>700</v>
      </c>
      <c r="F133" s="16" t="s">
        <v>693</v>
      </c>
      <c r="G133" s="60">
        <v>-25500</v>
      </c>
      <c r="H133" s="60">
        <v>0</v>
      </c>
      <c r="I133" s="60">
        <v>0</v>
      </c>
      <c r="J133" s="60">
        <v>0</v>
      </c>
      <c r="K133" s="60">
        <v>0</v>
      </c>
      <c r="L133" s="60">
        <v>0</v>
      </c>
      <c r="M133" s="60">
        <v>0</v>
      </c>
      <c r="N133" s="60">
        <v>0</v>
      </c>
      <c r="O133" s="60">
        <v>0</v>
      </c>
      <c r="P133" s="60">
        <v>0</v>
      </c>
      <c r="Q133" s="60">
        <v>0</v>
      </c>
      <c r="R133" s="60">
        <v>0</v>
      </c>
      <c r="S133" s="61">
        <f t="shared" si="6"/>
        <v>-25500</v>
      </c>
      <c r="U133" s="61">
        <f t="shared" si="7"/>
        <v>-25500</v>
      </c>
    </row>
    <row r="134" spans="1:28" x14ac:dyDescent="0.3">
      <c r="A134" s="16" t="str">
        <f>_xlfn.XLOOKUP(B134,'Reference '!J:J,'Reference '!K:K)</f>
        <v>Paolo Rodeghiero</v>
      </c>
      <c r="B134" s="16" t="s">
        <v>669</v>
      </c>
      <c r="C134" s="16">
        <v>613003</v>
      </c>
      <c r="D134" s="16" t="s">
        <v>572</v>
      </c>
      <c r="E134" s="16" t="s">
        <v>701</v>
      </c>
      <c r="F134" s="16" t="s">
        <v>693</v>
      </c>
      <c r="G134" s="60">
        <v>-10000</v>
      </c>
      <c r="H134" s="60">
        <v>-10000</v>
      </c>
      <c r="I134" s="60">
        <v>-10000</v>
      </c>
      <c r="J134" s="60">
        <v>0</v>
      </c>
      <c r="K134" s="60">
        <v>0</v>
      </c>
      <c r="L134" s="60">
        <v>0</v>
      </c>
      <c r="M134" s="60">
        <v>0</v>
      </c>
      <c r="N134" s="60">
        <v>0</v>
      </c>
      <c r="O134" s="60">
        <v>0</v>
      </c>
      <c r="P134" s="60">
        <v>0</v>
      </c>
      <c r="Q134" s="60">
        <v>0</v>
      </c>
      <c r="R134" s="60">
        <v>0</v>
      </c>
      <c r="S134" s="61">
        <f t="shared" si="6"/>
        <v>-30000</v>
      </c>
      <c r="U134" s="61">
        <f t="shared" si="7"/>
        <v>-30000</v>
      </c>
    </row>
    <row r="135" spans="1:28" x14ac:dyDescent="0.3">
      <c r="A135" s="16" t="str">
        <f>_xlfn.XLOOKUP(B135,'Reference '!J:J,'Reference '!K:K)</f>
        <v>Paolo Rodeghiero</v>
      </c>
      <c r="B135" s="16" t="s">
        <v>669</v>
      </c>
      <c r="C135" s="16">
        <v>613003</v>
      </c>
      <c r="D135" s="16" t="s">
        <v>572</v>
      </c>
      <c r="E135" s="16" t="s">
        <v>702</v>
      </c>
      <c r="F135" s="16" t="s">
        <v>693</v>
      </c>
      <c r="G135" s="60">
        <v>51000</v>
      </c>
      <c r="H135" s="60">
        <v>51000</v>
      </c>
      <c r="I135" s="60">
        <v>51000</v>
      </c>
      <c r="J135" s="60">
        <v>0</v>
      </c>
      <c r="K135" s="60">
        <v>0</v>
      </c>
      <c r="L135" s="60">
        <v>0</v>
      </c>
      <c r="M135" s="60">
        <v>0</v>
      </c>
      <c r="N135" s="60">
        <v>0</v>
      </c>
      <c r="O135" s="60">
        <v>0</v>
      </c>
      <c r="P135" s="60">
        <v>0</v>
      </c>
      <c r="Q135" s="60">
        <v>0</v>
      </c>
      <c r="R135" s="60">
        <v>0</v>
      </c>
      <c r="S135" s="61">
        <f t="shared" si="6"/>
        <v>153000</v>
      </c>
      <c r="U135" s="61">
        <f t="shared" si="7"/>
        <v>153000</v>
      </c>
      <c r="Z135" s="45">
        <f>Z123+Z131</f>
        <v>-95680.660689655168</v>
      </c>
    </row>
    <row r="136" spans="1:28" x14ac:dyDescent="0.3">
      <c r="A136" s="16" t="str">
        <f>_xlfn.XLOOKUP(B136,'Reference '!J:J,'Reference '!K:K)</f>
        <v>Paolo Rodeghiero</v>
      </c>
      <c r="B136" s="16" t="s">
        <v>669</v>
      </c>
      <c r="C136" s="16">
        <v>613003</v>
      </c>
      <c r="D136" s="16" t="s">
        <v>572</v>
      </c>
      <c r="E136" s="16" t="s">
        <v>701</v>
      </c>
      <c r="F136" s="16" t="s">
        <v>693</v>
      </c>
      <c r="G136" s="60">
        <v>-10000</v>
      </c>
      <c r="H136" s="60">
        <v>-10000</v>
      </c>
      <c r="I136" s="60">
        <v>-10000</v>
      </c>
      <c r="J136" s="60">
        <v>0</v>
      </c>
      <c r="K136" s="60">
        <v>0</v>
      </c>
      <c r="L136" s="60">
        <v>0</v>
      </c>
      <c r="M136" s="60">
        <v>0</v>
      </c>
      <c r="N136" s="60">
        <v>0</v>
      </c>
      <c r="O136" s="60">
        <v>0</v>
      </c>
      <c r="P136" s="60">
        <v>0</v>
      </c>
      <c r="Q136" s="60">
        <v>0</v>
      </c>
      <c r="R136" s="60">
        <v>0</v>
      </c>
      <c r="S136" s="61">
        <f t="shared" si="6"/>
        <v>-30000</v>
      </c>
      <c r="U136" s="61">
        <f t="shared" si="7"/>
        <v>-30000</v>
      </c>
    </row>
    <row r="137" spans="1:28" x14ac:dyDescent="0.3">
      <c r="A137" s="16" t="str">
        <f>_xlfn.XLOOKUP(B137,'Reference '!J:J,'Reference '!K:K)</f>
        <v>Paolo Rodeghiero</v>
      </c>
      <c r="B137" s="16" t="s">
        <v>669</v>
      </c>
      <c r="C137" s="16">
        <v>613003</v>
      </c>
      <c r="D137" s="16" t="s">
        <v>572</v>
      </c>
      <c r="E137" s="16" t="s">
        <v>702</v>
      </c>
      <c r="F137" s="16" t="s">
        <v>693</v>
      </c>
      <c r="G137" s="60">
        <v>-25500</v>
      </c>
      <c r="H137" s="60">
        <v>-25500</v>
      </c>
      <c r="I137" s="60">
        <v>-25500</v>
      </c>
      <c r="J137" s="60">
        <v>0</v>
      </c>
      <c r="K137" s="60">
        <v>0</v>
      </c>
      <c r="L137" s="60">
        <v>0</v>
      </c>
      <c r="M137" s="60">
        <v>0</v>
      </c>
      <c r="N137" s="60">
        <v>0</v>
      </c>
      <c r="O137" s="60">
        <v>0</v>
      </c>
      <c r="P137" s="60">
        <v>0</v>
      </c>
      <c r="Q137" s="60">
        <v>0</v>
      </c>
      <c r="R137" s="60">
        <v>0</v>
      </c>
      <c r="S137" s="61">
        <f t="shared" si="6"/>
        <v>-76500</v>
      </c>
      <c r="U137" s="61">
        <f t="shared" si="7"/>
        <v>-76500</v>
      </c>
    </row>
    <row r="138" spans="1:28" x14ac:dyDescent="0.3">
      <c r="A138" s="16" t="str">
        <f>_xlfn.XLOOKUP(B138,'Reference '!J:J,'Reference '!K:K)</f>
        <v>Paolo Rodeghiero</v>
      </c>
      <c r="B138" s="16" t="s">
        <v>669</v>
      </c>
      <c r="C138" s="16">
        <v>613003</v>
      </c>
      <c r="D138" s="16" t="s">
        <v>572</v>
      </c>
      <c r="E138" s="16" t="s">
        <v>703</v>
      </c>
      <c r="F138" s="16" t="s">
        <v>693</v>
      </c>
      <c r="G138" s="60">
        <v>24000</v>
      </c>
      <c r="H138" s="60">
        <v>24000</v>
      </c>
      <c r="I138" s="60">
        <v>24000</v>
      </c>
      <c r="J138" s="60">
        <v>24000</v>
      </c>
      <c r="K138" s="60">
        <v>24000</v>
      </c>
      <c r="L138" s="60">
        <v>24000</v>
      </c>
      <c r="M138" s="60">
        <v>24000</v>
      </c>
      <c r="N138" s="60">
        <v>24000</v>
      </c>
      <c r="O138" s="60">
        <v>24000</v>
      </c>
      <c r="P138" s="60">
        <v>24000</v>
      </c>
      <c r="Q138" s="60">
        <v>24000</v>
      </c>
      <c r="R138" s="60">
        <v>24000</v>
      </c>
      <c r="S138" s="61">
        <f t="shared" si="6"/>
        <v>288000</v>
      </c>
      <c r="U138" s="61">
        <f t="shared" si="7"/>
        <v>288000</v>
      </c>
    </row>
    <row r="139" spans="1:28" x14ac:dyDescent="0.3">
      <c r="U139" s="27"/>
      <c r="V139" s="27"/>
    </row>
    <row r="141" spans="1:28" x14ac:dyDescent="0.3">
      <c r="V141" s="27"/>
    </row>
    <row r="145" spans="6:23" x14ac:dyDescent="0.3">
      <c r="U145" s="29"/>
      <c r="W145" s="26"/>
    </row>
    <row r="146" spans="6:23" x14ac:dyDescent="0.3">
      <c r="U146" s="29"/>
      <c r="W146" s="26"/>
    </row>
    <row r="149" spans="6:23" x14ac:dyDescent="0.3">
      <c r="F149" s="26"/>
    </row>
  </sheetData>
  <autoFilter ref="A2:R138" xr:uid="{FB4D630E-3F5A-4317-9790-696AEE289C0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974EA-AC4D-4D17-818A-CE823B06F515}">
  <sheetPr>
    <tabColor rgb="FFC00000"/>
  </sheetPr>
  <dimension ref="A1:S9"/>
  <sheetViews>
    <sheetView showGridLines="0" zoomScale="90" zoomScaleNormal="80" workbookViewId="0">
      <selection activeCell="S9" sqref="S3:S9"/>
    </sheetView>
  </sheetViews>
  <sheetFormatPr defaultColWidth="17.44140625" defaultRowHeight="14.4" x14ac:dyDescent="0.3"/>
  <cols>
    <col min="1" max="1" width="14" style="40" bestFit="1" customWidth="1"/>
    <col min="2" max="2" width="26.44140625" style="40" customWidth="1"/>
    <col min="3" max="3" width="18.21875" style="40" bestFit="1" customWidth="1"/>
    <col min="4" max="4" width="15.21875" style="40" bestFit="1" customWidth="1"/>
    <col min="5" max="5" width="32.21875" style="40" customWidth="1"/>
    <col min="6" max="6" width="14.5546875" style="40" customWidth="1"/>
    <col min="7" max="18" width="15.77734375" style="40" bestFit="1" customWidth="1"/>
    <col min="19" max="16384" width="17.44140625" style="40"/>
  </cols>
  <sheetData>
    <row r="1" spans="1:19" x14ac:dyDescent="0.3">
      <c r="R1" s="18" t="s">
        <v>21</v>
      </c>
      <c r="S1" s="99">
        <f>SUBTOTAL(9,S3:S9)</f>
        <v>4122434.4897251204</v>
      </c>
    </row>
    <row r="2" spans="1:19" ht="12.75" customHeight="1" x14ac:dyDescent="0.3">
      <c r="A2" s="38" t="s">
        <v>704</v>
      </c>
      <c r="B2" s="38" t="s">
        <v>24</v>
      </c>
      <c r="C2" s="38" t="s">
        <v>566</v>
      </c>
      <c r="D2" s="38" t="s">
        <v>567</v>
      </c>
      <c r="E2" s="38" t="s">
        <v>568</v>
      </c>
      <c r="F2" s="38" t="s">
        <v>569</v>
      </c>
      <c r="G2" s="39">
        <v>46023</v>
      </c>
      <c r="H2" s="39">
        <v>46054</v>
      </c>
      <c r="I2" s="39">
        <v>46082</v>
      </c>
      <c r="J2" s="39">
        <v>46113</v>
      </c>
      <c r="K2" s="39">
        <v>46143</v>
      </c>
      <c r="L2" s="39">
        <v>46174</v>
      </c>
      <c r="M2" s="39">
        <v>46204</v>
      </c>
      <c r="N2" s="39">
        <v>46235</v>
      </c>
      <c r="O2" s="39">
        <v>46266</v>
      </c>
      <c r="P2" s="39">
        <v>46296</v>
      </c>
      <c r="Q2" s="39">
        <v>46327</v>
      </c>
      <c r="R2" s="39">
        <v>46357</v>
      </c>
      <c r="S2" s="39" t="s">
        <v>21</v>
      </c>
    </row>
    <row r="3" spans="1:19" x14ac:dyDescent="0.3">
      <c r="A3" s="40" t="s">
        <v>705</v>
      </c>
      <c r="B3" s="40" t="s">
        <v>706</v>
      </c>
      <c r="C3" s="40">
        <v>613000</v>
      </c>
      <c r="D3" s="40" t="s">
        <v>645</v>
      </c>
      <c r="E3" s="40" t="s">
        <v>707</v>
      </c>
      <c r="F3" s="40" t="s">
        <v>572</v>
      </c>
      <c r="G3" s="60">
        <v>272795.34556837846</v>
      </c>
      <c r="H3" s="60">
        <v>209747.2310361065</v>
      </c>
      <c r="I3" s="60">
        <v>288898.64926140686</v>
      </c>
      <c r="J3" s="60">
        <v>349595.1214631013</v>
      </c>
      <c r="K3" s="60">
        <v>370251.96327663626</v>
      </c>
      <c r="L3" s="60">
        <v>346009.77593926055</v>
      </c>
      <c r="M3" s="60">
        <v>318283.52784895024</v>
      </c>
      <c r="N3" s="60">
        <v>291423.61649025598</v>
      </c>
      <c r="O3" s="60">
        <v>276775.03438233642</v>
      </c>
      <c r="P3" s="60">
        <v>242626.93453112873</v>
      </c>
      <c r="Q3" s="60">
        <v>216569.54584943686</v>
      </c>
      <c r="R3" s="60">
        <v>167395.56892662941</v>
      </c>
      <c r="S3" s="98">
        <f>SUM(G3:R3)</f>
        <v>3350372.3145736279</v>
      </c>
    </row>
    <row r="4" spans="1:19" x14ac:dyDescent="0.3">
      <c r="A4" s="40" t="s">
        <v>705</v>
      </c>
      <c r="B4" s="40" t="s">
        <v>706</v>
      </c>
      <c r="C4" s="40">
        <v>613000</v>
      </c>
      <c r="D4" s="40" t="s">
        <v>645</v>
      </c>
      <c r="E4" s="40" t="s">
        <v>708</v>
      </c>
      <c r="F4" s="40" t="s">
        <v>572</v>
      </c>
      <c r="G4" s="60">
        <v>28729.125855406161</v>
      </c>
      <c r="H4" s="60">
        <v>20252.821968283311</v>
      </c>
      <c r="I4" s="60">
        <v>21110.140737054087</v>
      </c>
      <c r="J4" s="60">
        <v>20547.305304676931</v>
      </c>
      <c r="K4" s="60">
        <v>21761.40243966203</v>
      </c>
      <c r="L4" s="60">
        <v>20336.578138940757</v>
      </c>
      <c r="M4" s="60">
        <v>18706.979642026512</v>
      </c>
      <c r="N4" s="60">
        <v>17128.299719852879</v>
      </c>
      <c r="O4" s="60">
        <v>23484.611431002581</v>
      </c>
      <c r="P4" s="60">
        <v>23427.628033494238</v>
      </c>
      <c r="Q4" s="60">
        <v>20911.572630418046</v>
      </c>
      <c r="R4" s="60">
        <v>16163.420317891674</v>
      </c>
      <c r="S4" s="98">
        <f t="shared" ref="S4:S9" si="0">SUM(G4:R4)</f>
        <v>252559.88621870923</v>
      </c>
    </row>
    <row r="5" spans="1:19" x14ac:dyDescent="0.3">
      <c r="A5" s="40" t="s">
        <v>705</v>
      </c>
      <c r="B5" s="40" t="s">
        <v>706</v>
      </c>
      <c r="C5" s="40">
        <v>613001</v>
      </c>
      <c r="D5" s="40" t="s">
        <v>645</v>
      </c>
      <c r="E5" s="40" t="s">
        <v>440</v>
      </c>
      <c r="F5" s="40" t="s">
        <v>572</v>
      </c>
      <c r="G5" s="60">
        <v>2323.3119166485026</v>
      </c>
      <c r="H5" s="60">
        <v>1786.8295521744476</v>
      </c>
      <c r="I5" s="60">
        <v>1834.8220500198495</v>
      </c>
      <c r="J5" s="60">
        <v>1784.8791653993931</v>
      </c>
      <c r="K5" s="60">
        <v>1894.4622021144448</v>
      </c>
      <c r="L5" s="60">
        <v>1751.9643712628651</v>
      </c>
      <c r="M5" s="60">
        <v>1609.4026138735596</v>
      </c>
      <c r="N5" s="60">
        <v>1485.9184423421359</v>
      </c>
      <c r="O5" s="60">
        <v>2075.9688782233652</v>
      </c>
      <c r="P5" s="60">
        <v>2051.0667533456167</v>
      </c>
      <c r="Q5" s="60">
        <v>1839.5569620712361</v>
      </c>
      <c r="R5" s="60">
        <v>1427.5583943333465</v>
      </c>
      <c r="S5" s="98">
        <f t="shared" si="0"/>
        <v>21865.741301808768</v>
      </c>
    </row>
    <row r="6" spans="1:19" x14ac:dyDescent="0.3">
      <c r="A6" s="40" t="s">
        <v>705</v>
      </c>
      <c r="B6" s="40" t="s">
        <v>706</v>
      </c>
      <c r="C6" s="40">
        <v>613001</v>
      </c>
      <c r="D6" s="40" t="s">
        <v>645</v>
      </c>
      <c r="E6" s="40" t="s">
        <v>441</v>
      </c>
      <c r="F6" s="40" t="s">
        <v>572</v>
      </c>
      <c r="G6" s="60">
        <v>3523.1752134156609</v>
      </c>
      <c r="H6" s="60">
        <v>2709.6291047742461</v>
      </c>
      <c r="I6" s="60">
        <v>2782.4070979602575</v>
      </c>
      <c r="J6" s="60">
        <v>2706.6714501032543</v>
      </c>
      <c r="K6" s="60">
        <v>2872.8481205703997</v>
      </c>
      <c r="L6" s="60">
        <v>2656.7579683940144</v>
      </c>
      <c r="M6" s="60">
        <v>2440.5708751260868</v>
      </c>
      <c r="N6" s="60">
        <v>2253.3138954363894</v>
      </c>
      <c r="O6" s="60">
        <v>3148.0930490511587</v>
      </c>
      <c r="P6" s="60">
        <v>3110.3303412106948</v>
      </c>
      <c r="Q6" s="60">
        <v>2789.5873326319816</v>
      </c>
      <c r="R6" s="60">
        <v>2164.814080527799</v>
      </c>
      <c r="S6" s="98">
        <f t="shared" si="0"/>
        <v>33158.198529201945</v>
      </c>
    </row>
    <row r="7" spans="1:19" x14ac:dyDescent="0.3">
      <c r="A7" s="40" t="s">
        <v>705</v>
      </c>
      <c r="B7" s="40" t="s">
        <v>706</v>
      </c>
      <c r="C7" s="40">
        <v>613001</v>
      </c>
      <c r="D7" s="40" t="s">
        <v>645</v>
      </c>
      <c r="E7" s="40" t="s">
        <v>442</v>
      </c>
      <c r="F7" s="40" t="s">
        <v>572</v>
      </c>
      <c r="G7" s="60">
        <v>1886.1142965594706</v>
      </c>
      <c r="H7" s="60">
        <v>1450.5864407276053</v>
      </c>
      <c r="I7" s="60">
        <v>1489.5477767691261</v>
      </c>
      <c r="J7" s="60">
        <v>1449.0030750357707</v>
      </c>
      <c r="K7" s="60">
        <v>1537.9649276082039</v>
      </c>
      <c r="L7" s="60">
        <v>1422.2821412927151</v>
      </c>
      <c r="M7" s="60">
        <v>1306.5474580468699</v>
      </c>
      <c r="N7" s="60">
        <v>1206.3003669631216</v>
      </c>
      <c r="O7" s="60">
        <v>1685.3159286842329</v>
      </c>
      <c r="P7" s="60">
        <v>1665.0998511915536</v>
      </c>
      <c r="Q7" s="60">
        <v>1493.3916796256804</v>
      </c>
      <c r="R7" s="60">
        <v>1158.922431995155</v>
      </c>
      <c r="S7" s="98">
        <f t="shared" si="0"/>
        <v>17751.076374499502</v>
      </c>
    </row>
    <row r="8" spans="1:19" x14ac:dyDescent="0.3">
      <c r="A8" s="40" t="s">
        <v>705</v>
      </c>
      <c r="B8" s="40" t="s">
        <v>706</v>
      </c>
      <c r="C8" s="40">
        <v>613001</v>
      </c>
      <c r="D8" s="40" t="s">
        <v>645</v>
      </c>
      <c r="E8" s="40" t="s">
        <v>709</v>
      </c>
      <c r="F8" s="40" t="s">
        <v>572</v>
      </c>
      <c r="G8" s="60">
        <v>30727.272727272724</v>
      </c>
      <c r="H8" s="60">
        <v>30727.272727272724</v>
      </c>
      <c r="I8" s="60">
        <v>30727.272727272724</v>
      </c>
      <c r="J8" s="60">
        <v>30727.272727272724</v>
      </c>
      <c r="K8" s="60">
        <v>30727.272727272724</v>
      </c>
      <c r="L8" s="60">
        <v>30727.272727272724</v>
      </c>
      <c r="M8" s="60">
        <v>30727.272727272724</v>
      </c>
      <c r="N8" s="60">
        <v>30727.272727272724</v>
      </c>
      <c r="O8" s="60">
        <v>30727.272727272724</v>
      </c>
      <c r="P8" s="60">
        <v>30727.272727272724</v>
      </c>
      <c r="Q8" s="60">
        <v>30727.272727272724</v>
      </c>
      <c r="R8" s="60">
        <v>30727.272727272724</v>
      </c>
      <c r="S8" s="98">
        <f t="shared" si="0"/>
        <v>368727.27272727265</v>
      </c>
    </row>
    <row r="9" spans="1:19" x14ac:dyDescent="0.3">
      <c r="A9" s="40" t="s">
        <v>705</v>
      </c>
      <c r="B9" s="40" t="s">
        <v>706</v>
      </c>
      <c r="C9" s="40">
        <v>613001</v>
      </c>
      <c r="D9" s="40" t="s">
        <v>645</v>
      </c>
      <c r="E9" s="40" t="s">
        <v>710</v>
      </c>
      <c r="F9" s="40" t="s">
        <v>572</v>
      </c>
      <c r="G9" s="60">
        <v>6500</v>
      </c>
      <c r="H9" s="60">
        <v>6500</v>
      </c>
      <c r="I9" s="60">
        <v>6500</v>
      </c>
      <c r="J9" s="60">
        <v>6500</v>
      </c>
      <c r="K9" s="60">
        <v>6500</v>
      </c>
      <c r="L9" s="60">
        <v>6500</v>
      </c>
      <c r="M9" s="60">
        <v>6500</v>
      </c>
      <c r="N9" s="60">
        <v>6500</v>
      </c>
      <c r="O9" s="60">
        <v>6500</v>
      </c>
      <c r="P9" s="60">
        <v>6500</v>
      </c>
      <c r="Q9" s="60">
        <v>6500</v>
      </c>
      <c r="R9" s="60">
        <v>6500</v>
      </c>
      <c r="S9" s="98">
        <f t="shared" si="0"/>
        <v>78000</v>
      </c>
    </row>
  </sheetData>
  <autoFilter ref="A2:R2" xr:uid="{00000000-0001-0000-0100-000000000000}"/>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CBE1F-40D0-4899-A75D-9E0AC086F741}">
  <sheetPr>
    <tabColor rgb="FFC00000"/>
  </sheetPr>
  <dimension ref="B2:AG28"/>
  <sheetViews>
    <sheetView showGridLines="0" topLeftCell="A2" zoomScale="77" workbookViewId="0">
      <selection activeCell="F28" sqref="F4:F28"/>
    </sheetView>
  </sheetViews>
  <sheetFormatPr defaultColWidth="8.77734375" defaultRowHeight="14.4" x14ac:dyDescent="0.3"/>
  <cols>
    <col min="1" max="1" width="8.77734375" style="30"/>
    <col min="2" max="2" width="15.33203125" style="30" bestFit="1" customWidth="1"/>
    <col min="3" max="3" width="14.77734375" style="30" customWidth="1"/>
    <col min="4" max="4" width="18.21875" style="30" customWidth="1"/>
    <col min="5" max="5" width="72.5546875" style="30" bestFit="1" customWidth="1"/>
    <col min="6" max="6" width="27.77734375" style="30" customWidth="1"/>
    <col min="7" max="11" width="8.77734375" style="30"/>
    <col min="12" max="12" width="18.21875" style="30" hidden="1" customWidth="1"/>
    <col min="13" max="13" width="26.5546875" style="30" hidden="1" customWidth="1"/>
    <col min="14" max="14" width="11.44140625" style="30" hidden="1" customWidth="1"/>
    <col min="15" max="15" width="11.77734375" style="30" hidden="1" customWidth="1"/>
    <col min="16" max="20" width="0" style="30" hidden="1" customWidth="1"/>
    <col min="21" max="21" width="10" style="30" hidden="1" customWidth="1"/>
    <col min="22" max="22" width="6.77734375" style="30" hidden="1" customWidth="1"/>
    <col min="23" max="23" width="16.44140625" style="30" hidden="1" customWidth="1"/>
    <col min="24" max="24" width="76" style="30" hidden="1" customWidth="1"/>
    <col min="25" max="25" width="12.44140625" style="30" hidden="1" customWidth="1"/>
    <col min="26" max="29" width="0" style="30" hidden="1" customWidth="1"/>
    <col min="30" max="30" width="4.21875" style="30" hidden="1" customWidth="1"/>
    <col min="31" max="31" width="19.21875" style="30" hidden="1" customWidth="1"/>
    <col min="32" max="32" width="134.77734375" style="30" hidden="1" customWidth="1"/>
    <col min="33" max="33" width="15.21875" style="30" hidden="1" customWidth="1"/>
    <col min="34" max="16384" width="8.77734375" style="30"/>
  </cols>
  <sheetData>
    <row r="2" spans="2:33" x14ac:dyDescent="0.3">
      <c r="F2" s="31">
        <f>SUBTOTAL(9,F4:F28)</f>
        <v>4269000</v>
      </c>
    </row>
    <row r="3" spans="2:33" x14ac:dyDescent="0.3">
      <c r="B3" s="32" t="s">
        <v>711</v>
      </c>
      <c r="C3" s="32" t="s">
        <v>712</v>
      </c>
      <c r="D3" s="32" t="s">
        <v>713</v>
      </c>
      <c r="E3" s="32" t="s">
        <v>714</v>
      </c>
      <c r="F3" s="32" t="s">
        <v>715</v>
      </c>
      <c r="L3" s="30" t="s">
        <v>716</v>
      </c>
      <c r="M3" s="30" t="s">
        <v>717</v>
      </c>
    </row>
    <row r="4" spans="2:33" x14ac:dyDescent="0.3">
      <c r="B4" t="s">
        <v>718</v>
      </c>
      <c r="C4" s="30" t="s">
        <v>9</v>
      </c>
      <c r="D4" s="30" t="s">
        <v>719</v>
      </c>
      <c r="E4" s="30" t="s">
        <v>720</v>
      </c>
      <c r="F4" s="33">
        <v>485000</v>
      </c>
      <c r="L4" s="30" t="s">
        <v>721</v>
      </c>
      <c r="M4" s="33" t="e">
        <f>#REF!</f>
        <v>#REF!</v>
      </c>
    </row>
    <row r="5" spans="2:33" x14ac:dyDescent="0.3">
      <c r="B5" t="s">
        <v>718</v>
      </c>
      <c r="C5" s="30" t="s">
        <v>9</v>
      </c>
      <c r="D5" s="30" t="s">
        <v>719</v>
      </c>
      <c r="E5" s="30" t="s">
        <v>722</v>
      </c>
      <c r="F5" s="33">
        <v>97000</v>
      </c>
      <c r="L5" s="34" t="s">
        <v>723</v>
      </c>
      <c r="M5" s="35" t="e">
        <f>SUM(M4:M4)</f>
        <v>#REF!</v>
      </c>
      <c r="N5" s="35">
        <f>'[75]Summary per function (2)'!$N$144*1000</f>
        <v>30357500.189890314</v>
      </c>
      <c r="O5" s="36" t="e">
        <f>N5-M5</f>
        <v>#REF!</v>
      </c>
      <c r="U5" s="32" t="s">
        <v>711</v>
      </c>
      <c r="V5" s="32" t="s">
        <v>712</v>
      </c>
      <c r="W5" s="32" t="s">
        <v>713</v>
      </c>
      <c r="X5" s="32" t="s">
        <v>714</v>
      </c>
      <c r="Y5" s="32" t="s">
        <v>715</v>
      </c>
    </row>
    <row r="6" spans="2:33" x14ac:dyDescent="0.3">
      <c r="B6" t="s">
        <v>724</v>
      </c>
      <c r="C6" s="30" t="s">
        <v>9</v>
      </c>
      <c r="D6" s="30" t="s">
        <v>725</v>
      </c>
      <c r="E6" s="30" t="s">
        <v>726</v>
      </c>
      <c r="F6" s="33">
        <v>812000</v>
      </c>
      <c r="V6" s="30" t="s">
        <v>9</v>
      </c>
      <c r="W6" s="30" t="s">
        <v>719</v>
      </c>
      <c r="X6" s="30" t="s">
        <v>722</v>
      </c>
      <c r="Y6" s="31">
        <v>97000</v>
      </c>
      <c r="AD6" s="30" t="s">
        <v>684</v>
      </c>
      <c r="AE6" s="30" t="s">
        <v>719</v>
      </c>
      <c r="AF6" s="30" t="s">
        <v>560</v>
      </c>
      <c r="AG6" s="31">
        <v>320000</v>
      </c>
    </row>
    <row r="7" spans="2:33" x14ac:dyDescent="0.3">
      <c r="B7" t="s">
        <v>724</v>
      </c>
      <c r="C7" s="30" t="s">
        <v>9</v>
      </c>
      <c r="D7" s="30" t="s">
        <v>725</v>
      </c>
      <c r="E7" s="30" t="s">
        <v>727</v>
      </c>
      <c r="F7" s="33">
        <v>200000</v>
      </c>
      <c r="V7" s="30" t="s">
        <v>9</v>
      </c>
      <c r="W7" s="30" t="s">
        <v>725</v>
      </c>
      <c r="X7" s="30" t="s">
        <v>726</v>
      </c>
      <c r="Y7" s="31">
        <v>812000</v>
      </c>
      <c r="AD7" s="30" t="s">
        <v>684</v>
      </c>
      <c r="AE7" s="30" t="s">
        <v>719</v>
      </c>
      <c r="AF7" s="30" t="s">
        <v>524</v>
      </c>
      <c r="AG7" s="31">
        <v>320000</v>
      </c>
    </row>
    <row r="8" spans="2:33" x14ac:dyDescent="0.3">
      <c r="B8" t="s">
        <v>724</v>
      </c>
      <c r="C8" s="30" t="s">
        <v>9</v>
      </c>
      <c r="D8" s="30" t="s">
        <v>725</v>
      </c>
      <c r="E8" s="30" t="s">
        <v>728</v>
      </c>
      <c r="F8" s="33">
        <v>180000</v>
      </c>
      <c r="V8" s="30" t="s">
        <v>9</v>
      </c>
      <c r="W8" s="30" t="s">
        <v>725</v>
      </c>
      <c r="X8" s="30" t="s">
        <v>727</v>
      </c>
      <c r="Y8" s="31">
        <v>200000</v>
      </c>
      <c r="AD8" s="30" t="s">
        <v>684</v>
      </c>
      <c r="AE8" s="30" t="s">
        <v>719</v>
      </c>
      <c r="AF8" s="30" t="s">
        <v>515</v>
      </c>
      <c r="AG8" s="31">
        <v>450000</v>
      </c>
    </row>
    <row r="9" spans="2:33" x14ac:dyDescent="0.3">
      <c r="B9" t="s">
        <v>724</v>
      </c>
      <c r="C9" s="30" t="s">
        <v>9</v>
      </c>
      <c r="D9" s="30" t="s">
        <v>725</v>
      </c>
      <c r="E9" s="30" t="s">
        <v>729</v>
      </c>
      <c r="F9" s="33">
        <v>50000</v>
      </c>
      <c r="V9" s="30" t="s">
        <v>9</v>
      </c>
      <c r="W9" s="30" t="s">
        <v>725</v>
      </c>
      <c r="X9" s="30" t="s">
        <v>728</v>
      </c>
      <c r="Y9" s="31">
        <v>180000</v>
      </c>
      <c r="AD9" s="30" t="s">
        <v>684</v>
      </c>
      <c r="AE9" s="30" t="s">
        <v>719</v>
      </c>
      <c r="AF9" s="30" t="s">
        <v>516</v>
      </c>
      <c r="AG9" s="31">
        <v>195000</v>
      </c>
    </row>
    <row r="10" spans="2:33" x14ac:dyDescent="0.3">
      <c r="B10" t="s">
        <v>724</v>
      </c>
      <c r="C10" s="30" t="s">
        <v>9</v>
      </c>
      <c r="D10" s="30" t="s">
        <v>725</v>
      </c>
      <c r="E10" s="30" t="s">
        <v>730</v>
      </c>
      <c r="F10" s="33">
        <v>50000</v>
      </c>
      <c r="V10" s="30" t="s">
        <v>9</v>
      </c>
      <c r="W10" s="30" t="s">
        <v>725</v>
      </c>
      <c r="X10" s="30" t="s">
        <v>729</v>
      </c>
      <c r="Y10" s="31">
        <v>50000</v>
      </c>
      <c r="AD10" s="30" t="s">
        <v>8</v>
      </c>
      <c r="AE10" s="30" t="s">
        <v>719</v>
      </c>
      <c r="AF10" s="30" t="s">
        <v>550</v>
      </c>
      <c r="AG10" s="31">
        <v>240000</v>
      </c>
    </row>
    <row r="11" spans="2:33" x14ac:dyDescent="0.3">
      <c r="B11" t="s">
        <v>724</v>
      </c>
      <c r="C11" s="30" t="s">
        <v>9</v>
      </c>
      <c r="D11" s="30" t="s">
        <v>725</v>
      </c>
      <c r="E11" s="30" t="s">
        <v>731</v>
      </c>
      <c r="F11" s="33">
        <v>500000</v>
      </c>
      <c r="V11" s="30" t="s">
        <v>9</v>
      </c>
      <c r="W11" s="30" t="s">
        <v>725</v>
      </c>
      <c r="X11" s="30" t="s">
        <v>730</v>
      </c>
      <c r="Y11" s="31">
        <v>50000</v>
      </c>
      <c r="AD11" s="30" t="s">
        <v>8</v>
      </c>
      <c r="AE11" s="30" t="s">
        <v>719</v>
      </c>
      <c r="AF11" s="30" t="s">
        <v>549</v>
      </c>
      <c r="AG11" s="31">
        <v>350000</v>
      </c>
    </row>
    <row r="12" spans="2:33" x14ac:dyDescent="0.3">
      <c r="B12" t="s">
        <v>724</v>
      </c>
      <c r="C12" s="30" t="s">
        <v>9</v>
      </c>
      <c r="D12" s="30" t="s">
        <v>725</v>
      </c>
      <c r="E12" s="30" t="s">
        <v>732</v>
      </c>
      <c r="F12" s="33">
        <v>100000</v>
      </c>
      <c r="V12" s="30" t="s">
        <v>9</v>
      </c>
      <c r="W12" s="30" t="s">
        <v>725</v>
      </c>
      <c r="X12" s="30" t="s">
        <v>731</v>
      </c>
      <c r="Y12" s="31">
        <v>500000</v>
      </c>
      <c r="AD12" s="30" t="s">
        <v>8</v>
      </c>
      <c r="AE12" s="30" t="s">
        <v>719</v>
      </c>
      <c r="AF12" s="30" t="s">
        <v>540</v>
      </c>
      <c r="AG12" s="31">
        <v>560000</v>
      </c>
    </row>
    <row r="13" spans="2:33" x14ac:dyDescent="0.3">
      <c r="B13" t="s">
        <v>724</v>
      </c>
      <c r="C13" s="30" t="s">
        <v>9</v>
      </c>
      <c r="D13" s="30" t="s">
        <v>725</v>
      </c>
      <c r="E13" s="30" t="s">
        <v>733</v>
      </c>
      <c r="F13" s="33">
        <v>0</v>
      </c>
      <c r="V13" s="30" t="s">
        <v>9</v>
      </c>
      <c r="W13" s="30" t="s">
        <v>725</v>
      </c>
      <c r="X13" s="30" t="s">
        <v>732</v>
      </c>
      <c r="Y13" s="31">
        <v>100000</v>
      </c>
      <c r="AD13" s="30" t="s">
        <v>8</v>
      </c>
      <c r="AE13" s="30" t="s">
        <v>719</v>
      </c>
      <c r="AF13" s="30" t="s">
        <v>545</v>
      </c>
      <c r="AG13" s="31">
        <v>135000</v>
      </c>
    </row>
    <row r="14" spans="2:33" x14ac:dyDescent="0.3">
      <c r="B14" t="s">
        <v>724</v>
      </c>
      <c r="C14" s="30" t="s">
        <v>9</v>
      </c>
      <c r="D14" s="30" t="s">
        <v>725</v>
      </c>
      <c r="E14" s="30" t="s">
        <v>734</v>
      </c>
      <c r="F14" s="33">
        <v>100000</v>
      </c>
      <c r="V14" s="30" t="s">
        <v>9</v>
      </c>
      <c r="W14" s="30" t="s">
        <v>725</v>
      </c>
      <c r="X14" s="30" t="s">
        <v>734</v>
      </c>
      <c r="Y14" s="31">
        <v>100000</v>
      </c>
      <c r="AD14" s="30" t="s">
        <v>8</v>
      </c>
      <c r="AE14" s="30" t="s">
        <v>719</v>
      </c>
      <c r="AF14" s="30" t="s">
        <v>506</v>
      </c>
      <c r="AG14" s="31">
        <v>180000</v>
      </c>
    </row>
    <row r="15" spans="2:33" x14ac:dyDescent="0.3">
      <c r="B15" t="s">
        <v>724</v>
      </c>
      <c r="C15" s="30" t="s">
        <v>9</v>
      </c>
      <c r="D15" s="30" t="s">
        <v>725</v>
      </c>
      <c r="E15" s="30" t="s">
        <v>735</v>
      </c>
      <c r="F15" s="33">
        <v>100000</v>
      </c>
      <c r="V15" s="30" t="s">
        <v>9</v>
      </c>
      <c r="W15" s="30" t="s">
        <v>725</v>
      </c>
      <c r="X15" s="30" t="s">
        <v>736</v>
      </c>
      <c r="Y15" s="31">
        <v>300000</v>
      </c>
      <c r="AD15" s="30" t="s">
        <v>8</v>
      </c>
      <c r="AE15" s="30" t="s">
        <v>719</v>
      </c>
      <c r="AF15" s="30" t="s">
        <v>525</v>
      </c>
      <c r="AG15" s="31">
        <v>190000</v>
      </c>
    </row>
    <row r="16" spans="2:33" x14ac:dyDescent="0.3">
      <c r="B16" t="s">
        <v>724</v>
      </c>
      <c r="C16" s="30" t="s">
        <v>9</v>
      </c>
      <c r="D16" s="30" t="s">
        <v>725</v>
      </c>
      <c r="E16" s="30" t="s">
        <v>736</v>
      </c>
      <c r="F16" s="33">
        <v>300000</v>
      </c>
      <c r="V16" s="30" t="s">
        <v>9</v>
      </c>
      <c r="W16" s="30" t="s">
        <v>725</v>
      </c>
      <c r="X16" s="30" t="s">
        <v>737</v>
      </c>
      <c r="Y16" s="31">
        <v>150000</v>
      </c>
      <c r="AD16" s="30" t="s">
        <v>8</v>
      </c>
      <c r="AE16" s="30" t="s">
        <v>725</v>
      </c>
      <c r="AF16" s="30" t="s">
        <v>738</v>
      </c>
      <c r="AG16" s="31">
        <v>0</v>
      </c>
    </row>
    <row r="17" spans="2:33" x14ac:dyDescent="0.3">
      <c r="B17" t="s">
        <v>724</v>
      </c>
      <c r="C17" s="30" t="s">
        <v>9</v>
      </c>
      <c r="D17" s="30" t="s">
        <v>725</v>
      </c>
      <c r="E17" s="30" t="s">
        <v>739</v>
      </c>
      <c r="F17" s="33">
        <v>120000</v>
      </c>
      <c r="V17" s="30" t="s">
        <v>9</v>
      </c>
      <c r="W17" s="30" t="s">
        <v>725</v>
      </c>
      <c r="X17" s="30" t="s">
        <v>740</v>
      </c>
      <c r="Y17" s="31">
        <v>75000</v>
      </c>
      <c r="AD17" s="30" t="s">
        <v>8</v>
      </c>
      <c r="AE17" s="30" t="s">
        <v>725</v>
      </c>
      <c r="AF17" s="30" t="s">
        <v>547</v>
      </c>
      <c r="AG17" s="31">
        <v>100000</v>
      </c>
    </row>
    <row r="18" spans="2:33" x14ac:dyDescent="0.3">
      <c r="B18" t="s">
        <v>724</v>
      </c>
      <c r="C18" s="30" t="s">
        <v>9</v>
      </c>
      <c r="D18" s="30" t="s">
        <v>725</v>
      </c>
      <c r="E18" s="30" t="s">
        <v>741</v>
      </c>
      <c r="F18" s="33">
        <v>50000</v>
      </c>
      <c r="V18" s="30" t="s">
        <v>9</v>
      </c>
      <c r="W18" s="30" t="s">
        <v>725</v>
      </c>
      <c r="X18" s="30" t="s">
        <v>742</v>
      </c>
      <c r="Y18" s="31">
        <v>250000</v>
      </c>
      <c r="AD18" s="30" t="s">
        <v>8</v>
      </c>
      <c r="AE18" s="30" t="s">
        <v>725</v>
      </c>
      <c r="AF18" s="30" t="s">
        <v>743</v>
      </c>
      <c r="AG18" s="31">
        <v>0</v>
      </c>
    </row>
    <row r="19" spans="2:33" x14ac:dyDescent="0.3">
      <c r="B19" t="s">
        <v>724</v>
      </c>
      <c r="C19" s="30" t="s">
        <v>9</v>
      </c>
      <c r="D19" s="30" t="s">
        <v>725</v>
      </c>
      <c r="E19" s="30" t="s">
        <v>737</v>
      </c>
      <c r="F19" s="33">
        <v>150000</v>
      </c>
      <c r="U19" s="30" t="s">
        <v>744</v>
      </c>
      <c r="V19" s="30" t="s">
        <v>9</v>
      </c>
      <c r="W19" s="30" t="s">
        <v>745</v>
      </c>
      <c r="X19" s="30" t="s">
        <v>746</v>
      </c>
      <c r="Y19" s="31">
        <v>60000</v>
      </c>
      <c r="AD19" s="30" t="s">
        <v>8</v>
      </c>
      <c r="AE19" s="30" t="s">
        <v>725</v>
      </c>
      <c r="AF19" s="30" t="s">
        <v>484</v>
      </c>
      <c r="AG19" s="31">
        <v>17000</v>
      </c>
    </row>
    <row r="20" spans="2:33" x14ac:dyDescent="0.3">
      <c r="B20" t="s">
        <v>724</v>
      </c>
      <c r="C20" s="30" t="s">
        <v>9</v>
      </c>
      <c r="D20" s="30" t="s">
        <v>725</v>
      </c>
      <c r="E20" s="30" t="s">
        <v>740</v>
      </c>
      <c r="F20" s="33">
        <v>75000</v>
      </c>
      <c r="U20" s="30" t="s">
        <v>744</v>
      </c>
      <c r="V20" s="30" t="s">
        <v>9</v>
      </c>
      <c r="W20" s="30" t="s">
        <v>745</v>
      </c>
      <c r="X20" s="30" t="s">
        <v>526</v>
      </c>
      <c r="Y20" s="31">
        <v>120000</v>
      </c>
      <c r="AD20" s="30" t="s">
        <v>8</v>
      </c>
      <c r="AE20" s="30" t="s">
        <v>725</v>
      </c>
      <c r="AF20" s="30" t="s">
        <v>551</v>
      </c>
      <c r="AG20" s="31">
        <v>60000</v>
      </c>
    </row>
    <row r="21" spans="2:33" x14ac:dyDescent="0.3">
      <c r="B21" t="s">
        <v>724</v>
      </c>
      <c r="C21" s="30" t="s">
        <v>9</v>
      </c>
      <c r="D21" s="30" t="s">
        <v>725</v>
      </c>
      <c r="E21" s="30" t="s">
        <v>742</v>
      </c>
      <c r="F21" s="33">
        <v>250000</v>
      </c>
      <c r="AD21" s="30" t="s">
        <v>8</v>
      </c>
      <c r="AE21" s="30" t="s">
        <v>745</v>
      </c>
      <c r="AF21" s="30" t="s">
        <v>530</v>
      </c>
      <c r="AG21" s="31">
        <v>90000</v>
      </c>
    </row>
    <row r="22" spans="2:33" x14ac:dyDescent="0.3">
      <c r="B22" s="30" t="s">
        <v>744</v>
      </c>
      <c r="C22" s="30" t="s">
        <v>9</v>
      </c>
      <c r="D22" s="30" t="s">
        <v>745</v>
      </c>
      <c r="E22" s="30" t="s">
        <v>746</v>
      </c>
      <c r="F22" s="33">
        <v>60000</v>
      </c>
      <c r="AD22" s="30" t="s">
        <v>8</v>
      </c>
      <c r="AE22" s="30" t="s">
        <v>745</v>
      </c>
      <c r="AF22" s="30" t="s">
        <v>554</v>
      </c>
      <c r="AG22" s="31">
        <v>175000</v>
      </c>
    </row>
    <row r="23" spans="2:33" x14ac:dyDescent="0.3">
      <c r="B23" s="30" t="s">
        <v>744</v>
      </c>
      <c r="C23" s="30" t="s">
        <v>9</v>
      </c>
      <c r="D23" s="30" t="s">
        <v>745</v>
      </c>
      <c r="E23" s="30" t="s">
        <v>747</v>
      </c>
      <c r="F23" s="33">
        <v>100000</v>
      </c>
      <c r="AD23" s="30" t="s">
        <v>8</v>
      </c>
      <c r="AE23" s="30" t="s">
        <v>745</v>
      </c>
      <c r="AF23" s="30" t="s">
        <v>561</v>
      </c>
      <c r="AG23" s="31">
        <v>100000</v>
      </c>
    </row>
    <row r="24" spans="2:33" x14ac:dyDescent="0.3">
      <c r="B24" s="30" t="s">
        <v>744</v>
      </c>
      <c r="C24" s="30" t="s">
        <v>9</v>
      </c>
      <c r="D24" s="30" t="s">
        <v>745</v>
      </c>
      <c r="E24" s="30" t="s">
        <v>748</v>
      </c>
      <c r="F24" s="33">
        <v>200000</v>
      </c>
      <c r="AD24" s="30" t="s">
        <v>8</v>
      </c>
      <c r="AE24" s="30" t="s">
        <v>745</v>
      </c>
      <c r="AF24" s="30" t="s">
        <v>552</v>
      </c>
      <c r="AG24" s="31">
        <v>100000</v>
      </c>
    </row>
    <row r="25" spans="2:33" x14ac:dyDescent="0.3">
      <c r="B25" s="30" t="s">
        <v>744</v>
      </c>
      <c r="C25" s="30" t="s">
        <v>9</v>
      </c>
      <c r="D25" s="30" t="s">
        <v>745</v>
      </c>
      <c r="E25" s="30" t="s">
        <v>526</v>
      </c>
      <c r="F25" s="33">
        <v>120000</v>
      </c>
      <c r="AD25" s="30" t="s">
        <v>8</v>
      </c>
      <c r="AE25" s="30" t="s">
        <v>745</v>
      </c>
      <c r="AF25" s="30" t="s">
        <v>514</v>
      </c>
      <c r="AG25" s="31">
        <v>100000</v>
      </c>
    </row>
    <row r="26" spans="2:33" x14ac:dyDescent="0.3">
      <c r="B26" s="30" t="s">
        <v>744</v>
      </c>
      <c r="C26" s="30" t="s">
        <v>9</v>
      </c>
      <c r="D26" s="30" t="s">
        <v>745</v>
      </c>
      <c r="E26" s="30" t="s">
        <v>749</v>
      </c>
      <c r="F26" s="33">
        <v>70000</v>
      </c>
      <c r="AD26" s="30" t="s">
        <v>8</v>
      </c>
      <c r="AE26" s="30" t="s">
        <v>750</v>
      </c>
      <c r="AF26" s="30" t="s">
        <v>488</v>
      </c>
      <c r="AG26" s="37">
        <v>140172</v>
      </c>
    </row>
    <row r="27" spans="2:33" x14ac:dyDescent="0.3">
      <c r="B27" s="30" t="s">
        <v>744</v>
      </c>
      <c r="C27" s="30" t="s">
        <v>9</v>
      </c>
      <c r="D27" s="30" t="s">
        <v>745</v>
      </c>
      <c r="E27" s="30" t="s">
        <v>751</v>
      </c>
      <c r="F27" s="33">
        <v>50000</v>
      </c>
      <c r="AD27" s="30" t="s">
        <v>8</v>
      </c>
      <c r="AE27" s="30" t="s">
        <v>750</v>
      </c>
      <c r="AF27" s="30" t="s">
        <v>491</v>
      </c>
      <c r="AG27" s="37">
        <v>420515.99999999994</v>
      </c>
    </row>
    <row r="28" spans="2:33" x14ac:dyDescent="0.3">
      <c r="B28" s="30" t="s">
        <v>744</v>
      </c>
      <c r="C28" s="30" t="s">
        <v>9</v>
      </c>
      <c r="D28" s="30" t="s">
        <v>745</v>
      </c>
      <c r="E28" s="30" t="s">
        <v>752</v>
      </c>
      <c r="F28" s="33">
        <v>50000</v>
      </c>
      <c r="AD28" s="30" t="s">
        <v>8</v>
      </c>
      <c r="AE28" s="30" t="s">
        <v>750</v>
      </c>
      <c r="AF28" s="30" t="s">
        <v>490</v>
      </c>
      <c r="AG28" s="37">
        <v>70086</v>
      </c>
    </row>
  </sheetData>
  <autoFilter ref="B3:G28" xr:uid="{FBB4F189-EEAF-44D4-8119-0F9EB62271F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98E43-CB3C-4273-9D4F-EF8B3941BF1E}">
  <sheetPr filterMode="1"/>
  <dimension ref="A1:AA181"/>
  <sheetViews>
    <sheetView topLeftCell="E1" workbookViewId="0">
      <selection activeCell="T145" sqref="T145"/>
    </sheetView>
  </sheetViews>
  <sheetFormatPr defaultColWidth="9.21875" defaultRowHeight="14.4" outlineLevelCol="1" x14ac:dyDescent="0.3"/>
  <cols>
    <col min="1" max="1" width="13.77734375" style="16" bestFit="1" customWidth="1"/>
    <col min="2" max="2" width="13.21875" style="16" bestFit="1" customWidth="1"/>
    <col min="3" max="3" width="18.21875" style="16" bestFit="1" customWidth="1"/>
    <col min="4" max="4" width="15.21875" style="16" bestFit="1" customWidth="1"/>
    <col min="5" max="5" width="60.44140625" style="16" customWidth="1"/>
    <col min="6" max="6" width="16.21875" style="16" bestFit="1" customWidth="1"/>
    <col min="7" max="18" width="12.77734375" style="16" customWidth="1" outlineLevel="1"/>
    <col min="19" max="19" width="14.5546875" style="16" customWidth="1"/>
    <col min="20" max="20" width="9.21875" style="16"/>
    <col min="21" max="21" width="11.21875" style="16" bestFit="1" customWidth="1"/>
    <col min="22" max="22" width="34.5546875" style="16" bestFit="1" customWidth="1"/>
    <col min="23" max="23" width="11.21875" style="16" bestFit="1" customWidth="1"/>
    <col min="24" max="25" width="9.21875" style="16"/>
    <col min="26" max="26" width="11.21875" style="16" bestFit="1" customWidth="1"/>
    <col min="27" max="27" width="12.77734375" style="16" bestFit="1" customWidth="1"/>
    <col min="28" max="16384" width="9.21875" style="16"/>
  </cols>
  <sheetData>
    <row r="1" spans="1:24" x14ac:dyDescent="0.3">
      <c r="A1" s="24" t="s">
        <v>704</v>
      </c>
      <c r="B1" s="24" t="s">
        <v>24</v>
      </c>
      <c r="C1" s="24" t="s">
        <v>566</v>
      </c>
      <c r="D1" s="24" t="s">
        <v>567</v>
      </c>
      <c r="E1" s="24" t="s">
        <v>568</v>
      </c>
      <c r="F1" s="24" t="s">
        <v>569</v>
      </c>
      <c r="G1" s="25">
        <v>46023</v>
      </c>
      <c r="H1" s="25">
        <v>46054</v>
      </c>
      <c r="I1" s="25">
        <v>46082</v>
      </c>
      <c r="J1" s="25">
        <v>46113</v>
      </c>
      <c r="K1" s="25">
        <v>46143</v>
      </c>
      <c r="L1" s="25">
        <v>46174</v>
      </c>
      <c r="M1" s="25">
        <v>46204</v>
      </c>
      <c r="N1" s="25">
        <v>46235</v>
      </c>
      <c r="O1" s="25">
        <v>46266</v>
      </c>
      <c r="P1" s="25">
        <v>46296</v>
      </c>
      <c r="Q1" s="25">
        <v>46327</v>
      </c>
      <c r="R1" s="25">
        <v>46357</v>
      </c>
      <c r="S1" s="25" t="s">
        <v>21</v>
      </c>
      <c r="T1" s="25" t="s">
        <v>753</v>
      </c>
    </row>
    <row r="2" spans="1:24" hidden="1" x14ac:dyDescent="0.3">
      <c r="A2" s="16" t="s">
        <v>705</v>
      </c>
      <c r="B2" s="16" t="s">
        <v>571</v>
      </c>
      <c r="C2" s="16">
        <v>613020</v>
      </c>
      <c r="D2" s="16" t="s">
        <v>572</v>
      </c>
      <c r="E2" s="16" t="s">
        <v>73</v>
      </c>
      <c r="F2" s="16" t="s">
        <v>572</v>
      </c>
      <c r="G2" s="26">
        <v>10655.066666666666</v>
      </c>
      <c r="H2" s="26">
        <v>10655.066666666666</v>
      </c>
      <c r="I2" s="26">
        <v>10655.066666666666</v>
      </c>
      <c r="J2" s="26">
        <v>10655.066666666666</v>
      </c>
      <c r="K2" s="26">
        <v>10655.066666666666</v>
      </c>
      <c r="L2" s="26">
        <v>10655.066666666666</v>
      </c>
      <c r="M2" s="26">
        <v>10655.066666666666</v>
      </c>
      <c r="N2" s="26">
        <v>10655.066666666666</v>
      </c>
      <c r="O2" s="26">
        <v>10655.066666666666</v>
      </c>
      <c r="P2" s="26">
        <v>10655.066666666666</v>
      </c>
      <c r="Q2" s="26">
        <v>10655.066666666666</v>
      </c>
      <c r="R2" s="26">
        <v>10655.066666666666</v>
      </c>
      <c r="S2" s="27">
        <f>SUM(G2:R2)</f>
        <v>127860.79999999999</v>
      </c>
      <c r="T2" s="46">
        <f>'4.2 Simplify Savings'!AB49</f>
        <v>-13999.999999999998</v>
      </c>
    </row>
    <row r="3" spans="1:24" hidden="1" x14ac:dyDescent="0.3">
      <c r="A3" s="16" t="s">
        <v>705</v>
      </c>
      <c r="B3" s="16" t="s">
        <v>571</v>
      </c>
      <c r="C3" s="16">
        <v>613020</v>
      </c>
      <c r="D3" s="16" t="s">
        <v>572</v>
      </c>
      <c r="E3" s="16" t="s">
        <v>73</v>
      </c>
      <c r="F3" s="16" t="s">
        <v>754</v>
      </c>
      <c r="G3" s="26">
        <v>-1166.6666666666667</v>
      </c>
      <c r="H3" s="26">
        <v>-1166.6666666666667</v>
      </c>
      <c r="I3" s="26">
        <v>-1166.6666666666667</v>
      </c>
      <c r="J3" s="26">
        <v>-1166.6666666666667</v>
      </c>
      <c r="K3" s="26">
        <v>-1166.6666666666667</v>
      </c>
      <c r="L3" s="26">
        <v>-1166.6666666666667</v>
      </c>
      <c r="M3" s="26">
        <v>-1166.6666666666667</v>
      </c>
      <c r="N3" s="26">
        <v>-1166.6666666666667</v>
      </c>
      <c r="O3" s="26">
        <v>-1166.6666666666667</v>
      </c>
      <c r="P3" s="26">
        <v>-1166.6666666666667</v>
      </c>
      <c r="Q3" s="26">
        <v>-1166.6666666666667</v>
      </c>
      <c r="R3" s="26">
        <v>-1166.6666666666667</v>
      </c>
      <c r="S3" s="52">
        <f t="shared" ref="S3:S66" si="0">SUM(G3:R3)</f>
        <v>-13999.999999999998</v>
      </c>
    </row>
    <row r="4" spans="1:24" hidden="1" x14ac:dyDescent="0.3">
      <c r="A4" s="16" t="s">
        <v>705</v>
      </c>
      <c r="B4" s="16" t="s">
        <v>571</v>
      </c>
      <c r="C4" s="16">
        <v>613020</v>
      </c>
      <c r="D4" s="16" t="s">
        <v>572</v>
      </c>
      <c r="E4" s="16" t="s">
        <v>573</v>
      </c>
      <c r="F4" s="16" t="s">
        <v>572</v>
      </c>
      <c r="G4" s="26">
        <v>3333.3333333333335</v>
      </c>
      <c r="H4" s="26">
        <v>3333.3333333333335</v>
      </c>
      <c r="I4" s="26">
        <v>3333.3333333333335</v>
      </c>
      <c r="J4" s="26">
        <v>3333.3333333333335</v>
      </c>
      <c r="K4" s="26">
        <v>3333.3333333333335</v>
      </c>
      <c r="L4" s="26">
        <v>3333.3333333333335</v>
      </c>
      <c r="M4" s="26">
        <v>3333.3333333333335</v>
      </c>
      <c r="N4" s="26">
        <v>3333.3333333333335</v>
      </c>
      <c r="O4" s="26">
        <v>3333.3333333333335</v>
      </c>
      <c r="P4" s="26">
        <v>3333.3333333333335</v>
      </c>
      <c r="Q4" s="26">
        <v>3333.3333333333335</v>
      </c>
      <c r="R4" s="26">
        <v>3333.3333333333335</v>
      </c>
      <c r="S4" s="27">
        <f t="shared" si="0"/>
        <v>40000</v>
      </c>
    </row>
    <row r="5" spans="1:24" hidden="1" x14ac:dyDescent="0.3">
      <c r="A5" s="16" t="s">
        <v>705</v>
      </c>
      <c r="B5" s="16" t="s">
        <v>571</v>
      </c>
      <c r="C5" s="16">
        <v>616800</v>
      </c>
      <c r="D5" s="16" t="s">
        <v>572</v>
      </c>
      <c r="E5" s="16" t="s">
        <v>574</v>
      </c>
      <c r="F5" s="16" t="s">
        <v>572</v>
      </c>
      <c r="G5" s="26">
        <v>5589.6221908924172</v>
      </c>
      <c r="H5" s="26">
        <v>5589.6221908924172</v>
      </c>
      <c r="I5" s="26">
        <v>5589.6221908924172</v>
      </c>
      <c r="J5" s="26">
        <v>5589.6221908924172</v>
      </c>
      <c r="K5" s="26">
        <v>5589.6221908924172</v>
      </c>
      <c r="L5" s="26">
        <v>5589.6221908924172</v>
      </c>
      <c r="M5" s="26">
        <v>5589.6221908924172</v>
      </c>
      <c r="N5" s="26">
        <v>5589.6221908924172</v>
      </c>
      <c r="O5" s="26">
        <v>5589.6221908924172</v>
      </c>
      <c r="P5" s="26">
        <v>5589.6221908924172</v>
      </c>
      <c r="Q5" s="26">
        <v>5589.6221908924172</v>
      </c>
      <c r="R5" s="26">
        <v>5589.6221908924172</v>
      </c>
      <c r="S5" s="27">
        <f t="shared" si="0"/>
        <v>67075.466290709024</v>
      </c>
    </row>
    <row r="6" spans="1:24" hidden="1" x14ac:dyDescent="0.3">
      <c r="A6" s="16" t="s">
        <v>705</v>
      </c>
      <c r="B6" s="16" t="s">
        <v>571</v>
      </c>
      <c r="C6" s="16">
        <v>615100</v>
      </c>
      <c r="D6" s="16" t="s">
        <v>572</v>
      </c>
      <c r="E6" s="16" t="s">
        <v>575</v>
      </c>
      <c r="F6" s="16" t="s">
        <v>572</v>
      </c>
      <c r="G6" s="26">
        <v>1018</v>
      </c>
      <c r="H6" s="26">
        <v>1018</v>
      </c>
      <c r="I6" s="26">
        <v>1018</v>
      </c>
      <c r="J6" s="26">
        <v>1018</v>
      </c>
      <c r="K6" s="26">
        <v>1018</v>
      </c>
      <c r="L6" s="26">
        <v>1018</v>
      </c>
      <c r="M6" s="26">
        <v>1018</v>
      </c>
      <c r="N6" s="26">
        <v>1018</v>
      </c>
      <c r="O6" s="26">
        <v>1018</v>
      </c>
      <c r="P6" s="26">
        <v>1018</v>
      </c>
      <c r="Q6" s="26">
        <v>1018</v>
      </c>
      <c r="R6" s="26">
        <v>1018</v>
      </c>
      <c r="S6" s="27">
        <f t="shared" si="0"/>
        <v>12216</v>
      </c>
    </row>
    <row r="7" spans="1:24" hidden="1" x14ac:dyDescent="0.3">
      <c r="A7" s="16" t="s">
        <v>705</v>
      </c>
      <c r="B7" s="16" t="s">
        <v>571</v>
      </c>
      <c r="C7" s="16">
        <v>615105</v>
      </c>
      <c r="D7" s="16" t="s">
        <v>572</v>
      </c>
      <c r="E7" s="16" t="s">
        <v>576</v>
      </c>
      <c r="F7" s="16" t="s">
        <v>572</v>
      </c>
      <c r="G7" s="26">
        <v>848.33333333333337</v>
      </c>
      <c r="H7" s="26">
        <v>848.33333333333337</v>
      </c>
      <c r="I7" s="26">
        <v>848.33333333333337</v>
      </c>
      <c r="J7" s="26">
        <v>848.33333333333337</v>
      </c>
      <c r="K7" s="26">
        <v>848.33333333333337</v>
      </c>
      <c r="L7" s="26">
        <v>848.33333333333337</v>
      </c>
      <c r="M7" s="26">
        <v>848.33333333333337</v>
      </c>
      <c r="N7" s="26">
        <v>848.33333333333337</v>
      </c>
      <c r="O7" s="26">
        <v>848.33333333333337</v>
      </c>
      <c r="P7" s="26">
        <v>848.33333333333337</v>
      </c>
      <c r="Q7" s="26">
        <v>848.33333333333337</v>
      </c>
      <c r="R7" s="26">
        <v>848.33333333333337</v>
      </c>
      <c r="S7" s="27">
        <f t="shared" si="0"/>
        <v>10180</v>
      </c>
    </row>
    <row r="8" spans="1:24" hidden="1" x14ac:dyDescent="0.3">
      <c r="A8" s="16" t="s">
        <v>705</v>
      </c>
      <c r="B8" s="16" t="s">
        <v>571</v>
      </c>
      <c r="C8" s="16">
        <v>615120</v>
      </c>
      <c r="D8" s="16" t="s">
        <v>572</v>
      </c>
      <c r="E8" s="16" t="s">
        <v>577</v>
      </c>
      <c r="F8" s="16" t="s">
        <v>572</v>
      </c>
      <c r="G8" s="26">
        <v>1946.9166666666667</v>
      </c>
      <c r="H8" s="26">
        <v>1946.9166666666667</v>
      </c>
      <c r="I8" s="26">
        <v>1946.9166666666667</v>
      </c>
      <c r="J8" s="26">
        <v>1946.9166666666667</v>
      </c>
      <c r="K8" s="26">
        <v>1946.9166666666667</v>
      </c>
      <c r="L8" s="26">
        <v>1946.9166666666667</v>
      </c>
      <c r="M8" s="26">
        <v>1946.9166666666667</v>
      </c>
      <c r="N8" s="26">
        <v>1946.9166666666667</v>
      </c>
      <c r="O8" s="26">
        <v>1946.9166666666667</v>
      </c>
      <c r="P8" s="26">
        <v>1946.9166666666667</v>
      </c>
      <c r="Q8" s="26">
        <v>1946.9166666666667</v>
      </c>
      <c r="R8" s="26">
        <v>1946.9166666666667</v>
      </c>
      <c r="S8" s="27">
        <f t="shared" si="0"/>
        <v>23363.000000000004</v>
      </c>
    </row>
    <row r="9" spans="1:24" hidden="1" x14ac:dyDescent="0.3">
      <c r="A9" s="16" t="s">
        <v>705</v>
      </c>
      <c r="B9" s="16" t="s">
        <v>578</v>
      </c>
      <c r="C9" s="16">
        <v>612503</v>
      </c>
      <c r="D9" s="16" t="s">
        <v>572</v>
      </c>
      <c r="E9" s="16" t="s">
        <v>579</v>
      </c>
      <c r="F9" s="16" t="s">
        <v>572</v>
      </c>
      <c r="G9" s="26">
        <v>1250</v>
      </c>
      <c r="H9" s="26">
        <v>1250</v>
      </c>
      <c r="I9" s="26">
        <v>1250</v>
      </c>
      <c r="J9" s="26">
        <v>1250</v>
      </c>
      <c r="K9" s="26">
        <v>1250</v>
      </c>
      <c r="L9" s="26">
        <v>1250</v>
      </c>
      <c r="M9" s="26">
        <v>1250</v>
      </c>
      <c r="N9" s="26">
        <v>1250</v>
      </c>
      <c r="O9" s="26">
        <v>1250</v>
      </c>
      <c r="P9" s="26">
        <v>1250</v>
      </c>
      <c r="Q9" s="26">
        <v>1250</v>
      </c>
      <c r="R9" s="26">
        <v>1250</v>
      </c>
      <c r="S9" s="27">
        <f t="shared" si="0"/>
        <v>15000</v>
      </c>
    </row>
    <row r="10" spans="1:24" hidden="1" x14ac:dyDescent="0.3">
      <c r="A10" s="16" t="s">
        <v>705</v>
      </c>
      <c r="B10" s="16" t="s">
        <v>578</v>
      </c>
      <c r="C10" s="16">
        <v>613003</v>
      </c>
      <c r="D10" s="16" t="s">
        <v>572</v>
      </c>
      <c r="E10" s="16" t="s">
        <v>580</v>
      </c>
      <c r="F10" s="16" t="s">
        <v>572</v>
      </c>
      <c r="G10" s="26">
        <v>250</v>
      </c>
      <c r="H10" s="26">
        <v>250</v>
      </c>
      <c r="I10" s="26">
        <v>250</v>
      </c>
      <c r="J10" s="26">
        <v>250</v>
      </c>
      <c r="K10" s="26">
        <v>250</v>
      </c>
      <c r="L10" s="26">
        <v>250</v>
      </c>
      <c r="M10" s="26">
        <v>250</v>
      </c>
      <c r="N10" s="26">
        <v>250</v>
      </c>
      <c r="O10" s="26">
        <v>250</v>
      </c>
      <c r="P10" s="26">
        <v>250</v>
      </c>
      <c r="Q10" s="26">
        <v>250</v>
      </c>
      <c r="R10" s="26">
        <v>250</v>
      </c>
      <c r="S10" s="27">
        <f t="shared" si="0"/>
        <v>3000</v>
      </c>
      <c r="X10" s="16">
        <f>674*4</f>
        <v>2696</v>
      </c>
    </row>
    <row r="11" spans="1:24" hidden="1" x14ac:dyDescent="0.3">
      <c r="A11" s="16" t="s">
        <v>705</v>
      </c>
      <c r="B11" s="16" t="s">
        <v>578</v>
      </c>
      <c r="C11" s="16">
        <v>613020</v>
      </c>
      <c r="D11" s="16" t="s">
        <v>572</v>
      </c>
      <c r="E11" s="16" t="s">
        <v>581</v>
      </c>
      <c r="F11" s="16" t="s">
        <v>572</v>
      </c>
      <c r="G11" s="26">
        <v>4333.333333333333</v>
      </c>
      <c r="H11" s="26">
        <v>4333.333333333333</v>
      </c>
      <c r="I11" s="26">
        <v>4333.333333333333</v>
      </c>
      <c r="J11" s="26">
        <v>4333.333333333333</v>
      </c>
      <c r="K11" s="26">
        <v>4333.333333333333</v>
      </c>
      <c r="L11" s="26">
        <v>4333.333333333333</v>
      </c>
      <c r="M11" s="26">
        <v>4333.333333333333</v>
      </c>
      <c r="N11" s="26">
        <v>4333.333333333333</v>
      </c>
      <c r="O11" s="26">
        <v>4333.333333333333</v>
      </c>
      <c r="P11" s="26">
        <v>4333.333333333333</v>
      </c>
      <c r="Q11" s="26">
        <v>4333.333333333333</v>
      </c>
      <c r="R11" s="26">
        <v>4333.333333333333</v>
      </c>
      <c r="S11" s="27">
        <f t="shared" si="0"/>
        <v>52000.000000000007</v>
      </c>
    </row>
    <row r="12" spans="1:24" hidden="1" x14ac:dyDescent="0.3">
      <c r="A12" s="16" t="s">
        <v>705</v>
      </c>
      <c r="B12" s="16" t="s">
        <v>578</v>
      </c>
      <c r="C12" s="16">
        <v>612503</v>
      </c>
      <c r="D12" s="16" t="s">
        <v>572</v>
      </c>
      <c r="E12" s="16" t="s">
        <v>582</v>
      </c>
      <c r="F12" s="16" t="s">
        <v>572</v>
      </c>
      <c r="G12" s="26">
        <v>250</v>
      </c>
      <c r="H12" s="26">
        <v>250</v>
      </c>
      <c r="I12" s="26">
        <v>250</v>
      </c>
      <c r="J12" s="26">
        <v>250</v>
      </c>
      <c r="K12" s="26">
        <v>250</v>
      </c>
      <c r="L12" s="26">
        <v>250</v>
      </c>
      <c r="M12" s="26">
        <v>250</v>
      </c>
      <c r="N12" s="26">
        <v>250</v>
      </c>
      <c r="O12" s="26">
        <v>250</v>
      </c>
      <c r="P12" s="26">
        <v>250</v>
      </c>
      <c r="Q12" s="26">
        <v>250</v>
      </c>
      <c r="R12" s="26">
        <v>250</v>
      </c>
      <c r="S12" s="27">
        <f t="shared" si="0"/>
        <v>3000</v>
      </c>
    </row>
    <row r="13" spans="1:24" hidden="1" x14ac:dyDescent="0.3">
      <c r="A13" s="16" t="s">
        <v>705</v>
      </c>
      <c r="B13" s="16" t="s">
        <v>578</v>
      </c>
      <c r="C13" s="16">
        <v>612503</v>
      </c>
      <c r="D13" s="16" t="s">
        <v>572</v>
      </c>
      <c r="E13" s="16" t="s">
        <v>182</v>
      </c>
      <c r="F13" s="16" t="s">
        <v>572</v>
      </c>
      <c r="G13" s="26">
        <v>5300</v>
      </c>
      <c r="H13" s="26">
        <v>5300</v>
      </c>
      <c r="I13" s="26">
        <v>5300</v>
      </c>
      <c r="J13" s="26">
        <v>5300</v>
      </c>
      <c r="K13" s="26">
        <v>5300</v>
      </c>
      <c r="L13" s="26">
        <v>5300</v>
      </c>
      <c r="M13" s="26">
        <v>5300</v>
      </c>
      <c r="N13" s="26">
        <v>5300</v>
      </c>
      <c r="O13" s="26">
        <v>5300</v>
      </c>
      <c r="P13" s="26">
        <v>5300</v>
      </c>
      <c r="Q13" s="26">
        <v>5300</v>
      </c>
      <c r="R13" s="26">
        <v>5300</v>
      </c>
      <c r="S13" s="27">
        <f t="shared" si="0"/>
        <v>63600</v>
      </c>
    </row>
    <row r="14" spans="1:24" hidden="1" x14ac:dyDescent="0.3">
      <c r="A14" s="16" t="s">
        <v>705</v>
      </c>
      <c r="B14" s="16" t="s">
        <v>578</v>
      </c>
      <c r="C14" s="16">
        <v>612503</v>
      </c>
      <c r="D14" s="16" t="s">
        <v>572</v>
      </c>
      <c r="E14" s="16" t="s">
        <v>583</v>
      </c>
      <c r="F14" s="16" t="s">
        <v>572</v>
      </c>
      <c r="G14" s="26">
        <v>0</v>
      </c>
      <c r="H14" s="26">
        <v>0</v>
      </c>
      <c r="I14" s="26">
        <v>0</v>
      </c>
      <c r="J14" s="26">
        <v>15000</v>
      </c>
      <c r="K14" s="26">
        <v>15000</v>
      </c>
      <c r="L14" s="26">
        <v>15000</v>
      </c>
      <c r="M14" s="26">
        <v>15000</v>
      </c>
      <c r="N14" s="26">
        <v>15000</v>
      </c>
      <c r="O14" s="26">
        <v>15000</v>
      </c>
      <c r="P14" s="26">
        <v>15000</v>
      </c>
      <c r="Q14" s="26">
        <v>15000</v>
      </c>
      <c r="R14" s="26">
        <v>15000</v>
      </c>
      <c r="S14" s="27">
        <f t="shared" si="0"/>
        <v>135000</v>
      </c>
    </row>
    <row r="15" spans="1:24" hidden="1" x14ac:dyDescent="0.3">
      <c r="A15" s="16" t="s">
        <v>705</v>
      </c>
      <c r="B15" s="16" t="s">
        <v>578</v>
      </c>
      <c r="C15" s="16">
        <v>612503</v>
      </c>
      <c r="D15" s="16" t="s">
        <v>572</v>
      </c>
      <c r="E15" s="16" t="s">
        <v>584</v>
      </c>
      <c r="F15" s="16" t="s">
        <v>572</v>
      </c>
      <c r="G15" s="26">
        <v>1666.6666666666667</v>
      </c>
      <c r="H15" s="26">
        <v>1666.6666666666667</v>
      </c>
      <c r="I15" s="26">
        <v>1666.6666666666667</v>
      </c>
      <c r="J15" s="26">
        <v>1666.6666666666667</v>
      </c>
      <c r="K15" s="26">
        <v>1666.6666666666667</v>
      </c>
      <c r="L15" s="26">
        <v>1666.6666666666667</v>
      </c>
      <c r="M15" s="26">
        <v>1666.6666666666667</v>
      </c>
      <c r="N15" s="26">
        <v>1666.6666666666667</v>
      </c>
      <c r="O15" s="26">
        <v>1666.6666666666667</v>
      </c>
      <c r="P15" s="26">
        <v>1666.6666666666667</v>
      </c>
      <c r="Q15" s="26">
        <v>1666.6666666666667</v>
      </c>
      <c r="R15" s="26">
        <v>1666.6666666666667</v>
      </c>
      <c r="S15" s="27">
        <f t="shared" si="0"/>
        <v>20000</v>
      </c>
    </row>
    <row r="16" spans="1:24" hidden="1" x14ac:dyDescent="0.3">
      <c r="A16" s="16" t="s">
        <v>705</v>
      </c>
      <c r="B16" s="16" t="s">
        <v>578</v>
      </c>
      <c r="C16" s="16">
        <v>612503</v>
      </c>
      <c r="D16" s="16" t="s">
        <v>572</v>
      </c>
      <c r="E16" s="16" t="s">
        <v>585</v>
      </c>
      <c r="F16" s="16" t="s">
        <v>572</v>
      </c>
      <c r="G16" s="26">
        <v>20416.666666666668</v>
      </c>
      <c r="H16" s="26">
        <v>20416.666666666668</v>
      </c>
      <c r="I16" s="26">
        <v>20416.666666666668</v>
      </c>
      <c r="J16" s="26">
        <v>20416.666666666668</v>
      </c>
      <c r="K16" s="26">
        <v>20416.666666666668</v>
      </c>
      <c r="L16" s="26">
        <v>20416.666666666668</v>
      </c>
      <c r="M16" s="26">
        <v>20416.666666666668</v>
      </c>
      <c r="N16" s="26">
        <v>20416.666666666668</v>
      </c>
      <c r="O16" s="26">
        <v>20416.666666666668</v>
      </c>
      <c r="P16" s="26">
        <v>20416.666666666668</v>
      </c>
      <c r="Q16" s="26">
        <v>20416.666666666668</v>
      </c>
      <c r="R16" s="26">
        <v>20416.666666666668</v>
      </c>
      <c r="S16" s="27">
        <f t="shared" si="0"/>
        <v>244999.99999999997</v>
      </c>
    </row>
    <row r="17" spans="1:20" hidden="1" x14ac:dyDescent="0.3">
      <c r="A17" s="16" t="s">
        <v>705</v>
      </c>
      <c r="B17" s="16" t="s">
        <v>578</v>
      </c>
      <c r="C17" s="16">
        <v>612503</v>
      </c>
      <c r="D17" s="16" t="s">
        <v>572</v>
      </c>
      <c r="E17" s="16" t="s">
        <v>586</v>
      </c>
      <c r="F17" s="16" t="s">
        <v>572</v>
      </c>
      <c r="G17" s="26">
        <v>666.66666666666663</v>
      </c>
      <c r="H17" s="26">
        <v>666.66666666666663</v>
      </c>
      <c r="I17" s="26">
        <v>666.66666666666663</v>
      </c>
      <c r="J17" s="26">
        <v>666.66666666666663</v>
      </c>
      <c r="K17" s="26">
        <v>666.66666666666663</v>
      </c>
      <c r="L17" s="26">
        <v>666.66666666666663</v>
      </c>
      <c r="M17" s="26">
        <v>666.66666666666663</v>
      </c>
      <c r="N17" s="26">
        <v>666.66666666666663</v>
      </c>
      <c r="O17" s="26">
        <v>666.66666666666663</v>
      </c>
      <c r="P17" s="26">
        <v>666.66666666666663</v>
      </c>
      <c r="Q17" s="26">
        <v>666.66666666666663</v>
      </c>
      <c r="R17" s="26">
        <v>666.66666666666663</v>
      </c>
      <c r="S17" s="27">
        <f t="shared" si="0"/>
        <v>8000.0000000000009</v>
      </c>
    </row>
    <row r="18" spans="1:20" hidden="1" x14ac:dyDescent="0.3">
      <c r="A18" s="16" t="s">
        <v>705</v>
      </c>
      <c r="B18" s="16" t="s">
        <v>578</v>
      </c>
      <c r="C18" s="16">
        <v>612520</v>
      </c>
      <c r="D18" s="16" t="s">
        <v>572</v>
      </c>
      <c r="E18" s="16" t="s">
        <v>587</v>
      </c>
      <c r="F18" s="16" t="s">
        <v>572</v>
      </c>
      <c r="G18" s="26">
        <v>4500</v>
      </c>
      <c r="H18" s="26">
        <v>4500</v>
      </c>
      <c r="I18" s="26">
        <v>4500</v>
      </c>
      <c r="J18" s="26">
        <v>4500</v>
      </c>
      <c r="K18" s="26">
        <v>4500</v>
      </c>
      <c r="L18" s="26">
        <v>4500</v>
      </c>
      <c r="M18" s="26">
        <v>4500</v>
      </c>
      <c r="N18" s="26">
        <v>4500</v>
      </c>
      <c r="O18" s="26">
        <v>4500</v>
      </c>
      <c r="P18" s="26">
        <v>4500</v>
      </c>
      <c r="Q18" s="26">
        <v>4500</v>
      </c>
      <c r="R18" s="26">
        <v>4500</v>
      </c>
      <c r="S18" s="27">
        <f t="shared" si="0"/>
        <v>54000</v>
      </c>
    </row>
    <row r="19" spans="1:20" hidden="1" x14ac:dyDescent="0.3">
      <c r="A19" s="16" t="s">
        <v>705</v>
      </c>
      <c r="B19" s="16" t="s">
        <v>578</v>
      </c>
      <c r="C19" s="16">
        <v>612520</v>
      </c>
      <c r="D19" s="16" t="s">
        <v>572</v>
      </c>
      <c r="E19" s="16" t="s">
        <v>588</v>
      </c>
      <c r="F19" s="16" t="s">
        <v>572</v>
      </c>
      <c r="G19" s="26">
        <v>8333.3333333333339</v>
      </c>
      <c r="H19" s="26">
        <v>8333.3333333333339</v>
      </c>
      <c r="I19" s="26">
        <v>8333.3333333333339</v>
      </c>
      <c r="J19" s="26">
        <v>8333.3333333333339</v>
      </c>
      <c r="K19" s="26">
        <v>8333.3333333333339</v>
      </c>
      <c r="L19" s="26">
        <v>8333.3333333333339</v>
      </c>
      <c r="M19" s="26">
        <v>8333.3333333333339</v>
      </c>
      <c r="N19" s="26">
        <v>8333.3333333333339</v>
      </c>
      <c r="O19" s="26">
        <v>8333.3333333333339</v>
      </c>
      <c r="P19" s="26">
        <v>8333.3333333333339</v>
      </c>
      <c r="Q19" s="26">
        <v>8333.3333333333339</v>
      </c>
      <c r="R19" s="26">
        <v>8333.3333333333339</v>
      </c>
      <c r="S19" s="27">
        <f t="shared" si="0"/>
        <v>99999.999999999985</v>
      </c>
    </row>
    <row r="20" spans="1:20" hidden="1" x14ac:dyDescent="0.3">
      <c r="A20" s="16" t="s">
        <v>705</v>
      </c>
      <c r="B20" s="16" t="s">
        <v>578</v>
      </c>
      <c r="C20" s="16">
        <v>612503</v>
      </c>
      <c r="D20" s="16" t="s">
        <v>572</v>
      </c>
      <c r="E20" s="16" t="s">
        <v>589</v>
      </c>
      <c r="F20" s="16" t="s">
        <v>572</v>
      </c>
      <c r="G20" s="26">
        <v>2083.3333333333335</v>
      </c>
      <c r="H20" s="26">
        <v>2083.3333333333335</v>
      </c>
      <c r="I20" s="26">
        <v>2083.3333333333335</v>
      </c>
      <c r="J20" s="26">
        <v>2083.3333333333335</v>
      </c>
      <c r="K20" s="26">
        <v>2083.3333333333335</v>
      </c>
      <c r="L20" s="26">
        <v>2083.3333333333335</v>
      </c>
      <c r="M20" s="26">
        <v>2083.3333333333335</v>
      </c>
      <c r="N20" s="26">
        <v>2083.3333333333335</v>
      </c>
      <c r="O20" s="26">
        <v>2083.3333333333335</v>
      </c>
      <c r="P20" s="26">
        <v>2083.3333333333335</v>
      </c>
      <c r="Q20" s="26">
        <v>2083.3333333333335</v>
      </c>
      <c r="R20" s="26">
        <v>2083.3333333333335</v>
      </c>
      <c r="S20" s="27">
        <f t="shared" si="0"/>
        <v>24999.999999999996</v>
      </c>
    </row>
    <row r="21" spans="1:20" hidden="1" x14ac:dyDescent="0.3">
      <c r="A21" s="16" t="s">
        <v>705</v>
      </c>
      <c r="B21" s="16" t="s">
        <v>578</v>
      </c>
      <c r="C21" s="16">
        <v>612503</v>
      </c>
      <c r="D21" s="16" t="s">
        <v>572</v>
      </c>
      <c r="E21" s="16" t="s">
        <v>590</v>
      </c>
      <c r="F21" s="16" t="s">
        <v>572</v>
      </c>
      <c r="G21" s="26">
        <v>2083.3333333333335</v>
      </c>
      <c r="H21" s="26">
        <v>2083.3333333333335</v>
      </c>
      <c r="I21" s="26">
        <v>2083.3333333333335</v>
      </c>
      <c r="J21" s="26">
        <v>2083.3333333333335</v>
      </c>
      <c r="K21" s="26">
        <v>2083.3333333333335</v>
      </c>
      <c r="L21" s="26">
        <v>2083.3333333333335</v>
      </c>
      <c r="M21" s="26">
        <v>2083.3333333333335</v>
      </c>
      <c r="N21" s="26">
        <v>2083.3333333333335</v>
      </c>
      <c r="O21" s="26">
        <v>2083.3333333333335</v>
      </c>
      <c r="P21" s="26">
        <v>2083.3333333333335</v>
      </c>
      <c r="Q21" s="26">
        <v>2083.3333333333335</v>
      </c>
      <c r="R21" s="26">
        <v>2083.3333333333335</v>
      </c>
      <c r="S21" s="27">
        <f t="shared" si="0"/>
        <v>24999.999999999996</v>
      </c>
      <c r="T21" s="46">
        <f>'4.2 Simplify Savings'!AB50</f>
        <v>-12499.99999999998</v>
      </c>
    </row>
    <row r="22" spans="1:20" hidden="1" x14ac:dyDescent="0.3">
      <c r="A22" s="16" t="s">
        <v>705</v>
      </c>
      <c r="B22" s="16" t="s">
        <v>578</v>
      </c>
      <c r="C22" s="16">
        <v>612503</v>
      </c>
      <c r="D22" s="16" t="s">
        <v>572</v>
      </c>
      <c r="E22" s="16" t="s">
        <v>590</v>
      </c>
      <c r="F22" s="16" t="s">
        <v>754</v>
      </c>
      <c r="G22" s="26"/>
      <c r="H22" s="26">
        <v>0</v>
      </c>
      <c r="I22" s="26">
        <v>0</v>
      </c>
      <c r="J22" s="26">
        <v>0</v>
      </c>
      <c r="K22" s="26">
        <v>0</v>
      </c>
      <c r="L22" s="26">
        <v>0</v>
      </c>
      <c r="M22" s="26">
        <v>-2083.3333333333298</v>
      </c>
      <c r="N22" s="26">
        <v>-2083.3333333333298</v>
      </c>
      <c r="O22" s="26">
        <v>-2083.3333333333298</v>
      </c>
      <c r="P22" s="26">
        <v>-2083.3333333333298</v>
      </c>
      <c r="Q22" s="26">
        <v>-2083.3333333333298</v>
      </c>
      <c r="R22" s="26">
        <v>-2083.3333333333298</v>
      </c>
      <c r="S22" s="27">
        <f t="shared" si="0"/>
        <v>-12499.99999999998</v>
      </c>
    </row>
    <row r="23" spans="1:20" hidden="1" x14ac:dyDescent="0.3">
      <c r="A23" s="16" t="s">
        <v>705</v>
      </c>
      <c r="B23" s="16" t="s">
        <v>578</v>
      </c>
      <c r="C23" s="16">
        <v>612503</v>
      </c>
      <c r="D23" s="16" t="s">
        <v>572</v>
      </c>
      <c r="E23" s="16" t="s">
        <v>591</v>
      </c>
      <c r="F23" s="16" t="s">
        <v>572</v>
      </c>
      <c r="G23" s="26">
        <v>20000</v>
      </c>
      <c r="H23" s="26">
        <v>20000</v>
      </c>
      <c r="I23" s="26">
        <v>20000</v>
      </c>
      <c r="J23" s="26">
        <v>20000</v>
      </c>
      <c r="K23" s="26">
        <v>20000</v>
      </c>
      <c r="L23" s="26">
        <v>20000</v>
      </c>
      <c r="M23" s="26">
        <v>20000</v>
      </c>
      <c r="N23" s="26">
        <v>20000</v>
      </c>
      <c r="O23" s="26">
        <v>20000</v>
      </c>
      <c r="P23" s="26">
        <v>20000</v>
      </c>
      <c r="Q23" s="26">
        <v>20000</v>
      </c>
      <c r="R23" s="26">
        <v>20000</v>
      </c>
      <c r="S23" s="27">
        <f t="shared" si="0"/>
        <v>240000</v>
      </c>
      <c r="T23" s="46">
        <f>'4.2 Simplify Savings'!AB51</f>
        <v>-120000</v>
      </c>
    </row>
    <row r="24" spans="1:20" hidden="1" x14ac:dyDescent="0.3">
      <c r="A24" s="16" t="s">
        <v>705</v>
      </c>
      <c r="B24" s="16" t="s">
        <v>578</v>
      </c>
      <c r="C24" s="16">
        <v>612503</v>
      </c>
      <c r="D24" s="16" t="s">
        <v>572</v>
      </c>
      <c r="E24" s="16" t="s">
        <v>591</v>
      </c>
      <c r="F24" s="16" t="s">
        <v>754</v>
      </c>
      <c r="G24" s="26">
        <v>0</v>
      </c>
      <c r="H24" s="26">
        <v>0</v>
      </c>
      <c r="I24" s="26">
        <v>0</v>
      </c>
      <c r="J24" s="26">
        <v>0</v>
      </c>
      <c r="K24" s="26">
        <v>0</v>
      </c>
      <c r="L24" s="26">
        <v>0</v>
      </c>
      <c r="M24" s="26">
        <v>-20000</v>
      </c>
      <c r="N24" s="26">
        <v>-20000</v>
      </c>
      <c r="O24" s="26">
        <v>-20000</v>
      </c>
      <c r="P24" s="26">
        <v>-20000</v>
      </c>
      <c r="Q24" s="26">
        <v>-20000</v>
      </c>
      <c r="R24" s="26">
        <v>-20000</v>
      </c>
      <c r="S24" s="27">
        <f t="shared" si="0"/>
        <v>-120000</v>
      </c>
    </row>
    <row r="25" spans="1:20" hidden="1" x14ac:dyDescent="0.3">
      <c r="A25" s="16" t="s">
        <v>705</v>
      </c>
      <c r="B25" s="16" t="s">
        <v>578</v>
      </c>
      <c r="C25" s="16">
        <v>612520</v>
      </c>
      <c r="D25" s="16" t="s">
        <v>572</v>
      </c>
      <c r="E25" s="16" t="s">
        <v>592</v>
      </c>
      <c r="F25" s="16" t="s">
        <v>572</v>
      </c>
      <c r="G25" s="26">
        <v>1250</v>
      </c>
      <c r="H25" s="26">
        <v>1250</v>
      </c>
      <c r="I25" s="26">
        <v>1250</v>
      </c>
      <c r="J25" s="26">
        <v>1250</v>
      </c>
      <c r="K25" s="26">
        <v>1250</v>
      </c>
      <c r="L25" s="26">
        <v>1250</v>
      </c>
      <c r="M25" s="26">
        <v>1250</v>
      </c>
      <c r="N25" s="26">
        <v>1250</v>
      </c>
      <c r="O25" s="26">
        <v>1250</v>
      </c>
      <c r="P25" s="26">
        <v>1250</v>
      </c>
      <c r="Q25" s="26">
        <v>1250</v>
      </c>
      <c r="R25" s="26">
        <v>1250</v>
      </c>
      <c r="S25" s="27">
        <f t="shared" si="0"/>
        <v>15000</v>
      </c>
    </row>
    <row r="26" spans="1:20" hidden="1" x14ac:dyDescent="0.3">
      <c r="A26" s="16" t="s">
        <v>705</v>
      </c>
      <c r="B26" s="16" t="s">
        <v>578</v>
      </c>
      <c r="C26" s="16">
        <v>611200</v>
      </c>
      <c r="D26" s="16" t="s">
        <v>572</v>
      </c>
      <c r="E26" s="16" t="s">
        <v>593</v>
      </c>
      <c r="F26" s="16" t="s">
        <v>572</v>
      </c>
      <c r="G26" s="26">
        <v>801.33333333333337</v>
      </c>
      <c r="H26" s="26">
        <v>801.33333333333337</v>
      </c>
      <c r="I26" s="26">
        <v>801.33333333333337</v>
      </c>
      <c r="J26" s="26">
        <v>801.33333333333337</v>
      </c>
      <c r="K26" s="26">
        <v>801.33333333333337</v>
      </c>
      <c r="L26" s="26">
        <v>801.33333333333337</v>
      </c>
      <c r="M26" s="26">
        <v>801.33333333333337</v>
      </c>
      <c r="N26" s="26">
        <v>801.33333333333337</v>
      </c>
      <c r="O26" s="26">
        <v>801.33333333333337</v>
      </c>
      <c r="P26" s="26">
        <v>801.33333333333337</v>
      </c>
      <c r="Q26" s="26">
        <v>801.33333333333337</v>
      </c>
      <c r="R26" s="26">
        <v>801.33333333333337</v>
      </c>
      <c r="S26" s="27">
        <f t="shared" si="0"/>
        <v>9616</v>
      </c>
    </row>
    <row r="27" spans="1:20" hidden="1" x14ac:dyDescent="0.3">
      <c r="A27" s="16" t="s">
        <v>705</v>
      </c>
      <c r="B27" s="16" t="s">
        <v>578</v>
      </c>
      <c r="C27" s="16">
        <v>612520</v>
      </c>
      <c r="D27" s="16" t="s">
        <v>572</v>
      </c>
      <c r="E27" s="16" t="s">
        <v>594</v>
      </c>
      <c r="F27" s="16" t="s">
        <v>572</v>
      </c>
      <c r="G27" s="26">
        <v>291.66666666666669</v>
      </c>
      <c r="H27" s="26">
        <v>291.66666666666669</v>
      </c>
      <c r="I27" s="26">
        <v>291.66666666666669</v>
      </c>
      <c r="J27" s="26">
        <v>291.66666666666669</v>
      </c>
      <c r="K27" s="26">
        <v>291.66666666666669</v>
      </c>
      <c r="L27" s="26">
        <v>291.66666666666669</v>
      </c>
      <c r="M27" s="26">
        <v>291.66666666666669</v>
      </c>
      <c r="N27" s="26">
        <v>291.66666666666669</v>
      </c>
      <c r="O27" s="26">
        <v>291.66666666666669</v>
      </c>
      <c r="P27" s="26">
        <v>291.66666666666669</v>
      </c>
      <c r="Q27" s="26">
        <v>291.66666666666669</v>
      </c>
      <c r="R27" s="26">
        <v>291.66666666666669</v>
      </c>
      <c r="S27" s="27">
        <f t="shared" si="0"/>
        <v>3499.9999999999995</v>
      </c>
    </row>
    <row r="28" spans="1:20" hidden="1" x14ac:dyDescent="0.3">
      <c r="A28" s="16" t="s">
        <v>705</v>
      </c>
      <c r="B28" s="16" t="s">
        <v>578</v>
      </c>
      <c r="C28" s="16">
        <v>612900</v>
      </c>
      <c r="D28" s="16" t="s">
        <v>572</v>
      </c>
      <c r="E28" s="16" t="s">
        <v>123</v>
      </c>
      <c r="F28" s="16" t="s">
        <v>572</v>
      </c>
      <c r="G28" s="26">
        <v>14583.333333333334</v>
      </c>
      <c r="H28" s="26">
        <v>14583.333333333334</v>
      </c>
      <c r="I28" s="26">
        <v>14583.333333333334</v>
      </c>
      <c r="J28" s="26">
        <v>14583.333333333334</v>
      </c>
      <c r="K28" s="26">
        <v>14583.333333333334</v>
      </c>
      <c r="L28" s="26">
        <v>14583.333333333334</v>
      </c>
      <c r="M28" s="26">
        <v>14583.333333333334</v>
      </c>
      <c r="N28" s="26">
        <v>14583.333333333334</v>
      </c>
      <c r="O28" s="26">
        <v>14583.333333333334</v>
      </c>
      <c r="P28" s="26">
        <v>14583.333333333334</v>
      </c>
      <c r="Q28" s="26">
        <v>14583.333333333334</v>
      </c>
      <c r="R28" s="26">
        <v>14583.333333333334</v>
      </c>
      <c r="S28" s="27">
        <f t="shared" si="0"/>
        <v>175000.00000000003</v>
      </c>
    </row>
    <row r="29" spans="1:20" hidden="1" x14ac:dyDescent="0.3">
      <c r="A29" s="16" t="s">
        <v>705</v>
      </c>
      <c r="B29" s="16" t="s">
        <v>578</v>
      </c>
      <c r="C29" s="16">
        <v>612520</v>
      </c>
      <c r="D29" s="16" t="s">
        <v>572</v>
      </c>
      <c r="E29" s="16" t="s">
        <v>595</v>
      </c>
      <c r="F29" s="16" t="s">
        <v>572</v>
      </c>
      <c r="G29" s="26">
        <v>81</v>
      </c>
      <c r="H29" s="26">
        <v>81</v>
      </c>
      <c r="I29" s="26">
        <v>81</v>
      </c>
      <c r="J29" s="26">
        <v>81</v>
      </c>
      <c r="K29" s="26">
        <v>81</v>
      </c>
      <c r="L29" s="26">
        <v>81</v>
      </c>
      <c r="M29" s="26">
        <v>81</v>
      </c>
      <c r="N29" s="26">
        <v>81</v>
      </c>
      <c r="O29" s="26">
        <v>81</v>
      </c>
      <c r="P29" s="26">
        <v>81</v>
      </c>
      <c r="Q29" s="26">
        <v>81</v>
      </c>
      <c r="R29" s="26">
        <v>81</v>
      </c>
      <c r="S29" s="27">
        <f t="shared" si="0"/>
        <v>972</v>
      </c>
    </row>
    <row r="30" spans="1:20" hidden="1" x14ac:dyDescent="0.3">
      <c r="A30" s="16" t="s">
        <v>705</v>
      </c>
      <c r="B30" s="16" t="s">
        <v>578</v>
      </c>
      <c r="C30" s="16">
        <v>612900</v>
      </c>
      <c r="D30" s="16" t="s">
        <v>572</v>
      </c>
      <c r="E30" s="16" t="s">
        <v>596</v>
      </c>
      <c r="F30" s="16" t="s">
        <v>572</v>
      </c>
      <c r="G30" s="26">
        <v>8333.3333333333339</v>
      </c>
      <c r="H30" s="26">
        <v>8333.3333333333339</v>
      </c>
      <c r="I30" s="26">
        <v>8333.3333333333339</v>
      </c>
      <c r="J30" s="26">
        <v>8333.3333333333339</v>
      </c>
      <c r="K30" s="26">
        <v>8333.3333333333339</v>
      </c>
      <c r="L30" s="26">
        <v>8333.3333333333339</v>
      </c>
      <c r="M30" s="26">
        <v>8333.3333333333339</v>
      </c>
      <c r="N30" s="26">
        <v>8333.3333333333339</v>
      </c>
      <c r="O30" s="26">
        <v>8333.3333333333339</v>
      </c>
      <c r="P30" s="26">
        <v>8333.3333333333339</v>
      </c>
      <c r="Q30" s="26">
        <v>8333.3333333333339</v>
      </c>
      <c r="R30" s="26">
        <v>8333.3333333333339</v>
      </c>
      <c r="S30" s="27">
        <f t="shared" si="0"/>
        <v>99999.999999999985</v>
      </c>
    </row>
    <row r="31" spans="1:20" hidden="1" x14ac:dyDescent="0.3">
      <c r="A31" s="16" t="s">
        <v>705</v>
      </c>
      <c r="B31" s="16" t="s">
        <v>578</v>
      </c>
      <c r="C31" s="16">
        <v>612520</v>
      </c>
      <c r="D31" s="16" t="s">
        <v>572</v>
      </c>
      <c r="E31" s="16" t="s">
        <v>597</v>
      </c>
      <c r="F31" s="16" t="s">
        <v>572</v>
      </c>
      <c r="G31" s="26">
        <v>1583.3333333333333</v>
      </c>
      <c r="H31" s="26">
        <v>1583.3333333333333</v>
      </c>
      <c r="I31" s="26">
        <v>1583.3333333333333</v>
      </c>
      <c r="J31" s="26">
        <v>1583.3333333333333</v>
      </c>
      <c r="K31" s="26">
        <v>1583.3333333333333</v>
      </c>
      <c r="L31" s="26">
        <v>1583.3333333333333</v>
      </c>
      <c r="M31" s="26">
        <v>1583.3333333333333</v>
      </c>
      <c r="N31" s="26">
        <v>1583.3333333333333</v>
      </c>
      <c r="O31" s="26">
        <v>1583.3333333333333</v>
      </c>
      <c r="P31" s="26">
        <v>1583.3333333333333</v>
      </c>
      <c r="Q31" s="26">
        <v>1583.3333333333333</v>
      </c>
      <c r="R31" s="26">
        <v>1583.3333333333333</v>
      </c>
      <c r="S31" s="27">
        <f t="shared" si="0"/>
        <v>19000</v>
      </c>
    </row>
    <row r="32" spans="1:20" hidden="1" x14ac:dyDescent="0.3">
      <c r="A32" s="16" t="s">
        <v>705</v>
      </c>
      <c r="B32" s="16" t="s">
        <v>578</v>
      </c>
      <c r="C32" s="16">
        <v>612520</v>
      </c>
      <c r="D32" s="16" t="s">
        <v>572</v>
      </c>
      <c r="E32" s="16" t="s">
        <v>598</v>
      </c>
      <c r="F32" s="16" t="s">
        <v>572</v>
      </c>
      <c r="G32" s="26">
        <v>4750</v>
      </c>
      <c r="H32" s="26">
        <v>4750</v>
      </c>
      <c r="I32" s="26">
        <v>4750</v>
      </c>
      <c r="J32" s="26">
        <v>4750</v>
      </c>
      <c r="K32" s="26">
        <v>4750</v>
      </c>
      <c r="L32" s="26">
        <v>4750</v>
      </c>
      <c r="M32" s="26">
        <v>4750</v>
      </c>
      <c r="N32" s="26">
        <v>4750</v>
      </c>
      <c r="O32" s="26">
        <v>4750</v>
      </c>
      <c r="P32" s="26">
        <v>4750</v>
      </c>
      <c r="Q32" s="26">
        <v>4750</v>
      </c>
      <c r="R32" s="26">
        <v>4750</v>
      </c>
      <c r="S32" s="27">
        <f t="shared" si="0"/>
        <v>57000</v>
      </c>
    </row>
    <row r="33" spans="1:20" hidden="1" x14ac:dyDescent="0.3">
      <c r="A33" s="16" t="s">
        <v>705</v>
      </c>
      <c r="B33" s="16" t="s">
        <v>578</v>
      </c>
      <c r="C33" s="16">
        <v>612520</v>
      </c>
      <c r="D33" s="16" t="s">
        <v>572</v>
      </c>
      <c r="E33" s="16" t="s">
        <v>599</v>
      </c>
      <c r="F33" s="16" t="s">
        <v>572</v>
      </c>
      <c r="G33" s="26">
        <v>5500</v>
      </c>
      <c r="H33" s="26">
        <v>5500</v>
      </c>
      <c r="I33" s="26">
        <v>5500</v>
      </c>
      <c r="J33" s="26">
        <v>5500</v>
      </c>
      <c r="K33" s="26">
        <v>5500</v>
      </c>
      <c r="L33" s="26">
        <v>5500</v>
      </c>
      <c r="M33" s="26">
        <v>5500</v>
      </c>
      <c r="N33" s="26">
        <v>5500</v>
      </c>
      <c r="O33" s="26">
        <v>5500</v>
      </c>
      <c r="P33" s="26">
        <v>5500</v>
      </c>
      <c r="Q33" s="26">
        <v>5500</v>
      </c>
      <c r="R33" s="26">
        <v>5500</v>
      </c>
      <c r="S33" s="27">
        <f t="shared" si="0"/>
        <v>66000</v>
      </c>
      <c r="T33" s="46">
        <f>'4.2 Simplify Savings'!AB52</f>
        <v>-66000</v>
      </c>
    </row>
    <row r="34" spans="1:20" hidden="1" x14ac:dyDescent="0.3">
      <c r="A34" s="16" t="s">
        <v>705</v>
      </c>
      <c r="B34" s="16" t="s">
        <v>578</v>
      </c>
      <c r="C34" s="16">
        <v>612520</v>
      </c>
      <c r="D34" s="16" t="s">
        <v>572</v>
      </c>
      <c r="E34" s="16" t="s">
        <v>599</v>
      </c>
      <c r="F34" s="16" t="s">
        <v>754</v>
      </c>
      <c r="G34" s="26">
        <v>-5500</v>
      </c>
      <c r="H34" s="26">
        <v>-5500</v>
      </c>
      <c r="I34" s="26">
        <v>-5500</v>
      </c>
      <c r="J34" s="26">
        <v>-5500</v>
      </c>
      <c r="K34" s="26">
        <v>-5500</v>
      </c>
      <c r="L34" s="26">
        <v>-5500</v>
      </c>
      <c r="M34" s="26">
        <v>-5500</v>
      </c>
      <c r="N34" s="26">
        <v>-5500</v>
      </c>
      <c r="O34" s="26">
        <v>-5500</v>
      </c>
      <c r="P34" s="26">
        <v>-5500</v>
      </c>
      <c r="Q34" s="26">
        <v>-5500</v>
      </c>
      <c r="R34" s="26">
        <v>-5500</v>
      </c>
      <c r="S34" s="27">
        <f t="shared" si="0"/>
        <v>-66000</v>
      </c>
    </row>
    <row r="35" spans="1:20" hidden="1" x14ac:dyDescent="0.3">
      <c r="A35" s="16" t="s">
        <v>705</v>
      </c>
      <c r="B35" s="16" t="s">
        <v>578</v>
      </c>
      <c r="C35" s="16">
        <v>612520</v>
      </c>
      <c r="D35" s="16" t="s">
        <v>572</v>
      </c>
      <c r="E35" s="16" t="s">
        <v>600</v>
      </c>
      <c r="F35" s="16" t="s">
        <v>572</v>
      </c>
      <c r="G35" s="26">
        <v>5833.333333333333</v>
      </c>
      <c r="H35" s="26">
        <v>5833.333333333333</v>
      </c>
      <c r="I35" s="26">
        <v>5833.333333333333</v>
      </c>
      <c r="J35" s="26">
        <v>5833.333333333333</v>
      </c>
      <c r="K35" s="26">
        <v>5833.333333333333</v>
      </c>
      <c r="L35" s="26">
        <v>5833.333333333333</v>
      </c>
      <c r="M35" s="26">
        <v>5833.333333333333</v>
      </c>
      <c r="N35" s="26">
        <v>5833.333333333333</v>
      </c>
      <c r="O35" s="26">
        <v>5833.333333333333</v>
      </c>
      <c r="P35" s="26">
        <v>5833.333333333333</v>
      </c>
      <c r="Q35" s="26">
        <v>5833.333333333333</v>
      </c>
      <c r="R35" s="26">
        <v>5833.333333333333</v>
      </c>
      <c r="S35" s="27">
        <f t="shared" si="0"/>
        <v>70000.000000000015</v>
      </c>
    </row>
    <row r="36" spans="1:20" hidden="1" x14ac:dyDescent="0.3">
      <c r="A36" s="16" t="s">
        <v>705</v>
      </c>
      <c r="B36" s="16" t="s">
        <v>578</v>
      </c>
      <c r="C36" s="16">
        <v>611100</v>
      </c>
      <c r="D36" s="16" t="s">
        <v>572</v>
      </c>
      <c r="E36" s="16" t="s">
        <v>601</v>
      </c>
      <c r="F36" s="16" t="s">
        <v>572</v>
      </c>
      <c r="G36" s="26">
        <v>833.33333333333337</v>
      </c>
      <c r="H36" s="26">
        <v>833.33333333333337</v>
      </c>
      <c r="I36" s="26">
        <v>833.33333333333337</v>
      </c>
      <c r="J36" s="26">
        <v>833.33333333333337</v>
      </c>
      <c r="K36" s="26">
        <v>833.33333333333337</v>
      </c>
      <c r="L36" s="26">
        <v>833.33333333333337</v>
      </c>
      <c r="M36" s="26">
        <v>833.33333333333337</v>
      </c>
      <c r="N36" s="26">
        <v>833.33333333333337</v>
      </c>
      <c r="O36" s="26">
        <v>833.33333333333337</v>
      </c>
      <c r="P36" s="26">
        <v>833.33333333333337</v>
      </c>
      <c r="Q36" s="26">
        <v>833.33333333333337</v>
      </c>
      <c r="R36" s="26">
        <v>833.33333333333337</v>
      </c>
      <c r="S36" s="27">
        <f t="shared" si="0"/>
        <v>10000</v>
      </c>
    </row>
    <row r="37" spans="1:20" hidden="1" x14ac:dyDescent="0.3">
      <c r="A37" s="16" t="s">
        <v>705</v>
      </c>
      <c r="B37" s="16" t="s">
        <v>578</v>
      </c>
      <c r="C37" s="16">
        <v>612520</v>
      </c>
      <c r="D37" s="16" t="s">
        <v>572</v>
      </c>
      <c r="E37" s="16" t="s">
        <v>602</v>
      </c>
      <c r="F37" s="16" t="s">
        <v>572</v>
      </c>
      <c r="G37" s="26">
        <v>25250</v>
      </c>
      <c r="H37" s="26">
        <v>25250</v>
      </c>
      <c r="I37" s="26">
        <v>25250</v>
      </c>
      <c r="J37" s="26">
        <v>25250</v>
      </c>
      <c r="K37" s="26">
        <v>25250</v>
      </c>
      <c r="L37" s="26">
        <v>25250</v>
      </c>
      <c r="M37" s="26">
        <v>25250</v>
      </c>
      <c r="N37" s="26">
        <v>25250</v>
      </c>
      <c r="O37" s="26">
        <v>25250</v>
      </c>
      <c r="P37" s="26">
        <v>25250</v>
      </c>
      <c r="Q37" s="26">
        <v>25250</v>
      </c>
      <c r="R37" s="26">
        <v>25250</v>
      </c>
      <c r="S37" s="27">
        <f t="shared" si="0"/>
        <v>303000</v>
      </c>
    </row>
    <row r="38" spans="1:20" hidden="1" x14ac:dyDescent="0.3">
      <c r="A38" s="16" t="s">
        <v>705</v>
      </c>
      <c r="B38" s="16" t="s">
        <v>578</v>
      </c>
      <c r="C38" s="16">
        <v>612520</v>
      </c>
      <c r="D38" s="16" t="s">
        <v>572</v>
      </c>
      <c r="E38" s="16" t="s">
        <v>603</v>
      </c>
      <c r="F38" s="16" t="s">
        <v>572</v>
      </c>
      <c r="G38" s="26">
        <v>6250</v>
      </c>
      <c r="H38" s="26">
        <v>6250</v>
      </c>
      <c r="I38" s="26">
        <v>6250</v>
      </c>
      <c r="J38" s="26">
        <v>6250</v>
      </c>
      <c r="K38" s="26">
        <v>6250</v>
      </c>
      <c r="L38" s="26">
        <v>6250</v>
      </c>
      <c r="M38" s="26">
        <v>6250</v>
      </c>
      <c r="N38" s="26">
        <v>6250</v>
      </c>
      <c r="O38" s="26">
        <v>6250</v>
      </c>
      <c r="P38" s="26">
        <v>6250</v>
      </c>
      <c r="Q38" s="26">
        <v>6250</v>
      </c>
      <c r="R38" s="26">
        <v>6250</v>
      </c>
      <c r="S38" s="27">
        <f t="shared" si="0"/>
        <v>75000</v>
      </c>
    </row>
    <row r="39" spans="1:20" hidden="1" x14ac:dyDescent="0.3">
      <c r="A39" s="16" t="s">
        <v>705</v>
      </c>
      <c r="B39" s="16" t="s">
        <v>578</v>
      </c>
      <c r="C39" s="16">
        <v>612520</v>
      </c>
      <c r="D39" s="16" t="s">
        <v>572</v>
      </c>
      <c r="E39" s="16" t="s">
        <v>604</v>
      </c>
      <c r="F39" s="16" t="s">
        <v>572</v>
      </c>
      <c r="G39" s="26">
        <v>1666.6666666666667</v>
      </c>
      <c r="H39" s="26">
        <v>1666.6666666666667</v>
      </c>
      <c r="I39" s="26">
        <v>1666.6666666666667</v>
      </c>
      <c r="J39" s="26">
        <v>1666.6666666666667</v>
      </c>
      <c r="K39" s="26">
        <v>1666.6666666666667</v>
      </c>
      <c r="L39" s="26">
        <v>1666.6666666666667</v>
      </c>
      <c r="M39" s="26">
        <v>1666.6666666666667</v>
      </c>
      <c r="N39" s="26">
        <v>1666.6666666666667</v>
      </c>
      <c r="O39" s="26">
        <v>1666.6666666666667</v>
      </c>
      <c r="P39" s="26">
        <v>1666.6666666666667</v>
      </c>
      <c r="Q39" s="26">
        <v>1666.6666666666667</v>
      </c>
      <c r="R39" s="26">
        <v>1666.6666666666667</v>
      </c>
      <c r="S39" s="27">
        <f t="shared" si="0"/>
        <v>20000</v>
      </c>
      <c r="T39" s="46">
        <f>'4.2 Simplify Savings'!AB53</f>
        <v>-20000.04</v>
      </c>
    </row>
    <row r="40" spans="1:20" hidden="1" x14ac:dyDescent="0.3">
      <c r="A40" s="16" t="s">
        <v>705</v>
      </c>
      <c r="B40" s="16" t="s">
        <v>578</v>
      </c>
      <c r="C40" s="16">
        <v>612520</v>
      </c>
      <c r="D40" s="16" t="s">
        <v>572</v>
      </c>
      <c r="E40" s="16" t="s">
        <v>604</v>
      </c>
      <c r="F40" s="16" t="s">
        <v>754</v>
      </c>
      <c r="G40" s="26">
        <v>-1666.67</v>
      </c>
      <c r="H40" s="26">
        <v>-1666.67</v>
      </c>
      <c r="I40" s="26">
        <v>-1666.67</v>
      </c>
      <c r="J40" s="26">
        <v>-1666.67</v>
      </c>
      <c r="K40" s="26">
        <v>-1666.67</v>
      </c>
      <c r="L40" s="26">
        <v>-1666.67</v>
      </c>
      <c r="M40" s="26">
        <v>-1666.67</v>
      </c>
      <c r="N40" s="26">
        <v>-1666.67</v>
      </c>
      <c r="O40" s="26">
        <v>-1666.67</v>
      </c>
      <c r="P40" s="26">
        <v>-1666.67</v>
      </c>
      <c r="Q40" s="26">
        <v>-1666.67</v>
      </c>
      <c r="R40" s="26">
        <v>-1666.67</v>
      </c>
      <c r="S40" s="27">
        <f t="shared" si="0"/>
        <v>-20000.04</v>
      </c>
    </row>
    <row r="41" spans="1:20" hidden="1" x14ac:dyDescent="0.3">
      <c r="A41" s="16" t="s">
        <v>705</v>
      </c>
      <c r="B41" s="16" t="s">
        <v>578</v>
      </c>
      <c r="C41" s="16">
        <v>612520</v>
      </c>
      <c r="D41" s="16" t="s">
        <v>572</v>
      </c>
      <c r="E41" s="16" t="s">
        <v>605</v>
      </c>
      <c r="F41" s="16" t="s">
        <v>572</v>
      </c>
      <c r="G41" s="26">
        <v>4166.666666666667</v>
      </c>
      <c r="H41" s="26">
        <v>4166.666666666667</v>
      </c>
      <c r="I41" s="26">
        <v>4166.666666666667</v>
      </c>
      <c r="J41" s="26">
        <v>4166.666666666667</v>
      </c>
      <c r="K41" s="26">
        <v>4166.666666666667</v>
      </c>
      <c r="L41" s="26">
        <v>4166.666666666667</v>
      </c>
      <c r="M41" s="26">
        <v>4166.666666666667</v>
      </c>
      <c r="N41" s="26">
        <v>4166.666666666667</v>
      </c>
      <c r="O41" s="26">
        <v>4166.666666666667</v>
      </c>
      <c r="P41" s="26">
        <v>4166.666666666667</v>
      </c>
      <c r="Q41" s="26">
        <v>4166.666666666667</v>
      </c>
      <c r="R41" s="26">
        <v>4166.666666666667</v>
      </c>
      <c r="S41" s="27">
        <f t="shared" si="0"/>
        <v>49999.999999999993</v>
      </c>
    </row>
    <row r="42" spans="1:20" hidden="1" x14ac:dyDescent="0.3">
      <c r="A42" s="16" t="s">
        <v>705</v>
      </c>
      <c r="B42" s="16" t="s">
        <v>578</v>
      </c>
      <c r="C42" s="16">
        <v>612620</v>
      </c>
      <c r="D42" s="16" t="s">
        <v>572</v>
      </c>
      <c r="E42" s="16" t="s">
        <v>606</v>
      </c>
      <c r="F42" s="16" t="s">
        <v>572</v>
      </c>
      <c r="G42" s="26">
        <v>120833.33</v>
      </c>
      <c r="H42" s="26">
        <v>120833.33</v>
      </c>
      <c r="I42" s="26">
        <v>120833.33</v>
      </c>
      <c r="J42" s="26">
        <v>120833.33</v>
      </c>
      <c r="K42" s="26">
        <v>120833.33</v>
      </c>
      <c r="L42" s="26">
        <v>120833.33</v>
      </c>
      <c r="M42" s="26">
        <v>120833.33</v>
      </c>
      <c r="N42" s="26">
        <v>120833.33</v>
      </c>
      <c r="O42" s="26">
        <v>120833.33</v>
      </c>
      <c r="P42" s="26">
        <v>120833.33</v>
      </c>
      <c r="Q42" s="26">
        <v>120833.33</v>
      </c>
      <c r="R42" s="26">
        <v>120833.33</v>
      </c>
      <c r="S42" s="27">
        <f t="shared" si="0"/>
        <v>1449999.9600000002</v>
      </c>
    </row>
    <row r="43" spans="1:20" hidden="1" x14ac:dyDescent="0.3">
      <c r="A43" s="16" t="s">
        <v>705</v>
      </c>
      <c r="B43" s="16" t="s">
        <v>578</v>
      </c>
      <c r="C43" s="16">
        <v>612620</v>
      </c>
      <c r="D43" s="16" t="s">
        <v>572</v>
      </c>
      <c r="E43" s="16" t="s">
        <v>755</v>
      </c>
      <c r="F43" s="16" t="s">
        <v>754</v>
      </c>
      <c r="G43" s="26">
        <v>-5500</v>
      </c>
      <c r="H43" s="26">
        <v>-5500</v>
      </c>
      <c r="I43" s="26">
        <v>-5500</v>
      </c>
      <c r="J43" s="26">
        <v>-5500</v>
      </c>
      <c r="K43" s="26">
        <v>-5500</v>
      </c>
      <c r="L43" s="26">
        <v>-5500</v>
      </c>
      <c r="M43" s="26">
        <v>-5500</v>
      </c>
      <c r="N43" s="26">
        <v>-5500</v>
      </c>
      <c r="O43" s="26">
        <v>-5500</v>
      </c>
      <c r="P43" s="26">
        <v>-5500</v>
      </c>
      <c r="Q43" s="26">
        <v>-5500</v>
      </c>
      <c r="R43" s="26">
        <v>-5500</v>
      </c>
      <c r="S43" s="52">
        <f t="shared" si="0"/>
        <v>-66000</v>
      </c>
    </row>
    <row r="44" spans="1:20" hidden="1" x14ac:dyDescent="0.3">
      <c r="A44" s="16" t="s">
        <v>705</v>
      </c>
      <c r="B44" s="16" t="s">
        <v>578</v>
      </c>
      <c r="C44" s="16">
        <v>612620</v>
      </c>
      <c r="D44" s="16" t="s">
        <v>572</v>
      </c>
      <c r="E44" s="16" t="s">
        <v>607</v>
      </c>
      <c r="F44" s="16" t="s">
        <v>572</v>
      </c>
      <c r="G44" s="26">
        <v>0</v>
      </c>
      <c r="H44" s="26">
        <v>0</v>
      </c>
      <c r="I44" s="26">
        <v>0</v>
      </c>
      <c r="J44" s="26">
        <v>0</v>
      </c>
      <c r="K44" s="26">
        <v>0</v>
      </c>
      <c r="L44" s="26">
        <v>0</v>
      </c>
      <c r="M44" s="26">
        <v>0</v>
      </c>
      <c r="N44" s="26">
        <v>0</v>
      </c>
      <c r="O44" s="26">
        <v>0</v>
      </c>
      <c r="P44" s="26">
        <v>0</v>
      </c>
      <c r="Q44" s="26">
        <v>0</v>
      </c>
      <c r="R44" s="26">
        <v>0</v>
      </c>
      <c r="S44" s="27">
        <f t="shared" si="0"/>
        <v>0</v>
      </c>
      <c r="T44" s="46">
        <f>'4.2 Simplify Savings'!AB54</f>
        <v>-66000</v>
      </c>
    </row>
    <row r="45" spans="1:20" hidden="1" x14ac:dyDescent="0.3">
      <c r="A45" s="16" t="s">
        <v>705</v>
      </c>
      <c r="B45" s="16" t="s">
        <v>578</v>
      </c>
      <c r="C45" s="16">
        <v>612620</v>
      </c>
      <c r="D45" s="16" t="s">
        <v>572</v>
      </c>
      <c r="E45" s="16" t="s">
        <v>608</v>
      </c>
      <c r="F45" s="16" t="s">
        <v>572</v>
      </c>
      <c r="G45" s="26">
        <v>16667</v>
      </c>
      <c r="H45" s="26">
        <v>16667</v>
      </c>
      <c r="I45" s="26">
        <v>16667</v>
      </c>
      <c r="J45" s="26">
        <v>16667</v>
      </c>
      <c r="K45" s="26">
        <v>16667</v>
      </c>
      <c r="L45" s="26">
        <v>16667</v>
      </c>
      <c r="M45" s="26">
        <v>16667</v>
      </c>
      <c r="N45" s="26">
        <v>16667</v>
      </c>
      <c r="O45" s="26">
        <v>16667</v>
      </c>
      <c r="P45" s="26">
        <v>16667</v>
      </c>
      <c r="Q45" s="26">
        <v>16667</v>
      </c>
      <c r="R45" s="26">
        <v>16667</v>
      </c>
      <c r="S45" s="27">
        <f t="shared" si="0"/>
        <v>200004</v>
      </c>
    </row>
    <row r="46" spans="1:20" hidden="1" x14ac:dyDescent="0.3">
      <c r="A46" s="16" t="s">
        <v>705</v>
      </c>
      <c r="B46" s="16" t="s">
        <v>578</v>
      </c>
      <c r="C46" s="16">
        <v>612520</v>
      </c>
      <c r="D46" s="16" t="s">
        <v>572</v>
      </c>
      <c r="E46" s="16" t="s">
        <v>609</v>
      </c>
      <c r="F46" s="16" t="s">
        <v>572</v>
      </c>
      <c r="G46" s="26">
        <v>833.33333333333337</v>
      </c>
      <c r="H46" s="26">
        <v>833.33333333333337</v>
      </c>
      <c r="I46" s="26">
        <v>833.33333333333337</v>
      </c>
      <c r="J46" s="26">
        <v>833.33333333333337</v>
      </c>
      <c r="K46" s="26">
        <v>833.33333333333337</v>
      </c>
      <c r="L46" s="26">
        <v>833.33333333333337</v>
      </c>
      <c r="M46" s="26">
        <v>833.33333333333337</v>
      </c>
      <c r="N46" s="26">
        <v>833.33333333333337</v>
      </c>
      <c r="O46" s="26">
        <v>833.33333333333337</v>
      </c>
      <c r="P46" s="26">
        <v>833.33333333333337</v>
      </c>
      <c r="Q46" s="26">
        <v>833.33333333333337</v>
      </c>
      <c r="R46" s="26">
        <v>833.33333333333337</v>
      </c>
      <c r="S46" s="27">
        <f t="shared" si="0"/>
        <v>10000</v>
      </c>
    </row>
    <row r="47" spans="1:20" hidden="1" x14ac:dyDescent="0.3">
      <c r="A47" s="16" t="s">
        <v>705</v>
      </c>
      <c r="B47" s="16" t="s">
        <v>578</v>
      </c>
      <c r="C47" s="16">
        <v>612520</v>
      </c>
      <c r="D47" s="16" t="s">
        <v>572</v>
      </c>
      <c r="E47" s="16" t="s">
        <v>610</v>
      </c>
      <c r="F47" s="16" t="s">
        <v>572</v>
      </c>
      <c r="G47" s="26">
        <v>833.33333333333337</v>
      </c>
      <c r="H47" s="26">
        <v>833.33333333333337</v>
      </c>
      <c r="I47" s="26">
        <v>833.33333333333337</v>
      </c>
      <c r="J47" s="26">
        <v>833.33333333333337</v>
      </c>
      <c r="K47" s="26">
        <v>833.33333333333337</v>
      </c>
      <c r="L47" s="26">
        <v>833.33333333333337</v>
      </c>
      <c r="M47" s="26">
        <v>833.33333333333337</v>
      </c>
      <c r="N47" s="26">
        <v>833.33333333333337</v>
      </c>
      <c r="O47" s="26">
        <v>833.33333333333337</v>
      </c>
      <c r="P47" s="26">
        <v>833.33333333333337</v>
      </c>
      <c r="Q47" s="26">
        <v>833.33333333333337</v>
      </c>
      <c r="R47" s="26">
        <v>833.33333333333337</v>
      </c>
      <c r="S47" s="27">
        <f t="shared" si="0"/>
        <v>10000</v>
      </c>
    </row>
    <row r="48" spans="1:20" hidden="1" x14ac:dyDescent="0.3">
      <c r="A48" s="16" t="s">
        <v>705</v>
      </c>
      <c r="B48" s="16" t="s">
        <v>578</v>
      </c>
      <c r="C48" s="16">
        <v>612520</v>
      </c>
      <c r="D48" s="16" t="s">
        <v>572</v>
      </c>
      <c r="E48" s="16" t="s">
        <v>611</v>
      </c>
      <c r="F48" s="16" t="s">
        <v>572</v>
      </c>
      <c r="G48" s="26">
        <v>833.33333333333337</v>
      </c>
      <c r="H48" s="26">
        <v>833.33333333333337</v>
      </c>
      <c r="I48" s="26">
        <v>833.33333333333337</v>
      </c>
      <c r="J48" s="26">
        <v>833.33333333333337</v>
      </c>
      <c r="K48" s="26">
        <v>833.33333333333337</v>
      </c>
      <c r="L48" s="26">
        <v>833.33333333333337</v>
      </c>
      <c r="M48" s="26">
        <v>833.33333333333337</v>
      </c>
      <c r="N48" s="26">
        <v>833.33333333333337</v>
      </c>
      <c r="O48" s="26">
        <v>833.33333333333337</v>
      </c>
      <c r="P48" s="26">
        <v>833.33333333333337</v>
      </c>
      <c r="Q48" s="26">
        <v>833.33333333333337</v>
      </c>
      <c r="R48" s="26">
        <v>833.33333333333337</v>
      </c>
      <c r="S48" s="27">
        <f t="shared" si="0"/>
        <v>10000</v>
      </c>
    </row>
    <row r="49" spans="1:20" hidden="1" x14ac:dyDescent="0.3">
      <c r="A49" s="16" t="s">
        <v>705</v>
      </c>
      <c r="B49" s="16" t="s">
        <v>578</v>
      </c>
      <c r="C49" s="16">
        <v>612520</v>
      </c>
      <c r="D49" s="16" t="s">
        <v>572</v>
      </c>
      <c r="E49" s="16" t="s">
        <v>612</v>
      </c>
      <c r="F49" s="16" t="s">
        <v>572</v>
      </c>
      <c r="G49" s="26">
        <v>1666.6666666666667</v>
      </c>
      <c r="H49" s="26">
        <v>1666.6666666666667</v>
      </c>
      <c r="I49" s="26">
        <v>1666.6666666666667</v>
      </c>
      <c r="J49" s="26">
        <v>1666.6666666666667</v>
      </c>
      <c r="K49" s="26">
        <v>1666.6666666666667</v>
      </c>
      <c r="L49" s="26">
        <v>1666.6666666666667</v>
      </c>
      <c r="M49" s="26">
        <v>1666.6666666666667</v>
      </c>
      <c r="N49" s="26">
        <v>1666.6666666666667</v>
      </c>
      <c r="O49" s="26">
        <v>1666.6666666666667</v>
      </c>
      <c r="P49" s="26">
        <v>1666.6666666666667</v>
      </c>
      <c r="Q49" s="26">
        <v>1666.6666666666667</v>
      </c>
      <c r="R49" s="26">
        <v>1666.6666666666667</v>
      </c>
      <c r="S49" s="27">
        <f t="shared" si="0"/>
        <v>20000</v>
      </c>
    </row>
    <row r="50" spans="1:20" hidden="1" x14ac:dyDescent="0.3">
      <c r="A50" s="16" t="s">
        <v>705</v>
      </c>
      <c r="B50" s="16" t="s">
        <v>578</v>
      </c>
      <c r="C50" s="16">
        <v>612620</v>
      </c>
      <c r="D50" s="16" t="s">
        <v>572</v>
      </c>
      <c r="E50" s="16" t="s">
        <v>613</v>
      </c>
      <c r="F50" s="16" t="s">
        <v>572</v>
      </c>
      <c r="G50" s="26">
        <v>1916.6666666666667</v>
      </c>
      <c r="H50" s="26">
        <v>1916.6666666666667</v>
      </c>
      <c r="I50" s="26">
        <v>1916.6666666666667</v>
      </c>
      <c r="J50" s="26">
        <v>1916.6666666666667</v>
      </c>
      <c r="K50" s="26">
        <v>1916.6666666666667</v>
      </c>
      <c r="L50" s="26">
        <v>1916.6666666666667</v>
      </c>
      <c r="M50" s="26">
        <v>1916.6666666666667</v>
      </c>
      <c r="N50" s="26">
        <v>1916.6666666666667</v>
      </c>
      <c r="O50" s="26">
        <v>1916.6666666666667</v>
      </c>
      <c r="P50" s="26">
        <v>1916.6666666666667</v>
      </c>
      <c r="Q50" s="26">
        <v>1916.6666666666667</v>
      </c>
      <c r="R50" s="26">
        <v>1916.6666666666667</v>
      </c>
      <c r="S50" s="27">
        <f t="shared" si="0"/>
        <v>23000.000000000004</v>
      </c>
    </row>
    <row r="51" spans="1:20" hidden="1" x14ac:dyDescent="0.3">
      <c r="A51" s="16" t="s">
        <v>705</v>
      </c>
      <c r="B51" s="16" t="s">
        <v>578</v>
      </c>
      <c r="C51" s="16">
        <v>612620</v>
      </c>
      <c r="D51" s="16" t="s">
        <v>572</v>
      </c>
      <c r="E51" s="16" t="s">
        <v>172</v>
      </c>
      <c r="F51" s="16" t="s">
        <v>572</v>
      </c>
      <c r="G51" s="26">
        <v>98333</v>
      </c>
      <c r="H51" s="26">
        <v>98333</v>
      </c>
      <c r="I51" s="26">
        <v>98333</v>
      </c>
      <c r="J51" s="26">
        <v>98333</v>
      </c>
      <c r="K51" s="26">
        <v>98333</v>
      </c>
      <c r="L51" s="26">
        <v>98333</v>
      </c>
      <c r="M51" s="26">
        <v>98333</v>
      </c>
      <c r="N51" s="26">
        <v>98333</v>
      </c>
      <c r="O51" s="26">
        <v>98333</v>
      </c>
      <c r="P51" s="26">
        <v>98333</v>
      </c>
      <c r="Q51" s="26">
        <v>98333</v>
      </c>
      <c r="R51" s="26">
        <v>98333</v>
      </c>
      <c r="S51" s="27">
        <f t="shared" si="0"/>
        <v>1179996</v>
      </c>
    </row>
    <row r="52" spans="1:20" hidden="1" x14ac:dyDescent="0.3">
      <c r="A52" s="16" t="s">
        <v>705</v>
      </c>
      <c r="B52" s="16" t="s">
        <v>578</v>
      </c>
      <c r="C52" s="16">
        <v>612620</v>
      </c>
      <c r="D52" s="16" t="s">
        <v>572</v>
      </c>
      <c r="E52" s="16" t="s">
        <v>756</v>
      </c>
      <c r="F52" s="16" t="s">
        <v>754</v>
      </c>
      <c r="G52" s="26">
        <v>-6134</v>
      </c>
      <c r="H52" s="26">
        <v>-6134</v>
      </c>
      <c r="I52" s="26">
        <v>-6134</v>
      </c>
      <c r="J52" s="26">
        <v>-6134</v>
      </c>
      <c r="K52" s="26">
        <v>-6134</v>
      </c>
      <c r="L52" s="26">
        <v>-6134</v>
      </c>
      <c r="M52" s="26">
        <v>-19120</v>
      </c>
      <c r="N52" s="26">
        <v>-19120</v>
      </c>
      <c r="O52" s="26">
        <v>-19120</v>
      </c>
      <c r="P52" s="26">
        <v>-19120</v>
      </c>
      <c r="Q52" s="26">
        <v>-19120</v>
      </c>
      <c r="R52" s="26">
        <v>-19120</v>
      </c>
      <c r="S52" s="27">
        <f t="shared" si="0"/>
        <v>-151524</v>
      </c>
      <c r="T52" s="46">
        <f>'4.2 Simplify Savings'!AB55</f>
        <v>-151524</v>
      </c>
    </row>
    <row r="53" spans="1:20" hidden="1" x14ac:dyDescent="0.3">
      <c r="A53" s="16" t="s">
        <v>705</v>
      </c>
      <c r="B53" s="16" t="s">
        <v>578</v>
      </c>
      <c r="C53" s="16">
        <v>612520</v>
      </c>
      <c r="D53" s="16" t="s">
        <v>572</v>
      </c>
      <c r="E53" s="16" t="s">
        <v>614</v>
      </c>
      <c r="F53" s="16" t="s">
        <v>572</v>
      </c>
      <c r="G53" s="26">
        <v>2084</v>
      </c>
      <c r="H53" s="26">
        <v>2084</v>
      </c>
      <c r="I53" s="26">
        <v>2084</v>
      </c>
      <c r="J53" s="26">
        <v>2084</v>
      </c>
      <c r="K53" s="26">
        <v>2084</v>
      </c>
      <c r="L53" s="26">
        <v>2084</v>
      </c>
      <c r="M53" s="26">
        <v>2084</v>
      </c>
      <c r="N53" s="26">
        <v>2084</v>
      </c>
      <c r="O53" s="26">
        <v>2084</v>
      </c>
      <c r="P53" s="26">
        <v>2084</v>
      </c>
      <c r="Q53" s="26">
        <v>2084</v>
      </c>
      <c r="R53" s="26">
        <v>2084</v>
      </c>
      <c r="S53" s="27">
        <f t="shared" si="0"/>
        <v>25008</v>
      </c>
    </row>
    <row r="54" spans="1:20" hidden="1" x14ac:dyDescent="0.3">
      <c r="A54" s="16" t="s">
        <v>705</v>
      </c>
      <c r="B54" s="16" t="s">
        <v>578</v>
      </c>
      <c r="C54" s="16">
        <v>612620</v>
      </c>
      <c r="D54" s="16" t="s">
        <v>572</v>
      </c>
      <c r="E54" s="16" t="s">
        <v>173</v>
      </c>
      <c r="F54" s="16" t="s">
        <v>572</v>
      </c>
      <c r="G54" s="26">
        <v>5333</v>
      </c>
      <c r="H54" s="26">
        <v>5333</v>
      </c>
      <c r="I54" s="26">
        <v>5333</v>
      </c>
      <c r="J54" s="26">
        <v>5333</v>
      </c>
      <c r="K54" s="26">
        <v>5333</v>
      </c>
      <c r="L54" s="26">
        <v>5333</v>
      </c>
      <c r="M54" s="26">
        <v>5333</v>
      </c>
      <c r="N54" s="26">
        <v>5333</v>
      </c>
      <c r="O54" s="26">
        <v>5333</v>
      </c>
      <c r="P54" s="26">
        <v>5333</v>
      </c>
      <c r="Q54" s="26">
        <v>5333</v>
      </c>
      <c r="R54" s="26">
        <v>5333</v>
      </c>
      <c r="S54" s="27">
        <f t="shared" si="0"/>
        <v>63996</v>
      </c>
    </row>
    <row r="55" spans="1:20" hidden="1" x14ac:dyDescent="0.3">
      <c r="A55" s="16" t="s">
        <v>705</v>
      </c>
      <c r="B55" s="16" t="s">
        <v>578</v>
      </c>
      <c r="C55" s="16">
        <v>612620</v>
      </c>
      <c r="D55" s="16" t="s">
        <v>572</v>
      </c>
      <c r="E55" s="16" t="s">
        <v>174</v>
      </c>
      <c r="F55" s="16" t="s">
        <v>572</v>
      </c>
      <c r="G55" s="26">
        <v>1083.3</v>
      </c>
      <c r="H55" s="26">
        <v>1083.3</v>
      </c>
      <c r="I55" s="26">
        <v>1083.3</v>
      </c>
      <c r="J55" s="26">
        <v>1083.3</v>
      </c>
      <c r="K55" s="26">
        <v>1083.3</v>
      </c>
      <c r="L55" s="26">
        <v>1083.3</v>
      </c>
      <c r="M55" s="26">
        <v>1083.3</v>
      </c>
      <c r="N55" s="26">
        <v>1083.3</v>
      </c>
      <c r="O55" s="26">
        <v>1083.3</v>
      </c>
      <c r="P55" s="26">
        <v>1083.3</v>
      </c>
      <c r="Q55" s="26">
        <v>1083.3</v>
      </c>
      <c r="R55" s="26">
        <v>1083.3</v>
      </c>
      <c r="S55" s="27">
        <f t="shared" si="0"/>
        <v>12999.599999999997</v>
      </c>
    </row>
    <row r="56" spans="1:20" x14ac:dyDescent="0.3">
      <c r="A56" s="16" t="s">
        <v>705</v>
      </c>
      <c r="B56" s="16" t="s">
        <v>578</v>
      </c>
      <c r="C56" s="16">
        <v>613025</v>
      </c>
      <c r="D56" s="16" t="s">
        <v>572</v>
      </c>
      <c r="E56" s="16" t="s">
        <v>615</v>
      </c>
      <c r="F56" s="16" t="s">
        <v>572</v>
      </c>
      <c r="G56" s="26">
        <v>11646</v>
      </c>
      <c r="H56" s="26">
        <v>11646</v>
      </c>
      <c r="I56" s="26">
        <v>11646</v>
      </c>
      <c r="J56" s="26">
        <v>11646</v>
      </c>
      <c r="K56" s="26">
        <v>11646</v>
      </c>
      <c r="L56" s="26">
        <v>11646</v>
      </c>
      <c r="M56" s="26">
        <v>11646</v>
      </c>
      <c r="N56" s="26">
        <v>11646</v>
      </c>
      <c r="O56" s="26">
        <v>11646</v>
      </c>
      <c r="P56" s="26">
        <v>11646</v>
      </c>
      <c r="Q56" s="26">
        <v>11646</v>
      </c>
      <c r="R56" s="26">
        <v>11646</v>
      </c>
      <c r="S56" s="27">
        <f t="shared" si="0"/>
        <v>139752</v>
      </c>
    </row>
    <row r="57" spans="1:20" x14ac:dyDescent="0.3">
      <c r="A57" s="16" t="s">
        <v>705</v>
      </c>
      <c r="B57" s="16" t="s">
        <v>578</v>
      </c>
      <c r="C57" s="16">
        <v>613025</v>
      </c>
      <c r="D57" s="16" t="s">
        <v>572</v>
      </c>
      <c r="E57" s="16" t="s">
        <v>616</v>
      </c>
      <c r="F57" s="16" t="s">
        <v>572</v>
      </c>
      <c r="G57" s="26">
        <v>8820</v>
      </c>
      <c r="H57" s="26">
        <v>8820</v>
      </c>
      <c r="I57" s="26">
        <v>8820</v>
      </c>
      <c r="J57" s="26">
        <v>8820</v>
      </c>
      <c r="K57" s="26">
        <v>8820</v>
      </c>
      <c r="L57" s="26">
        <v>8820</v>
      </c>
      <c r="M57" s="26">
        <v>8820</v>
      </c>
      <c r="N57" s="26">
        <v>8820</v>
      </c>
      <c r="O57" s="26">
        <v>8820</v>
      </c>
      <c r="P57" s="26">
        <v>8820</v>
      </c>
      <c r="Q57" s="26">
        <v>8820</v>
      </c>
      <c r="R57" s="26">
        <v>8820</v>
      </c>
      <c r="S57" s="27">
        <f t="shared" si="0"/>
        <v>105840</v>
      </c>
      <c r="T57" s="46">
        <f>'4.2 Simplify Savings'!AB56</f>
        <v>-105840</v>
      </c>
    </row>
    <row r="58" spans="1:20" x14ac:dyDescent="0.3">
      <c r="A58" s="16" t="s">
        <v>705</v>
      </c>
      <c r="B58" s="16" t="s">
        <v>578</v>
      </c>
      <c r="C58" s="16">
        <v>613025</v>
      </c>
      <c r="D58" s="16" t="s">
        <v>572</v>
      </c>
      <c r="E58" s="16" t="s">
        <v>616</v>
      </c>
      <c r="F58" s="16" t="s">
        <v>754</v>
      </c>
      <c r="G58" s="26">
        <v>-8820</v>
      </c>
      <c r="H58" s="26">
        <v>-8820</v>
      </c>
      <c r="I58" s="26">
        <v>-8820</v>
      </c>
      <c r="J58" s="26">
        <v>-8820</v>
      </c>
      <c r="K58" s="26">
        <v>-8820</v>
      </c>
      <c r="L58" s="26">
        <v>-8820</v>
      </c>
      <c r="M58" s="26">
        <v>-8820</v>
      </c>
      <c r="N58" s="26">
        <v>-8820</v>
      </c>
      <c r="O58" s="26">
        <v>-8820</v>
      </c>
      <c r="P58" s="26">
        <v>-8820</v>
      </c>
      <c r="Q58" s="26">
        <v>-8820</v>
      </c>
      <c r="R58" s="26">
        <v>-8820</v>
      </c>
      <c r="S58" s="52">
        <f t="shared" si="0"/>
        <v>-105840</v>
      </c>
    </row>
    <row r="59" spans="1:20" hidden="1" x14ac:dyDescent="0.3">
      <c r="A59" s="16" t="s">
        <v>705</v>
      </c>
      <c r="B59" s="16" t="s">
        <v>617</v>
      </c>
      <c r="C59" s="16">
        <v>603300</v>
      </c>
      <c r="D59" s="16" t="s">
        <v>572</v>
      </c>
      <c r="E59" s="16" t="s">
        <v>618</v>
      </c>
      <c r="F59" s="16" t="s">
        <v>572</v>
      </c>
      <c r="G59" s="26">
        <v>79166.666666666672</v>
      </c>
      <c r="H59" s="26">
        <v>79166.666666666672</v>
      </c>
      <c r="I59" s="26">
        <v>79166.666666666672</v>
      </c>
      <c r="J59" s="26">
        <v>79166.666666666672</v>
      </c>
      <c r="K59" s="26">
        <v>79166.666666666672</v>
      </c>
      <c r="L59" s="26">
        <v>79166.666666666672</v>
      </c>
      <c r="M59" s="26">
        <v>79166.666666666672</v>
      </c>
      <c r="N59" s="26">
        <v>79166.666666666672</v>
      </c>
      <c r="O59" s="26">
        <v>79166.666666666672</v>
      </c>
      <c r="P59" s="26">
        <v>79166.666666666672</v>
      </c>
      <c r="Q59" s="26">
        <v>79166.666666666672</v>
      </c>
      <c r="R59" s="26">
        <v>79166.666666666672</v>
      </c>
      <c r="S59" s="27">
        <f t="shared" si="0"/>
        <v>949999.99999999988</v>
      </c>
    </row>
    <row r="60" spans="1:20" hidden="1" x14ac:dyDescent="0.3">
      <c r="A60" s="16" t="s">
        <v>705</v>
      </c>
      <c r="B60" s="16" t="s">
        <v>617</v>
      </c>
      <c r="C60" s="16">
        <v>603300</v>
      </c>
      <c r="D60" s="16" t="s">
        <v>572</v>
      </c>
      <c r="E60" s="16" t="s">
        <v>619</v>
      </c>
      <c r="F60" s="16" t="s">
        <v>572</v>
      </c>
      <c r="G60" s="26">
        <v>100000</v>
      </c>
      <c r="H60" s="26">
        <v>100000</v>
      </c>
      <c r="I60" s="26">
        <v>100000</v>
      </c>
      <c r="J60" s="26">
        <v>100000</v>
      </c>
      <c r="K60" s="26">
        <v>100000</v>
      </c>
      <c r="L60" s="26">
        <v>100000</v>
      </c>
      <c r="M60" s="26">
        <v>100000</v>
      </c>
      <c r="N60" s="26">
        <v>100000</v>
      </c>
      <c r="O60" s="26">
        <v>100000</v>
      </c>
      <c r="P60" s="26">
        <v>100000</v>
      </c>
      <c r="Q60" s="26">
        <v>100000</v>
      </c>
      <c r="R60" s="26">
        <v>100000</v>
      </c>
      <c r="S60" s="27">
        <f t="shared" si="0"/>
        <v>1200000</v>
      </c>
    </row>
    <row r="61" spans="1:20" hidden="1" x14ac:dyDescent="0.3">
      <c r="A61" s="16" t="s">
        <v>705</v>
      </c>
      <c r="B61" s="16" t="s">
        <v>617</v>
      </c>
      <c r="C61" s="16">
        <v>603300</v>
      </c>
      <c r="D61" s="16" t="s">
        <v>572</v>
      </c>
      <c r="E61" s="16" t="s">
        <v>620</v>
      </c>
      <c r="F61" s="16" t="s">
        <v>572</v>
      </c>
      <c r="G61" s="26">
        <v>4166.666666666667</v>
      </c>
      <c r="H61" s="26">
        <v>4166.666666666667</v>
      </c>
      <c r="I61" s="26">
        <v>4166.666666666667</v>
      </c>
      <c r="J61" s="26">
        <v>4166.666666666667</v>
      </c>
      <c r="K61" s="26">
        <v>4166.666666666667</v>
      </c>
      <c r="L61" s="26">
        <v>4166.666666666667</v>
      </c>
      <c r="M61" s="26">
        <v>4166.666666666667</v>
      </c>
      <c r="N61" s="26">
        <v>4166.666666666667</v>
      </c>
      <c r="O61" s="26">
        <v>4166.666666666667</v>
      </c>
      <c r="P61" s="26">
        <v>4166.666666666667</v>
      </c>
      <c r="Q61" s="26">
        <v>4166.666666666667</v>
      </c>
      <c r="R61" s="26">
        <v>4166.666666666667</v>
      </c>
      <c r="S61" s="27">
        <f t="shared" si="0"/>
        <v>49999.999999999993</v>
      </c>
    </row>
    <row r="62" spans="1:20" hidden="1" x14ac:dyDescent="0.3">
      <c r="A62" s="16" t="s">
        <v>705</v>
      </c>
      <c r="B62" s="16" t="s">
        <v>617</v>
      </c>
      <c r="C62" s="16">
        <v>612502</v>
      </c>
      <c r="D62" s="16" t="s">
        <v>572</v>
      </c>
      <c r="E62" s="16" t="s">
        <v>621</v>
      </c>
      <c r="F62" s="16" t="s">
        <v>572</v>
      </c>
      <c r="G62" s="26">
        <v>3333.3333333333335</v>
      </c>
      <c r="H62" s="26">
        <v>3333.3333333333335</v>
      </c>
      <c r="I62" s="26">
        <v>3333.3333333333335</v>
      </c>
      <c r="J62" s="26">
        <v>3333.3333333333335</v>
      </c>
      <c r="K62" s="26">
        <v>3333.3333333333335</v>
      </c>
      <c r="L62" s="26">
        <v>3333.3333333333335</v>
      </c>
      <c r="M62" s="26">
        <v>3333.3333333333335</v>
      </c>
      <c r="N62" s="26">
        <v>3333.3333333333335</v>
      </c>
      <c r="O62" s="26">
        <v>3333.3333333333335</v>
      </c>
      <c r="P62" s="26">
        <v>3333.3333333333335</v>
      </c>
      <c r="Q62" s="26">
        <v>3333.3333333333335</v>
      </c>
      <c r="R62" s="26">
        <v>3333.3333333333335</v>
      </c>
      <c r="S62" s="27">
        <f t="shared" si="0"/>
        <v>40000</v>
      </c>
    </row>
    <row r="63" spans="1:20" hidden="1" x14ac:dyDescent="0.3">
      <c r="A63" s="16" t="s">
        <v>705</v>
      </c>
      <c r="B63" s="16" t="s">
        <v>617</v>
      </c>
      <c r="C63" s="16">
        <v>612520</v>
      </c>
      <c r="D63" s="16" t="s">
        <v>572</v>
      </c>
      <c r="E63" s="16" t="s">
        <v>622</v>
      </c>
      <c r="F63" s="16" t="s">
        <v>572</v>
      </c>
      <c r="G63" s="26">
        <v>1666.6666666666667</v>
      </c>
      <c r="H63" s="26">
        <v>1666.6666666666667</v>
      </c>
      <c r="I63" s="26">
        <v>1666.6666666666667</v>
      </c>
      <c r="J63" s="26">
        <v>1666.6666666666667</v>
      </c>
      <c r="K63" s="26">
        <v>1666.6666666666667</v>
      </c>
      <c r="L63" s="26">
        <v>1666.6666666666667</v>
      </c>
      <c r="M63" s="26">
        <v>1666.6666666666667</v>
      </c>
      <c r="N63" s="26">
        <v>1666.6666666666667</v>
      </c>
      <c r="O63" s="26">
        <v>1666.6666666666667</v>
      </c>
      <c r="P63" s="26">
        <v>1666.6666666666667</v>
      </c>
      <c r="Q63" s="26">
        <v>1666.6666666666667</v>
      </c>
      <c r="R63" s="26">
        <v>1666.6666666666667</v>
      </c>
      <c r="S63" s="27">
        <f t="shared" si="0"/>
        <v>20000</v>
      </c>
    </row>
    <row r="64" spans="1:20" hidden="1" x14ac:dyDescent="0.3">
      <c r="A64" s="16" t="s">
        <v>705</v>
      </c>
      <c r="B64" s="16" t="s">
        <v>617</v>
      </c>
      <c r="C64" s="16">
        <v>612520</v>
      </c>
      <c r="D64" s="16" t="s">
        <v>572</v>
      </c>
      <c r="E64" s="16" t="s">
        <v>623</v>
      </c>
      <c r="F64" s="16" t="s">
        <v>572</v>
      </c>
      <c r="G64" s="26">
        <v>1333.3333333333333</v>
      </c>
      <c r="H64" s="26">
        <v>1333.3333333333333</v>
      </c>
      <c r="I64" s="26">
        <v>1333.3333333333333</v>
      </c>
      <c r="J64" s="26">
        <v>1333.3333333333333</v>
      </c>
      <c r="K64" s="26">
        <v>1333.3333333333333</v>
      </c>
      <c r="L64" s="26">
        <v>1333.3333333333333</v>
      </c>
      <c r="M64" s="26">
        <v>1333.3333333333333</v>
      </c>
      <c r="N64" s="26">
        <v>1333.3333333333333</v>
      </c>
      <c r="O64" s="26">
        <v>1333.3333333333333</v>
      </c>
      <c r="P64" s="26">
        <v>1333.3333333333333</v>
      </c>
      <c r="Q64" s="26">
        <v>1333.3333333333333</v>
      </c>
      <c r="R64" s="26">
        <v>1333.3333333333333</v>
      </c>
      <c r="S64" s="27">
        <f t="shared" si="0"/>
        <v>16000.000000000002</v>
      </c>
    </row>
    <row r="65" spans="1:19" hidden="1" x14ac:dyDescent="0.3">
      <c r="A65" s="16" t="s">
        <v>705</v>
      </c>
      <c r="B65" s="16" t="s">
        <v>617</v>
      </c>
      <c r="C65" s="16">
        <v>612520</v>
      </c>
      <c r="D65" s="16" t="s">
        <v>572</v>
      </c>
      <c r="E65" s="16" t="s">
        <v>624</v>
      </c>
      <c r="F65" s="16" t="s">
        <v>572</v>
      </c>
      <c r="G65" s="26">
        <v>416.66666666666669</v>
      </c>
      <c r="H65" s="26">
        <v>416.66666666666669</v>
      </c>
      <c r="I65" s="26">
        <v>416.66666666666669</v>
      </c>
      <c r="J65" s="26">
        <v>416.66666666666669</v>
      </c>
      <c r="K65" s="26">
        <v>416.66666666666669</v>
      </c>
      <c r="L65" s="26">
        <v>416.66666666666669</v>
      </c>
      <c r="M65" s="26">
        <v>416.66666666666669</v>
      </c>
      <c r="N65" s="26">
        <v>416.66666666666669</v>
      </c>
      <c r="O65" s="26">
        <v>416.66666666666669</v>
      </c>
      <c r="P65" s="26">
        <v>416.66666666666669</v>
      </c>
      <c r="Q65" s="26">
        <v>416.66666666666669</v>
      </c>
      <c r="R65" s="26">
        <v>416.66666666666669</v>
      </c>
      <c r="S65" s="27">
        <f t="shared" si="0"/>
        <v>5000</v>
      </c>
    </row>
    <row r="66" spans="1:19" hidden="1" x14ac:dyDescent="0.3">
      <c r="A66" s="16" t="s">
        <v>705</v>
      </c>
      <c r="B66" s="16" t="s">
        <v>617</v>
      </c>
      <c r="C66" s="16">
        <v>613003</v>
      </c>
      <c r="D66" s="28" t="s">
        <v>572</v>
      </c>
      <c r="E66" s="16" t="s">
        <v>625</v>
      </c>
      <c r="F66" s="16" t="s">
        <v>626</v>
      </c>
      <c r="G66" s="26">
        <v>193750</v>
      </c>
      <c r="H66" s="26">
        <v>193750</v>
      </c>
      <c r="I66" s="26">
        <v>193750</v>
      </c>
      <c r="J66" s="26">
        <v>193750</v>
      </c>
      <c r="K66" s="26">
        <v>193750</v>
      </c>
      <c r="L66" s="26">
        <v>193750</v>
      </c>
      <c r="M66" s="26">
        <v>193750</v>
      </c>
      <c r="N66" s="26">
        <v>193750</v>
      </c>
      <c r="O66" s="26">
        <v>193750</v>
      </c>
      <c r="P66" s="26">
        <v>193750</v>
      </c>
      <c r="Q66" s="26">
        <v>193750</v>
      </c>
      <c r="R66" s="26">
        <v>193750</v>
      </c>
      <c r="S66" s="27">
        <f t="shared" si="0"/>
        <v>2325000</v>
      </c>
    </row>
    <row r="67" spans="1:19" hidden="1" x14ac:dyDescent="0.3">
      <c r="A67" s="16" t="s">
        <v>705</v>
      </c>
      <c r="B67" s="16" t="s">
        <v>617</v>
      </c>
      <c r="C67" s="16">
        <v>613003</v>
      </c>
      <c r="D67" s="16" t="s">
        <v>572</v>
      </c>
      <c r="E67" s="16" t="s">
        <v>627</v>
      </c>
      <c r="F67" s="16" t="s">
        <v>572</v>
      </c>
      <c r="G67" s="26">
        <v>4166.666666666667</v>
      </c>
      <c r="H67" s="26">
        <v>4166.666666666667</v>
      </c>
      <c r="I67" s="26">
        <v>4166.666666666667</v>
      </c>
      <c r="J67" s="26">
        <v>4166.666666666667</v>
      </c>
      <c r="K67" s="26">
        <v>4166.666666666667</v>
      </c>
      <c r="L67" s="26">
        <v>4166.666666666667</v>
      </c>
      <c r="M67" s="26">
        <v>4166.666666666667</v>
      </c>
      <c r="N67" s="26">
        <v>4166.666666666667</v>
      </c>
      <c r="O67" s="26">
        <v>4166.666666666667</v>
      </c>
      <c r="P67" s="26">
        <v>4166.666666666667</v>
      </c>
      <c r="Q67" s="26">
        <v>4166.666666666667</v>
      </c>
      <c r="R67" s="26">
        <v>4166.666666666667</v>
      </c>
      <c r="S67" s="27">
        <f t="shared" ref="S67:S130" si="1">SUM(G67:R67)</f>
        <v>49999.999999999993</v>
      </c>
    </row>
    <row r="68" spans="1:19" hidden="1" x14ac:dyDescent="0.3">
      <c r="A68" s="16" t="s">
        <v>705</v>
      </c>
      <c r="B68" s="16" t="s">
        <v>617</v>
      </c>
      <c r="C68" s="16">
        <v>613003</v>
      </c>
      <c r="D68" s="16" t="s">
        <v>572</v>
      </c>
      <c r="E68" s="16" t="s">
        <v>628</v>
      </c>
      <c r="F68" s="16" t="s">
        <v>572</v>
      </c>
      <c r="G68" s="26">
        <v>16666.666666666668</v>
      </c>
      <c r="H68" s="26">
        <v>16666.666666666668</v>
      </c>
      <c r="I68" s="26">
        <v>16666.666666666668</v>
      </c>
      <c r="J68" s="26">
        <v>16666.666666666668</v>
      </c>
      <c r="K68" s="26">
        <v>16666.666666666668</v>
      </c>
      <c r="L68" s="26">
        <v>16666.666666666668</v>
      </c>
      <c r="M68" s="26">
        <v>16666.666666666668</v>
      </c>
      <c r="N68" s="26">
        <v>16666.666666666668</v>
      </c>
      <c r="O68" s="26">
        <v>16666.666666666668</v>
      </c>
      <c r="P68" s="26">
        <v>16666.666666666668</v>
      </c>
      <c r="Q68" s="26">
        <v>16666.666666666668</v>
      </c>
      <c r="R68" s="26">
        <v>16666.666666666668</v>
      </c>
      <c r="S68" s="27">
        <f t="shared" si="1"/>
        <v>199999.99999999997</v>
      </c>
    </row>
    <row r="69" spans="1:19" hidden="1" x14ac:dyDescent="0.3">
      <c r="A69" s="16" t="s">
        <v>705</v>
      </c>
      <c r="B69" s="16" t="s">
        <v>617</v>
      </c>
      <c r="C69" s="16">
        <v>613003</v>
      </c>
      <c r="D69" s="16" t="s">
        <v>572</v>
      </c>
      <c r="E69" s="16" t="s">
        <v>629</v>
      </c>
      <c r="F69" s="16" t="s">
        <v>572</v>
      </c>
      <c r="G69" s="26">
        <v>4166.666666666667</v>
      </c>
      <c r="H69" s="26">
        <v>4166.666666666667</v>
      </c>
      <c r="I69" s="26">
        <v>4166.666666666667</v>
      </c>
      <c r="J69" s="26">
        <v>4166.666666666667</v>
      </c>
      <c r="K69" s="26">
        <v>4166.666666666667</v>
      </c>
      <c r="L69" s="26">
        <v>4166.666666666667</v>
      </c>
      <c r="M69" s="26">
        <v>4166.666666666667</v>
      </c>
      <c r="N69" s="26">
        <v>4166.666666666667</v>
      </c>
      <c r="O69" s="26">
        <v>4166.666666666667</v>
      </c>
      <c r="P69" s="26">
        <v>4166.666666666667</v>
      </c>
      <c r="Q69" s="26">
        <v>4166.666666666667</v>
      </c>
      <c r="R69" s="26">
        <v>4166.666666666667</v>
      </c>
      <c r="S69" s="27">
        <f t="shared" si="1"/>
        <v>49999.999999999993</v>
      </c>
    </row>
    <row r="70" spans="1:19" hidden="1" x14ac:dyDescent="0.3">
      <c r="A70" s="16" t="s">
        <v>705</v>
      </c>
      <c r="B70" s="16" t="s">
        <v>617</v>
      </c>
      <c r="C70" s="16">
        <v>613003</v>
      </c>
      <c r="D70" s="16" t="s">
        <v>572</v>
      </c>
      <c r="E70" s="16" t="s">
        <v>630</v>
      </c>
      <c r="F70" s="16" t="s">
        <v>572</v>
      </c>
      <c r="G70" s="26">
        <v>2500</v>
      </c>
      <c r="H70" s="26">
        <v>2500</v>
      </c>
      <c r="I70" s="26">
        <v>2500</v>
      </c>
      <c r="J70" s="26">
        <v>2500</v>
      </c>
      <c r="K70" s="26">
        <v>2500</v>
      </c>
      <c r="L70" s="26">
        <v>2500</v>
      </c>
      <c r="M70" s="26">
        <v>2500</v>
      </c>
      <c r="N70" s="26">
        <v>2500</v>
      </c>
      <c r="O70" s="26">
        <v>2500</v>
      </c>
      <c r="P70" s="26">
        <v>2500</v>
      </c>
      <c r="Q70" s="26">
        <v>2500</v>
      </c>
      <c r="R70" s="26">
        <v>2500</v>
      </c>
      <c r="S70" s="27">
        <f t="shared" si="1"/>
        <v>30000</v>
      </c>
    </row>
    <row r="71" spans="1:19" hidden="1" x14ac:dyDescent="0.3">
      <c r="A71" s="16" t="s">
        <v>705</v>
      </c>
      <c r="B71" s="16" t="s">
        <v>617</v>
      </c>
      <c r="C71" s="16">
        <v>613003</v>
      </c>
      <c r="D71" s="16" t="s">
        <v>572</v>
      </c>
      <c r="E71" s="16" t="s">
        <v>631</v>
      </c>
      <c r="F71" s="16" t="s">
        <v>572</v>
      </c>
      <c r="G71" s="26">
        <v>10000</v>
      </c>
      <c r="H71" s="26">
        <v>10000</v>
      </c>
      <c r="I71" s="26">
        <v>10000</v>
      </c>
      <c r="J71" s="26">
        <v>10000</v>
      </c>
      <c r="K71" s="26">
        <v>10000</v>
      </c>
      <c r="L71" s="26">
        <v>10000</v>
      </c>
      <c r="M71" s="26">
        <v>10000</v>
      </c>
      <c r="N71" s="26">
        <v>10000</v>
      </c>
      <c r="O71" s="26">
        <v>10000</v>
      </c>
      <c r="P71" s="26">
        <v>10000</v>
      </c>
      <c r="Q71" s="26">
        <v>10000</v>
      </c>
      <c r="R71" s="26">
        <v>10000</v>
      </c>
      <c r="S71" s="27">
        <f t="shared" si="1"/>
        <v>120000</v>
      </c>
    </row>
    <row r="72" spans="1:19" hidden="1" x14ac:dyDescent="0.3">
      <c r="A72" s="16" t="s">
        <v>705</v>
      </c>
      <c r="B72" s="16" t="s">
        <v>617</v>
      </c>
      <c r="C72" s="16">
        <v>613003</v>
      </c>
      <c r="D72" s="16" t="s">
        <v>572</v>
      </c>
      <c r="E72" s="16" t="s">
        <v>632</v>
      </c>
      <c r="F72" s="16" t="s">
        <v>572</v>
      </c>
      <c r="G72" s="26">
        <v>4583.333333333333</v>
      </c>
      <c r="H72" s="26">
        <v>4583.333333333333</v>
      </c>
      <c r="I72" s="26">
        <v>4583.333333333333</v>
      </c>
      <c r="J72" s="26">
        <v>4583.333333333333</v>
      </c>
      <c r="K72" s="26">
        <v>4583.333333333333</v>
      </c>
      <c r="L72" s="26">
        <v>4583.333333333333</v>
      </c>
      <c r="M72" s="26">
        <v>4583.333333333333</v>
      </c>
      <c r="N72" s="26">
        <v>4583.333333333333</v>
      </c>
      <c r="O72" s="26">
        <v>4583.333333333333</v>
      </c>
      <c r="P72" s="26">
        <v>4583.333333333333</v>
      </c>
      <c r="Q72" s="26">
        <v>4583.333333333333</v>
      </c>
      <c r="R72" s="26">
        <v>4583.333333333333</v>
      </c>
      <c r="S72" s="27">
        <f t="shared" si="1"/>
        <v>55000.000000000007</v>
      </c>
    </row>
    <row r="73" spans="1:19" hidden="1" x14ac:dyDescent="0.3">
      <c r="A73" s="16" t="s">
        <v>705</v>
      </c>
      <c r="B73" s="16" t="s">
        <v>617</v>
      </c>
      <c r="C73" s="16">
        <v>613003</v>
      </c>
      <c r="D73" s="16" t="s">
        <v>572</v>
      </c>
      <c r="E73" s="16" t="s">
        <v>633</v>
      </c>
      <c r="F73" s="16" t="s">
        <v>572</v>
      </c>
      <c r="G73" s="26">
        <v>12500</v>
      </c>
      <c r="H73" s="26">
        <v>12500</v>
      </c>
      <c r="I73" s="26">
        <v>12500</v>
      </c>
      <c r="J73" s="26">
        <v>12500</v>
      </c>
      <c r="K73" s="26">
        <v>12500</v>
      </c>
      <c r="L73" s="26">
        <v>12500</v>
      </c>
      <c r="M73" s="26">
        <v>12500</v>
      </c>
      <c r="N73" s="26">
        <v>12500</v>
      </c>
      <c r="O73" s="26">
        <v>12500</v>
      </c>
      <c r="P73" s="26">
        <v>12500</v>
      </c>
      <c r="Q73" s="26">
        <v>12500</v>
      </c>
      <c r="R73" s="26">
        <v>12500</v>
      </c>
      <c r="S73" s="27">
        <f t="shared" si="1"/>
        <v>150000</v>
      </c>
    </row>
    <row r="74" spans="1:19" hidden="1" x14ac:dyDescent="0.3">
      <c r="A74" s="16" t="s">
        <v>705</v>
      </c>
      <c r="B74" s="16" t="s">
        <v>617</v>
      </c>
      <c r="C74" s="16">
        <v>613003</v>
      </c>
      <c r="D74" s="16" t="s">
        <v>572</v>
      </c>
      <c r="E74" s="16" t="s">
        <v>634</v>
      </c>
      <c r="F74" s="16" t="s">
        <v>572</v>
      </c>
      <c r="G74" s="26">
        <v>1666.6666666666667</v>
      </c>
      <c r="H74" s="26">
        <v>1666.6666666666667</v>
      </c>
      <c r="I74" s="26">
        <v>1666.6666666666667</v>
      </c>
      <c r="J74" s="26">
        <v>1666.6666666666667</v>
      </c>
      <c r="K74" s="26">
        <v>1666.6666666666667</v>
      </c>
      <c r="L74" s="26">
        <v>1666.6666666666667</v>
      </c>
      <c r="M74" s="26">
        <v>1666.6666666666667</v>
      </c>
      <c r="N74" s="26">
        <v>1666.6666666666667</v>
      </c>
      <c r="O74" s="26">
        <v>1666.6666666666667</v>
      </c>
      <c r="P74" s="26">
        <v>1666.6666666666667</v>
      </c>
      <c r="Q74" s="26">
        <v>1666.6666666666667</v>
      </c>
      <c r="R74" s="26">
        <v>1666.6666666666667</v>
      </c>
      <c r="S74" s="27">
        <f t="shared" si="1"/>
        <v>20000</v>
      </c>
    </row>
    <row r="75" spans="1:19" hidden="1" x14ac:dyDescent="0.3">
      <c r="A75" s="16" t="s">
        <v>705</v>
      </c>
      <c r="B75" s="16" t="s">
        <v>617</v>
      </c>
      <c r="C75" s="16">
        <v>613003</v>
      </c>
      <c r="D75" s="16" t="s">
        <v>572</v>
      </c>
      <c r="E75" s="16" t="s">
        <v>635</v>
      </c>
      <c r="F75" s="16" t="s">
        <v>572</v>
      </c>
      <c r="G75" s="26">
        <v>41666.666666666664</v>
      </c>
      <c r="H75" s="26">
        <v>41666.666666666664</v>
      </c>
      <c r="I75" s="26">
        <v>41666.666666666664</v>
      </c>
      <c r="J75" s="26">
        <v>41666.666666666664</v>
      </c>
      <c r="K75" s="26">
        <v>41666.666666666664</v>
      </c>
      <c r="L75" s="26">
        <v>41666.666666666664</v>
      </c>
      <c r="M75" s="26">
        <v>41666.666666666664</v>
      </c>
      <c r="N75" s="26">
        <v>41666.666666666664</v>
      </c>
      <c r="O75" s="26">
        <v>41666.666666666664</v>
      </c>
      <c r="P75" s="26">
        <v>41666.666666666664</v>
      </c>
      <c r="Q75" s="26">
        <v>41666.666666666664</v>
      </c>
      <c r="R75" s="26">
        <v>41666.666666666664</v>
      </c>
      <c r="S75" s="27">
        <f t="shared" si="1"/>
        <v>500000.00000000006</v>
      </c>
    </row>
    <row r="76" spans="1:19" hidden="1" x14ac:dyDescent="0.3">
      <c r="A76" s="16" t="s">
        <v>705</v>
      </c>
      <c r="B76" s="16" t="s">
        <v>617</v>
      </c>
      <c r="C76" s="16">
        <v>613003</v>
      </c>
      <c r="D76" s="16" t="s">
        <v>572</v>
      </c>
      <c r="E76" s="16" t="s">
        <v>636</v>
      </c>
      <c r="F76" s="16" t="s">
        <v>572</v>
      </c>
      <c r="G76" s="26">
        <v>25000</v>
      </c>
      <c r="H76" s="26">
        <v>25000</v>
      </c>
      <c r="I76" s="26">
        <v>25000</v>
      </c>
      <c r="J76" s="26">
        <v>25000</v>
      </c>
      <c r="K76" s="26">
        <v>25000</v>
      </c>
      <c r="L76" s="26">
        <v>25000</v>
      </c>
      <c r="M76" s="26">
        <v>25000</v>
      </c>
      <c r="N76" s="26">
        <v>25000</v>
      </c>
      <c r="O76" s="26">
        <v>25000</v>
      </c>
      <c r="P76" s="26">
        <v>25000</v>
      </c>
      <c r="Q76" s="26">
        <v>25000</v>
      </c>
      <c r="R76" s="26">
        <v>25000</v>
      </c>
      <c r="S76" s="27">
        <f t="shared" si="1"/>
        <v>300000</v>
      </c>
    </row>
    <row r="77" spans="1:19" hidden="1" x14ac:dyDescent="0.3">
      <c r="A77" s="16" t="s">
        <v>705</v>
      </c>
      <c r="B77" s="16" t="s">
        <v>617</v>
      </c>
      <c r="C77" s="16">
        <v>613003</v>
      </c>
      <c r="D77" s="16" t="s">
        <v>572</v>
      </c>
      <c r="E77" s="16" t="s">
        <v>637</v>
      </c>
      <c r="F77" s="16" t="s">
        <v>572</v>
      </c>
      <c r="G77" s="26">
        <v>5750</v>
      </c>
      <c r="H77" s="26">
        <v>5750</v>
      </c>
      <c r="I77" s="26">
        <v>5750</v>
      </c>
      <c r="J77" s="26">
        <v>5750</v>
      </c>
      <c r="K77" s="26">
        <v>5750</v>
      </c>
      <c r="L77" s="26">
        <v>5750</v>
      </c>
      <c r="M77" s="26">
        <v>5750</v>
      </c>
      <c r="N77" s="26">
        <v>5750</v>
      </c>
      <c r="O77" s="26">
        <v>5750</v>
      </c>
      <c r="P77" s="26">
        <v>5750</v>
      </c>
      <c r="Q77" s="26">
        <v>5750</v>
      </c>
      <c r="R77" s="26">
        <v>5750</v>
      </c>
      <c r="S77" s="27">
        <f t="shared" si="1"/>
        <v>69000</v>
      </c>
    </row>
    <row r="78" spans="1:19" x14ac:dyDescent="0.3">
      <c r="A78" s="16" t="s">
        <v>705</v>
      </c>
      <c r="B78" s="16" t="s">
        <v>617</v>
      </c>
      <c r="C78" s="16">
        <v>613025</v>
      </c>
      <c r="D78" s="16" t="s">
        <v>572</v>
      </c>
      <c r="E78" s="16" t="s">
        <v>638</v>
      </c>
      <c r="F78" s="16" t="s">
        <v>572</v>
      </c>
      <c r="G78" s="26">
        <v>13666.666666666666</v>
      </c>
      <c r="H78" s="26">
        <v>13666.666666666666</v>
      </c>
      <c r="I78" s="26">
        <v>13666.666666666666</v>
      </c>
      <c r="J78" s="26">
        <v>13666.666666666666</v>
      </c>
      <c r="K78" s="26">
        <v>13666.666666666666</v>
      </c>
      <c r="L78" s="26">
        <v>13666.666666666666</v>
      </c>
      <c r="M78" s="26">
        <v>13666.666666666666</v>
      </c>
      <c r="N78" s="26">
        <v>13666.666666666666</v>
      </c>
      <c r="O78" s="26">
        <v>13666.666666666666</v>
      </c>
      <c r="P78" s="26">
        <v>13666.666666666666</v>
      </c>
      <c r="Q78" s="26">
        <v>13666.666666666666</v>
      </c>
      <c r="R78" s="26">
        <v>13666.666666666666</v>
      </c>
      <c r="S78" s="27">
        <f t="shared" si="1"/>
        <v>164000</v>
      </c>
    </row>
    <row r="79" spans="1:19" x14ac:dyDescent="0.3">
      <c r="A79" s="16" t="s">
        <v>705</v>
      </c>
      <c r="B79" s="16" t="s">
        <v>617</v>
      </c>
      <c r="C79" s="16">
        <v>613025</v>
      </c>
      <c r="D79" s="16" t="s">
        <v>572</v>
      </c>
      <c r="E79" s="16" t="s">
        <v>639</v>
      </c>
      <c r="F79" s="16" t="s">
        <v>572</v>
      </c>
      <c r="G79" s="26">
        <v>15000</v>
      </c>
      <c r="H79" s="26">
        <v>15000</v>
      </c>
      <c r="I79" s="26">
        <v>15000</v>
      </c>
      <c r="J79" s="26">
        <v>15000</v>
      </c>
      <c r="K79" s="26">
        <v>15000</v>
      </c>
      <c r="L79" s="26">
        <v>15000</v>
      </c>
      <c r="M79" s="26">
        <v>15000</v>
      </c>
      <c r="N79" s="26">
        <v>15000</v>
      </c>
      <c r="O79" s="26">
        <v>15000</v>
      </c>
      <c r="P79" s="26">
        <v>15000</v>
      </c>
      <c r="Q79" s="26">
        <v>15000</v>
      </c>
      <c r="R79" s="26">
        <v>15000</v>
      </c>
      <c r="S79" s="27">
        <f t="shared" si="1"/>
        <v>180000</v>
      </c>
    </row>
    <row r="80" spans="1:19" hidden="1" x14ac:dyDescent="0.3">
      <c r="A80" s="16" t="s">
        <v>705</v>
      </c>
      <c r="B80" s="16" t="s">
        <v>617</v>
      </c>
      <c r="C80" s="16">
        <v>613003</v>
      </c>
      <c r="D80" s="16" t="s">
        <v>572</v>
      </c>
      <c r="E80" s="16" t="s">
        <v>640</v>
      </c>
      <c r="F80" s="16" t="s">
        <v>572</v>
      </c>
      <c r="G80" s="26">
        <v>15000</v>
      </c>
      <c r="H80" s="26">
        <v>15000</v>
      </c>
      <c r="I80" s="26">
        <v>15000</v>
      </c>
      <c r="J80" s="26">
        <v>15000</v>
      </c>
      <c r="K80" s="26">
        <v>15000</v>
      </c>
      <c r="L80" s="26">
        <v>15000</v>
      </c>
      <c r="M80" s="26">
        <v>15000</v>
      </c>
      <c r="N80" s="26">
        <v>15000</v>
      </c>
      <c r="O80" s="26">
        <v>15000</v>
      </c>
      <c r="P80" s="26">
        <v>15000</v>
      </c>
      <c r="Q80" s="26">
        <v>15000</v>
      </c>
      <c r="R80" s="26">
        <v>15000</v>
      </c>
      <c r="S80" s="27">
        <f t="shared" si="1"/>
        <v>180000</v>
      </c>
    </row>
    <row r="81" spans="1:27" hidden="1" x14ac:dyDescent="0.3">
      <c r="A81" s="16" t="s">
        <v>705</v>
      </c>
      <c r="B81" s="16" t="s">
        <v>617</v>
      </c>
      <c r="C81" s="16">
        <v>603300</v>
      </c>
      <c r="D81" s="16" t="s">
        <v>572</v>
      </c>
      <c r="E81" s="16" t="s">
        <v>618</v>
      </c>
      <c r="F81" s="16" t="s">
        <v>572</v>
      </c>
      <c r="G81" s="26">
        <v>25000</v>
      </c>
      <c r="H81" s="26">
        <v>25000</v>
      </c>
      <c r="I81" s="26">
        <v>25000</v>
      </c>
      <c r="J81" s="26">
        <v>25000</v>
      </c>
      <c r="K81" s="26">
        <v>25000</v>
      </c>
      <c r="L81" s="26">
        <v>25000</v>
      </c>
      <c r="M81" s="26">
        <v>25000</v>
      </c>
      <c r="N81" s="26">
        <v>25000</v>
      </c>
      <c r="O81" s="26">
        <v>25000</v>
      </c>
      <c r="P81" s="26">
        <v>25000</v>
      </c>
      <c r="Q81" s="26">
        <v>25000</v>
      </c>
      <c r="R81" s="26">
        <v>25000</v>
      </c>
      <c r="S81" s="27">
        <f t="shared" si="1"/>
        <v>300000</v>
      </c>
      <c r="T81" s="46">
        <f>'4.2 Simplify Savings'!AB57</f>
        <v>-300000</v>
      </c>
    </row>
    <row r="82" spans="1:27" hidden="1" x14ac:dyDescent="0.3">
      <c r="A82" s="16" t="s">
        <v>705</v>
      </c>
      <c r="B82" s="16" t="s">
        <v>617</v>
      </c>
      <c r="C82" s="16">
        <v>603300</v>
      </c>
      <c r="D82" s="16" t="s">
        <v>572</v>
      </c>
      <c r="E82" s="16" t="s">
        <v>618</v>
      </c>
      <c r="F82" s="16" t="s">
        <v>754</v>
      </c>
      <c r="G82" s="26">
        <v>-25000</v>
      </c>
      <c r="H82" s="26">
        <v>-25000</v>
      </c>
      <c r="I82" s="26">
        <v>-25000</v>
      </c>
      <c r="J82" s="26">
        <v>-25000</v>
      </c>
      <c r="K82" s="26">
        <v>-25000</v>
      </c>
      <c r="L82" s="26">
        <v>-25000</v>
      </c>
      <c r="M82" s="26">
        <v>-25000</v>
      </c>
      <c r="N82" s="26">
        <v>-25000</v>
      </c>
      <c r="O82" s="26">
        <v>-25000</v>
      </c>
      <c r="P82" s="26">
        <v>-25000</v>
      </c>
      <c r="Q82" s="26">
        <v>-25000</v>
      </c>
      <c r="R82" s="26">
        <v>-25000</v>
      </c>
      <c r="S82" s="27">
        <f t="shared" si="1"/>
        <v>-300000</v>
      </c>
    </row>
    <row r="83" spans="1:27" hidden="1" x14ac:dyDescent="0.3">
      <c r="A83" s="16" t="s">
        <v>705</v>
      </c>
      <c r="B83" s="16" t="s">
        <v>617</v>
      </c>
      <c r="C83" s="16">
        <v>613003</v>
      </c>
      <c r="D83" s="16" t="s">
        <v>572</v>
      </c>
      <c r="E83" s="16" t="s">
        <v>641</v>
      </c>
      <c r="F83" s="16" t="s">
        <v>572</v>
      </c>
      <c r="G83" s="26">
        <v>833.33333333333337</v>
      </c>
      <c r="H83" s="26">
        <v>833.33333333333337</v>
      </c>
      <c r="I83" s="26">
        <v>833.33333333333337</v>
      </c>
      <c r="J83" s="26">
        <v>833.33333333333337</v>
      </c>
      <c r="K83" s="26">
        <v>833.33333333333337</v>
      </c>
      <c r="L83" s="26">
        <v>833.33333333333337</v>
      </c>
      <c r="M83" s="26">
        <v>833.33333333333337</v>
      </c>
      <c r="N83" s="26">
        <v>833.33333333333337</v>
      </c>
      <c r="O83" s="26">
        <v>833.33333333333337</v>
      </c>
      <c r="P83" s="26">
        <v>833.33333333333337</v>
      </c>
      <c r="Q83" s="26">
        <v>833.33333333333337</v>
      </c>
      <c r="R83" s="26">
        <v>833.33333333333337</v>
      </c>
      <c r="S83" s="27">
        <f t="shared" si="1"/>
        <v>10000</v>
      </c>
      <c r="T83" s="46">
        <f>'4.2 Simplify Savings'!AB58</f>
        <v>-10000</v>
      </c>
    </row>
    <row r="84" spans="1:27" hidden="1" x14ac:dyDescent="0.3">
      <c r="A84" s="16" t="s">
        <v>705</v>
      </c>
      <c r="B84" s="16" t="s">
        <v>617</v>
      </c>
      <c r="C84" s="16">
        <v>612502</v>
      </c>
      <c r="D84" s="16" t="s">
        <v>572</v>
      </c>
      <c r="E84" s="16" t="s">
        <v>642</v>
      </c>
      <c r="F84" s="16" t="s">
        <v>572</v>
      </c>
      <c r="G84" s="26">
        <v>8333.3333333333339</v>
      </c>
      <c r="H84" s="26">
        <v>8333.3333333333339</v>
      </c>
      <c r="I84" s="26">
        <v>8333.3333333333339</v>
      </c>
      <c r="J84" s="26">
        <v>8333.3333333333339</v>
      </c>
      <c r="K84" s="26">
        <v>8333.3333333333339</v>
      </c>
      <c r="L84" s="26">
        <v>8333.3333333333339</v>
      </c>
      <c r="M84" s="26">
        <v>8333.3333333333339</v>
      </c>
      <c r="N84" s="26">
        <v>8333.3333333333339</v>
      </c>
      <c r="O84" s="26">
        <v>8333.3333333333339</v>
      </c>
      <c r="P84" s="26">
        <v>8333.3333333333339</v>
      </c>
      <c r="Q84" s="26">
        <v>8333.3333333333339</v>
      </c>
      <c r="R84" s="26">
        <v>8333.3333333333339</v>
      </c>
      <c r="S84" s="27">
        <f t="shared" si="1"/>
        <v>99999.999999999985</v>
      </c>
      <c r="T84" s="46">
        <f>'4.2 Simplify Savings'!AB59</f>
        <v>-99999.999999999985</v>
      </c>
    </row>
    <row r="85" spans="1:27" hidden="1" x14ac:dyDescent="0.3">
      <c r="A85" s="16" t="s">
        <v>705</v>
      </c>
      <c r="B85" s="16" t="s">
        <v>617</v>
      </c>
      <c r="C85" s="16">
        <v>613003</v>
      </c>
      <c r="D85" s="16" t="s">
        <v>572</v>
      </c>
      <c r="E85" s="16" t="s">
        <v>643</v>
      </c>
      <c r="F85" s="16" t="s">
        <v>572</v>
      </c>
      <c r="G85" s="26">
        <v>4583.333333333333</v>
      </c>
      <c r="H85" s="26">
        <v>4583.333333333333</v>
      </c>
      <c r="I85" s="26">
        <v>4583.333333333333</v>
      </c>
      <c r="J85" s="26">
        <v>4583.333333333333</v>
      </c>
      <c r="K85" s="26">
        <v>4583.333333333333</v>
      </c>
      <c r="L85" s="26">
        <v>4583.333333333333</v>
      </c>
      <c r="M85" s="26">
        <v>4583.333333333333</v>
      </c>
      <c r="N85" s="26">
        <v>4583.333333333333</v>
      </c>
      <c r="O85" s="26">
        <v>4583.333333333333</v>
      </c>
      <c r="P85" s="26">
        <v>4583.333333333333</v>
      </c>
      <c r="Q85" s="26">
        <v>4583.333333333333</v>
      </c>
      <c r="R85" s="26">
        <v>4583.333333333333</v>
      </c>
      <c r="S85" s="27">
        <f t="shared" si="1"/>
        <v>55000.000000000007</v>
      </c>
      <c r="T85" s="46">
        <f>'4.2 Simplify Savings'!AB60</f>
        <v>-55000.000000000007</v>
      </c>
    </row>
    <row r="86" spans="1:27" hidden="1" x14ac:dyDescent="0.3">
      <c r="A86" s="16" t="s">
        <v>705</v>
      </c>
      <c r="B86" s="16" t="s">
        <v>617</v>
      </c>
      <c r="C86" s="16">
        <v>613003</v>
      </c>
      <c r="D86" s="16" t="s">
        <v>572</v>
      </c>
      <c r="E86" s="16" t="s">
        <v>641</v>
      </c>
      <c r="F86" s="16" t="s">
        <v>754</v>
      </c>
      <c r="G86" s="26">
        <v>-833.33333333333337</v>
      </c>
      <c r="H86" s="26">
        <v>-833.33333333333337</v>
      </c>
      <c r="I86" s="26">
        <v>-833.33333333333337</v>
      </c>
      <c r="J86" s="26">
        <v>-833.33333333333337</v>
      </c>
      <c r="K86" s="26">
        <v>-833.33333333333337</v>
      </c>
      <c r="L86" s="26">
        <v>-833.33333333333337</v>
      </c>
      <c r="M86" s="26">
        <v>-833.33333333333337</v>
      </c>
      <c r="N86" s="26">
        <v>-833.33333333333337</v>
      </c>
      <c r="O86" s="26">
        <v>-833.33333333333337</v>
      </c>
      <c r="P86" s="26">
        <v>-833.33333333333337</v>
      </c>
      <c r="Q86" s="26">
        <v>-833.33333333333337</v>
      </c>
      <c r="R86" s="26">
        <v>-833.33333333333337</v>
      </c>
      <c r="S86" s="27">
        <f t="shared" si="1"/>
        <v>-10000</v>
      </c>
    </row>
    <row r="87" spans="1:27" hidden="1" x14ac:dyDescent="0.3">
      <c r="A87" s="16" t="s">
        <v>705</v>
      </c>
      <c r="B87" s="16" t="s">
        <v>617</v>
      </c>
      <c r="C87" s="16">
        <v>612502</v>
      </c>
      <c r="D87" s="16" t="s">
        <v>572</v>
      </c>
      <c r="E87" s="16" t="s">
        <v>642</v>
      </c>
      <c r="F87" s="16" t="s">
        <v>754</v>
      </c>
      <c r="G87" s="26">
        <v>-8333.3333333333339</v>
      </c>
      <c r="H87" s="26">
        <v>-8333.3333333333339</v>
      </c>
      <c r="I87" s="26">
        <v>-8333.3333333333339</v>
      </c>
      <c r="J87" s="26">
        <v>-8333.3333333333339</v>
      </c>
      <c r="K87" s="26">
        <v>-8333.3333333333339</v>
      </c>
      <c r="L87" s="26">
        <v>-8333.3333333333339</v>
      </c>
      <c r="M87" s="26">
        <v>-8333.3333333333339</v>
      </c>
      <c r="N87" s="26">
        <v>-8333.3333333333339</v>
      </c>
      <c r="O87" s="26">
        <v>-8333.3333333333339</v>
      </c>
      <c r="P87" s="26">
        <v>-8333.3333333333339</v>
      </c>
      <c r="Q87" s="26">
        <v>-8333.3333333333339</v>
      </c>
      <c r="R87" s="26">
        <v>-8333.3333333333339</v>
      </c>
      <c r="S87" s="27">
        <f t="shared" si="1"/>
        <v>-99999.999999999985</v>
      </c>
    </row>
    <row r="88" spans="1:27" hidden="1" x14ac:dyDescent="0.3">
      <c r="A88" s="16" t="s">
        <v>705</v>
      </c>
      <c r="B88" s="16" t="s">
        <v>617</v>
      </c>
      <c r="C88" s="16">
        <v>613003</v>
      </c>
      <c r="D88" s="16" t="s">
        <v>572</v>
      </c>
      <c r="E88" s="16" t="s">
        <v>643</v>
      </c>
      <c r="F88" s="16" t="s">
        <v>754</v>
      </c>
      <c r="G88" s="26">
        <v>-4583.333333333333</v>
      </c>
      <c r="H88" s="26">
        <v>-4583.333333333333</v>
      </c>
      <c r="I88" s="26">
        <v>-4583.333333333333</v>
      </c>
      <c r="J88" s="26">
        <v>-4583.333333333333</v>
      </c>
      <c r="K88" s="26">
        <v>-4583.333333333333</v>
      </c>
      <c r="L88" s="26">
        <v>-4583.333333333333</v>
      </c>
      <c r="M88" s="26">
        <v>-4583.333333333333</v>
      </c>
      <c r="N88" s="26">
        <v>-4583.333333333333</v>
      </c>
      <c r="O88" s="26">
        <v>-4583.333333333333</v>
      </c>
      <c r="P88" s="26">
        <v>-4583.333333333333</v>
      </c>
      <c r="Q88" s="26">
        <v>-4583.333333333333</v>
      </c>
      <c r="R88" s="26">
        <v>-4583.333333333333</v>
      </c>
      <c r="S88" s="27">
        <f t="shared" si="1"/>
        <v>-55000.000000000007</v>
      </c>
    </row>
    <row r="89" spans="1:27" hidden="1" x14ac:dyDescent="0.3">
      <c r="A89" s="16" t="s">
        <v>705</v>
      </c>
      <c r="B89" s="16" t="s">
        <v>644</v>
      </c>
      <c r="C89" s="16">
        <v>612520</v>
      </c>
      <c r="D89" s="16" t="s">
        <v>645</v>
      </c>
      <c r="E89" s="16" t="s">
        <v>294</v>
      </c>
      <c r="F89" s="16" t="s">
        <v>572</v>
      </c>
      <c r="G89" s="26">
        <v>41535.573199999999</v>
      </c>
      <c r="H89" s="26">
        <v>41535.573199999999</v>
      </c>
      <c r="I89" s="26">
        <v>41535.573199999999</v>
      </c>
      <c r="J89" s="26">
        <v>41535.573199999999</v>
      </c>
      <c r="K89" s="26">
        <v>41535.573199999999</v>
      </c>
      <c r="L89" s="26">
        <v>41535.573199999999</v>
      </c>
      <c r="M89" s="26">
        <v>41535.573199999999</v>
      </c>
      <c r="N89" s="26">
        <v>41535.573199999999</v>
      </c>
      <c r="O89" s="26">
        <v>41535.573199999999</v>
      </c>
      <c r="P89" s="26">
        <v>41535.573199999999</v>
      </c>
      <c r="Q89" s="26">
        <v>41535.573199999999</v>
      </c>
      <c r="R89" s="26">
        <v>41535.573199999999</v>
      </c>
      <c r="S89" s="27">
        <f t="shared" si="1"/>
        <v>498426.87839999987</v>
      </c>
    </row>
    <row r="90" spans="1:27" hidden="1" x14ac:dyDescent="0.3">
      <c r="A90" s="16" t="s">
        <v>705</v>
      </c>
      <c r="B90" s="16" t="s">
        <v>644</v>
      </c>
      <c r="C90" s="16">
        <v>612520</v>
      </c>
      <c r="D90" s="16" t="s">
        <v>645</v>
      </c>
      <c r="E90" s="16" t="s">
        <v>288</v>
      </c>
      <c r="F90" s="16" t="s">
        <v>572</v>
      </c>
      <c r="G90" s="26">
        <v>19128.224499999997</v>
      </c>
      <c r="H90" s="26">
        <v>19128.224499999997</v>
      </c>
      <c r="I90" s="26">
        <v>19128.224499999997</v>
      </c>
      <c r="J90" s="26">
        <v>19128.224499999997</v>
      </c>
      <c r="K90" s="26">
        <v>19128.224499999997</v>
      </c>
      <c r="L90" s="26">
        <v>19128.224499999997</v>
      </c>
      <c r="M90" s="26">
        <v>19128.224499999997</v>
      </c>
      <c r="N90" s="26">
        <v>19128.224499999997</v>
      </c>
      <c r="O90" s="26">
        <v>19128.224499999997</v>
      </c>
      <c r="P90" s="26">
        <v>19128.224499999997</v>
      </c>
      <c r="Q90" s="26">
        <v>19128.224499999997</v>
      </c>
      <c r="R90" s="26">
        <v>19128.224499999997</v>
      </c>
      <c r="S90" s="27">
        <f t="shared" si="1"/>
        <v>229538.69400000002</v>
      </c>
    </row>
    <row r="91" spans="1:27" hidden="1" x14ac:dyDescent="0.3">
      <c r="A91" s="16" t="s">
        <v>705</v>
      </c>
      <c r="B91" s="16" t="s">
        <v>644</v>
      </c>
      <c r="C91" s="16">
        <v>612520</v>
      </c>
      <c r="D91" s="16" t="s">
        <v>645</v>
      </c>
      <c r="E91" s="16" t="s">
        <v>289</v>
      </c>
      <c r="F91" s="16" t="s">
        <v>572</v>
      </c>
      <c r="G91" s="26">
        <v>12979.866624999999</v>
      </c>
      <c r="H91" s="26">
        <v>12979.866624999999</v>
      </c>
      <c r="I91" s="26">
        <v>12979.866624999999</v>
      </c>
      <c r="J91" s="26">
        <v>12979.866624999999</v>
      </c>
      <c r="K91" s="26">
        <v>12979.866624999999</v>
      </c>
      <c r="L91" s="26">
        <v>12979.866624999999</v>
      </c>
      <c r="M91" s="26">
        <v>12979.866624999999</v>
      </c>
      <c r="N91" s="26">
        <v>12979.320104299997</v>
      </c>
      <c r="O91" s="26">
        <v>12979.866624999999</v>
      </c>
      <c r="P91" s="26">
        <v>12979.866624999999</v>
      </c>
      <c r="Q91" s="26">
        <v>12979.866624999999</v>
      </c>
      <c r="R91" s="26">
        <v>12979.866624999999</v>
      </c>
      <c r="S91" s="27">
        <f t="shared" si="1"/>
        <v>155757.85297929996</v>
      </c>
    </row>
    <row r="92" spans="1:27" hidden="1" x14ac:dyDescent="0.3">
      <c r="A92" s="16" t="s">
        <v>705</v>
      </c>
      <c r="B92" s="16" t="s">
        <v>644</v>
      </c>
      <c r="C92" s="16">
        <v>612520</v>
      </c>
      <c r="D92" s="16" t="s">
        <v>645</v>
      </c>
      <c r="E92" s="16" t="s">
        <v>307</v>
      </c>
      <c r="F92" s="16" t="s">
        <v>572</v>
      </c>
      <c r="G92" s="26">
        <v>17800.179198999998</v>
      </c>
      <c r="H92" s="26">
        <v>17800.179198999998</v>
      </c>
      <c r="I92" s="26">
        <v>17800.179198999998</v>
      </c>
      <c r="J92" s="26">
        <v>17800.179198999998</v>
      </c>
      <c r="K92" s="26">
        <v>17800.179198999998</v>
      </c>
      <c r="L92" s="26">
        <v>17800.179198999998</v>
      </c>
      <c r="M92" s="26">
        <v>17800.179198999998</v>
      </c>
      <c r="N92" s="26">
        <v>17800.179198999998</v>
      </c>
      <c r="O92" s="26">
        <v>17800.725719699996</v>
      </c>
      <c r="P92" s="26">
        <v>17801.272240399998</v>
      </c>
      <c r="Q92" s="26">
        <v>17801.818761099999</v>
      </c>
      <c r="R92" s="26">
        <v>17802.365281799997</v>
      </c>
      <c r="S92" s="27">
        <f t="shared" si="1"/>
        <v>213607.61559499998</v>
      </c>
    </row>
    <row r="93" spans="1:27" hidden="1" x14ac:dyDescent="0.3">
      <c r="A93" s="16" t="s">
        <v>705</v>
      </c>
      <c r="B93" s="16" t="s">
        <v>644</v>
      </c>
      <c r="C93" s="16">
        <v>613004</v>
      </c>
      <c r="D93" s="16" t="s">
        <v>572</v>
      </c>
      <c r="E93" s="16" t="s">
        <v>646</v>
      </c>
      <c r="F93" s="16" t="s">
        <v>572</v>
      </c>
      <c r="G93" s="26">
        <v>30000</v>
      </c>
      <c r="H93" s="26">
        <v>30000</v>
      </c>
      <c r="I93" s="26">
        <v>30000</v>
      </c>
      <c r="J93" s="26">
        <v>30000</v>
      </c>
      <c r="K93" s="26">
        <v>30000</v>
      </c>
      <c r="L93" s="26">
        <v>30000</v>
      </c>
      <c r="M93" s="26">
        <v>30000</v>
      </c>
      <c r="N93" s="26">
        <v>30000</v>
      </c>
      <c r="O93" s="26">
        <v>30000</v>
      </c>
      <c r="P93" s="26">
        <v>30000</v>
      </c>
      <c r="Q93" s="26">
        <v>30000</v>
      </c>
      <c r="R93" s="26">
        <v>30000</v>
      </c>
      <c r="S93" s="27">
        <f t="shared" si="1"/>
        <v>360000</v>
      </c>
      <c r="T93" s="46">
        <f>'4.2 Simplify Savings'!AB61</f>
        <v>-8400</v>
      </c>
      <c r="U93" s="27">
        <v>346000</v>
      </c>
      <c r="V93" s="27">
        <f>S93-U93</f>
        <v>14000</v>
      </c>
      <c r="W93" s="27">
        <f>V93*4</f>
        <v>56000</v>
      </c>
      <c r="Z93" s="16">
        <v>24700</v>
      </c>
    </row>
    <row r="94" spans="1:27" hidden="1" x14ac:dyDescent="0.3">
      <c r="A94" s="16" t="s">
        <v>705</v>
      </c>
      <c r="B94" s="16" t="s">
        <v>644</v>
      </c>
      <c r="C94" s="16">
        <v>613004</v>
      </c>
      <c r="D94" s="16" t="s">
        <v>572</v>
      </c>
      <c r="E94" s="16" t="s">
        <v>646</v>
      </c>
      <c r="F94" s="16" t="s">
        <v>754</v>
      </c>
      <c r="G94" s="26">
        <v>-700</v>
      </c>
      <c r="H94" s="26">
        <v>-700</v>
      </c>
      <c r="I94" s="26">
        <v>-700</v>
      </c>
      <c r="J94" s="26">
        <v>-700</v>
      </c>
      <c r="K94" s="26">
        <v>-700</v>
      </c>
      <c r="L94" s="26">
        <v>-700</v>
      </c>
      <c r="M94" s="26">
        <v>-700</v>
      </c>
      <c r="N94" s="26">
        <v>-700</v>
      </c>
      <c r="O94" s="26">
        <v>-700</v>
      </c>
      <c r="P94" s="26">
        <v>-700</v>
      </c>
      <c r="Q94" s="26">
        <v>-700</v>
      </c>
      <c r="R94" s="26">
        <v>-700</v>
      </c>
      <c r="S94" s="27">
        <f t="shared" si="1"/>
        <v>-8400</v>
      </c>
      <c r="U94" s="27">
        <f>S93+S95+S96</f>
        <v>413226</v>
      </c>
      <c r="Z94" s="16">
        <v>286051.25999999995</v>
      </c>
    </row>
    <row r="95" spans="1:27" hidden="1" x14ac:dyDescent="0.3">
      <c r="A95" s="16" t="s">
        <v>705</v>
      </c>
      <c r="B95" s="16" t="s">
        <v>644</v>
      </c>
      <c r="C95" s="16">
        <v>613003</v>
      </c>
      <c r="D95" s="16" t="s">
        <v>572</v>
      </c>
      <c r="E95" s="16" t="s">
        <v>647</v>
      </c>
      <c r="F95" s="16" t="s">
        <v>572</v>
      </c>
      <c r="G95" s="26">
        <v>922</v>
      </c>
      <c r="H95" s="26">
        <v>922</v>
      </c>
      <c r="I95" s="26">
        <v>922</v>
      </c>
      <c r="J95" s="26">
        <v>922</v>
      </c>
      <c r="K95" s="26">
        <v>922</v>
      </c>
      <c r="L95" s="26">
        <v>922</v>
      </c>
      <c r="M95" s="26">
        <v>922</v>
      </c>
      <c r="N95" s="26">
        <v>922</v>
      </c>
      <c r="O95" s="26">
        <v>922</v>
      </c>
      <c r="P95" s="26">
        <v>922</v>
      </c>
      <c r="Q95" s="26">
        <v>922</v>
      </c>
      <c r="R95" s="26">
        <v>922</v>
      </c>
      <c r="S95" s="27">
        <f t="shared" si="1"/>
        <v>11064</v>
      </c>
      <c r="U95" s="16">
        <f>Z94</f>
        <v>286051.25999999995</v>
      </c>
      <c r="Z95" s="27">
        <f>U93+Z93+Z94</f>
        <v>656751.26</v>
      </c>
      <c r="AA95" s="27">
        <f>Z95*4</f>
        <v>2627005.04</v>
      </c>
    </row>
    <row r="96" spans="1:27" hidden="1" x14ac:dyDescent="0.3">
      <c r="A96" s="16" t="s">
        <v>705</v>
      </c>
      <c r="B96" s="16" t="s">
        <v>644</v>
      </c>
      <c r="C96" s="16">
        <v>613003</v>
      </c>
      <c r="D96" s="16" t="s">
        <v>572</v>
      </c>
      <c r="E96" s="16" t="s">
        <v>648</v>
      </c>
      <c r="F96" s="16" t="s">
        <v>572</v>
      </c>
      <c r="G96" s="26">
        <v>3513.5</v>
      </c>
      <c r="H96" s="26">
        <v>3513.5</v>
      </c>
      <c r="I96" s="26">
        <v>3513.5</v>
      </c>
      <c r="J96" s="26">
        <v>3513.5</v>
      </c>
      <c r="K96" s="26">
        <v>3513.5</v>
      </c>
      <c r="L96" s="26">
        <v>3513.5</v>
      </c>
      <c r="M96" s="26">
        <v>3513.5</v>
      </c>
      <c r="N96" s="26">
        <v>3513.5</v>
      </c>
      <c r="O96" s="26">
        <v>3513.5</v>
      </c>
      <c r="P96" s="26">
        <v>3513.5</v>
      </c>
      <c r="Q96" s="26">
        <v>3513.5</v>
      </c>
      <c r="R96" s="26">
        <v>3513.5</v>
      </c>
      <c r="S96" s="27">
        <f t="shared" si="1"/>
        <v>42162</v>
      </c>
    </row>
    <row r="97" spans="1:20" hidden="1" x14ac:dyDescent="0.3">
      <c r="A97" s="16" t="s">
        <v>705</v>
      </c>
      <c r="B97" s="16" t="s">
        <v>649</v>
      </c>
      <c r="C97" s="16">
        <v>612520</v>
      </c>
      <c r="D97" s="16" t="s">
        <v>572</v>
      </c>
      <c r="E97" s="16" t="s">
        <v>650</v>
      </c>
      <c r="F97" s="16" t="s">
        <v>572</v>
      </c>
      <c r="G97" s="26">
        <v>5833.333333333333</v>
      </c>
      <c r="H97" s="26">
        <v>5833.333333333333</v>
      </c>
      <c r="I97" s="26">
        <v>5833.333333333333</v>
      </c>
      <c r="J97" s="26">
        <v>5833.333333333333</v>
      </c>
      <c r="K97" s="26">
        <v>5833.333333333333</v>
      </c>
      <c r="L97" s="26">
        <v>5833.333333333333</v>
      </c>
      <c r="M97" s="26">
        <v>5833.333333333333</v>
      </c>
      <c r="N97" s="26">
        <v>5833.333333333333</v>
      </c>
      <c r="O97" s="26">
        <v>5833.333333333333</v>
      </c>
      <c r="P97" s="26">
        <v>5833.333333333333</v>
      </c>
      <c r="Q97" s="26">
        <v>5833.333333333333</v>
      </c>
      <c r="R97" s="26">
        <v>5833.333333333333</v>
      </c>
      <c r="S97" s="27">
        <f t="shared" si="1"/>
        <v>70000.000000000015</v>
      </c>
    </row>
    <row r="98" spans="1:20" hidden="1" x14ac:dyDescent="0.3">
      <c r="A98" s="16" t="s">
        <v>705</v>
      </c>
      <c r="B98" s="16" t="s">
        <v>649</v>
      </c>
      <c r="C98" s="16">
        <v>612520</v>
      </c>
      <c r="D98" s="16" t="s">
        <v>572</v>
      </c>
      <c r="E98" s="16" t="s">
        <v>651</v>
      </c>
      <c r="F98" s="16" t="s">
        <v>572</v>
      </c>
      <c r="G98" s="26">
        <v>12725</v>
      </c>
      <c r="H98" s="26">
        <v>12725</v>
      </c>
      <c r="I98" s="26">
        <v>12725</v>
      </c>
      <c r="J98" s="26">
        <v>12725</v>
      </c>
      <c r="K98" s="26">
        <v>12725</v>
      </c>
      <c r="L98" s="26">
        <v>12725</v>
      </c>
      <c r="M98" s="26">
        <v>12725</v>
      </c>
      <c r="N98" s="26">
        <v>12725</v>
      </c>
      <c r="O98" s="26">
        <v>12725</v>
      </c>
      <c r="P98" s="26">
        <v>12725</v>
      </c>
      <c r="Q98" s="26">
        <v>12725</v>
      </c>
      <c r="R98" s="26">
        <v>12725</v>
      </c>
      <c r="S98" s="27">
        <f t="shared" si="1"/>
        <v>152700</v>
      </c>
    </row>
    <row r="99" spans="1:20" hidden="1" x14ac:dyDescent="0.3">
      <c r="A99" s="16" t="s">
        <v>705</v>
      </c>
      <c r="B99" s="16" t="s">
        <v>649</v>
      </c>
      <c r="C99" s="16">
        <v>613020</v>
      </c>
      <c r="D99" s="16" t="s">
        <v>572</v>
      </c>
      <c r="E99" s="16" t="s">
        <v>332</v>
      </c>
      <c r="F99" s="16" t="s">
        <v>572</v>
      </c>
      <c r="G99" s="26">
        <v>7500</v>
      </c>
      <c r="H99" s="26">
        <v>7500</v>
      </c>
      <c r="I99" s="26">
        <v>7500</v>
      </c>
      <c r="J99" s="26">
        <v>7500</v>
      </c>
      <c r="K99" s="26">
        <v>7500</v>
      </c>
      <c r="L99" s="26">
        <v>7500</v>
      </c>
      <c r="M99" s="26">
        <v>7500</v>
      </c>
      <c r="N99" s="26">
        <v>7500</v>
      </c>
      <c r="O99" s="26">
        <v>7500</v>
      </c>
      <c r="P99" s="26">
        <v>7500</v>
      </c>
      <c r="Q99" s="26">
        <v>7500</v>
      </c>
      <c r="R99" s="26">
        <v>7500</v>
      </c>
      <c r="S99" s="27">
        <f t="shared" si="1"/>
        <v>90000</v>
      </c>
    </row>
    <row r="100" spans="1:20" x14ac:dyDescent="0.3">
      <c r="A100" s="16" t="s">
        <v>705</v>
      </c>
      <c r="B100" s="16" t="s">
        <v>649</v>
      </c>
      <c r="C100" s="16">
        <v>613025</v>
      </c>
      <c r="D100" s="16" t="s">
        <v>572</v>
      </c>
      <c r="E100" s="16" t="s">
        <v>338</v>
      </c>
      <c r="F100" s="16" t="s">
        <v>572</v>
      </c>
      <c r="G100" s="26">
        <v>1696.6666666666667</v>
      </c>
      <c r="H100" s="26">
        <v>1696.6666666666667</v>
      </c>
      <c r="I100" s="26">
        <v>1696.6666666666667</v>
      </c>
      <c r="J100" s="26">
        <v>1696.6666666666667</v>
      </c>
      <c r="K100" s="26">
        <v>1696.6666666666667</v>
      </c>
      <c r="L100" s="26">
        <v>1696.6666666666667</v>
      </c>
      <c r="M100" s="26">
        <v>1696.6666666666667</v>
      </c>
      <c r="N100" s="26">
        <v>1696.6666666666667</v>
      </c>
      <c r="O100" s="26">
        <v>1696.6666666666667</v>
      </c>
      <c r="P100" s="26">
        <v>1696.6666666666667</v>
      </c>
      <c r="Q100" s="26">
        <v>1696.6666666666667</v>
      </c>
      <c r="R100" s="26">
        <v>1696.6666666666667</v>
      </c>
      <c r="S100" s="27">
        <f t="shared" si="1"/>
        <v>20360</v>
      </c>
    </row>
    <row r="101" spans="1:20" x14ac:dyDescent="0.3">
      <c r="A101" s="16" t="s">
        <v>705</v>
      </c>
      <c r="B101" s="16" t="s">
        <v>649</v>
      </c>
      <c r="C101" s="16">
        <v>613025</v>
      </c>
      <c r="D101" s="16" t="s">
        <v>572</v>
      </c>
      <c r="E101" s="16" t="s">
        <v>652</v>
      </c>
      <c r="F101" s="16" t="s">
        <v>572</v>
      </c>
      <c r="G101" s="26">
        <v>1250</v>
      </c>
      <c r="H101" s="26">
        <v>1250</v>
      </c>
      <c r="I101" s="26">
        <v>1250</v>
      </c>
      <c r="J101" s="26">
        <v>1250</v>
      </c>
      <c r="K101" s="26">
        <v>1250</v>
      </c>
      <c r="L101" s="26">
        <v>1250</v>
      </c>
      <c r="M101" s="26">
        <v>1250</v>
      </c>
      <c r="N101" s="26">
        <v>1250</v>
      </c>
      <c r="O101" s="26">
        <v>1250</v>
      </c>
      <c r="P101" s="26">
        <v>1250</v>
      </c>
      <c r="Q101" s="26">
        <v>1250</v>
      </c>
      <c r="R101" s="26">
        <v>1250</v>
      </c>
      <c r="S101" s="27">
        <f t="shared" si="1"/>
        <v>15000</v>
      </c>
    </row>
    <row r="102" spans="1:20" hidden="1" x14ac:dyDescent="0.3">
      <c r="A102" s="16" t="s">
        <v>705</v>
      </c>
      <c r="B102" s="16" t="s">
        <v>649</v>
      </c>
      <c r="C102" s="16">
        <v>612520</v>
      </c>
      <c r="D102" s="16" t="s">
        <v>572</v>
      </c>
      <c r="E102" s="16" t="s">
        <v>653</v>
      </c>
      <c r="F102" s="16" t="s">
        <v>572</v>
      </c>
      <c r="G102" s="26">
        <v>12500</v>
      </c>
      <c r="H102" s="26">
        <v>12500</v>
      </c>
      <c r="I102" s="26">
        <v>12500</v>
      </c>
      <c r="J102" s="26">
        <v>12500</v>
      </c>
      <c r="K102" s="26">
        <v>12500</v>
      </c>
      <c r="L102" s="26">
        <v>12500</v>
      </c>
      <c r="M102" s="26">
        <v>12500</v>
      </c>
      <c r="N102" s="26">
        <v>12500</v>
      </c>
      <c r="O102" s="26">
        <v>12500</v>
      </c>
      <c r="P102" s="26">
        <v>12500</v>
      </c>
      <c r="Q102" s="26">
        <v>12500</v>
      </c>
      <c r="R102" s="26">
        <v>12500</v>
      </c>
      <c r="S102" s="27">
        <f t="shared" si="1"/>
        <v>150000</v>
      </c>
    </row>
    <row r="103" spans="1:20" x14ac:dyDescent="0.3">
      <c r="A103" s="16" t="s">
        <v>705</v>
      </c>
      <c r="B103" s="16" t="s">
        <v>649</v>
      </c>
      <c r="C103" s="16">
        <v>613025</v>
      </c>
      <c r="D103" s="16" t="s">
        <v>572</v>
      </c>
      <c r="E103" s="16" t="s">
        <v>654</v>
      </c>
      <c r="F103" s="16" t="s">
        <v>572</v>
      </c>
      <c r="G103" s="26">
        <v>22666.666666666668</v>
      </c>
      <c r="H103" s="26">
        <v>22666.666666666668</v>
      </c>
      <c r="I103" s="26">
        <v>22666.666666666668</v>
      </c>
      <c r="J103" s="26">
        <v>22666.666666666668</v>
      </c>
      <c r="K103" s="26">
        <v>22666.666666666668</v>
      </c>
      <c r="L103" s="26">
        <v>22666.666666666668</v>
      </c>
      <c r="M103" s="26">
        <v>22666.666666666668</v>
      </c>
      <c r="N103" s="26">
        <v>22666.666666666668</v>
      </c>
      <c r="O103" s="26">
        <v>22666.666666666668</v>
      </c>
      <c r="P103" s="26">
        <v>22666.666666666668</v>
      </c>
      <c r="Q103" s="26">
        <v>22666.666666666668</v>
      </c>
      <c r="R103" s="26">
        <v>22666.666666666668</v>
      </c>
      <c r="S103" s="27">
        <f t="shared" si="1"/>
        <v>271999.99999999994</v>
      </c>
    </row>
    <row r="104" spans="1:20" hidden="1" x14ac:dyDescent="0.3">
      <c r="A104" s="16" t="s">
        <v>705</v>
      </c>
      <c r="B104" s="16" t="s">
        <v>649</v>
      </c>
      <c r="C104" s="16">
        <v>612520</v>
      </c>
      <c r="D104" s="16" t="s">
        <v>572</v>
      </c>
      <c r="E104" s="16" t="s">
        <v>340</v>
      </c>
      <c r="F104" s="16" t="s">
        <v>572</v>
      </c>
      <c r="G104" s="26">
        <v>424.16666666666669</v>
      </c>
      <c r="H104" s="26">
        <v>424.16666666666669</v>
      </c>
      <c r="I104" s="26">
        <v>424.16666666666669</v>
      </c>
      <c r="J104" s="26">
        <v>424.16666666666669</v>
      </c>
      <c r="K104" s="26">
        <v>424.16666666666669</v>
      </c>
      <c r="L104" s="26">
        <v>424.16666666666669</v>
      </c>
      <c r="M104" s="26">
        <v>424.16666666666669</v>
      </c>
      <c r="N104" s="26">
        <v>424.16666666666669</v>
      </c>
      <c r="O104" s="26">
        <v>424.16666666666669</v>
      </c>
      <c r="P104" s="26">
        <v>424.16666666666669</v>
      </c>
      <c r="Q104" s="26">
        <v>424.16666666666669</v>
      </c>
      <c r="R104" s="26">
        <v>424.16666666666669</v>
      </c>
      <c r="S104" s="27">
        <f t="shared" si="1"/>
        <v>5090</v>
      </c>
    </row>
    <row r="105" spans="1:20" hidden="1" x14ac:dyDescent="0.3">
      <c r="A105" s="16" t="s">
        <v>705</v>
      </c>
      <c r="B105" s="16" t="s">
        <v>649</v>
      </c>
      <c r="C105" s="16">
        <v>613020</v>
      </c>
      <c r="D105" s="16" t="s">
        <v>572</v>
      </c>
      <c r="E105" s="16" t="s">
        <v>655</v>
      </c>
      <c r="F105" s="16" t="s">
        <v>572</v>
      </c>
      <c r="G105" s="26">
        <v>633.33333333333337</v>
      </c>
      <c r="H105" s="26">
        <v>633.33333333333337</v>
      </c>
      <c r="I105" s="26">
        <v>633.33333333333337</v>
      </c>
      <c r="J105" s="26">
        <v>633.33333333333337</v>
      </c>
      <c r="K105" s="26">
        <v>633.33333333333337</v>
      </c>
      <c r="L105" s="26">
        <v>633.33333333333337</v>
      </c>
      <c r="M105" s="26">
        <v>633.33333333333337</v>
      </c>
      <c r="N105" s="26">
        <v>633.33333333333337</v>
      </c>
      <c r="O105" s="26">
        <v>633.33333333333337</v>
      </c>
      <c r="P105" s="26">
        <v>633.33333333333337</v>
      </c>
      <c r="Q105" s="26">
        <v>633.33333333333337</v>
      </c>
      <c r="R105" s="26">
        <v>633.33333333333337</v>
      </c>
      <c r="S105" s="27">
        <f t="shared" si="1"/>
        <v>7599.9999999999991</v>
      </c>
    </row>
    <row r="106" spans="1:20" hidden="1" x14ac:dyDescent="0.3">
      <c r="A106" s="16" t="s">
        <v>705</v>
      </c>
      <c r="B106" s="16" t="s">
        <v>649</v>
      </c>
      <c r="C106" s="16">
        <v>613020</v>
      </c>
      <c r="D106" s="16" t="s">
        <v>572</v>
      </c>
      <c r="E106" s="16" t="s">
        <v>656</v>
      </c>
      <c r="F106" s="16" t="s">
        <v>572</v>
      </c>
      <c r="G106" s="26">
        <v>32250</v>
      </c>
      <c r="H106" s="26">
        <v>32250</v>
      </c>
      <c r="I106" s="26">
        <v>32250</v>
      </c>
      <c r="J106" s="26">
        <v>32250</v>
      </c>
      <c r="K106" s="26">
        <v>32250</v>
      </c>
      <c r="L106" s="26">
        <v>32250</v>
      </c>
      <c r="M106" s="26">
        <v>32250</v>
      </c>
      <c r="N106" s="26">
        <v>32250</v>
      </c>
      <c r="O106" s="26">
        <v>32250</v>
      </c>
      <c r="P106" s="26">
        <v>32250</v>
      </c>
      <c r="Q106" s="26">
        <v>32250</v>
      </c>
      <c r="R106" s="26">
        <v>32250</v>
      </c>
      <c r="S106" s="27">
        <f t="shared" si="1"/>
        <v>387000</v>
      </c>
    </row>
    <row r="107" spans="1:20" hidden="1" x14ac:dyDescent="0.3">
      <c r="A107" s="16" t="s">
        <v>705</v>
      </c>
      <c r="B107" s="16" t="s">
        <v>649</v>
      </c>
      <c r="C107" s="16">
        <v>613020</v>
      </c>
      <c r="D107" s="16" t="s">
        <v>572</v>
      </c>
      <c r="E107" s="16" t="s">
        <v>757</v>
      </c>
      <c r="F107" s="16" t="s">
        <v>754</v>
      </c>
      <c r="G107" s="26">
        <v>-8333.3333333333339</v>
      </c>
      <c r="H107" s="26">
        <v>-8333.3333333333339</v>
      </c>
      <c r="I107" s="26">
        <v>-8333.3333333333339</v>
      </c>
      <c r="J107" s="26">
        <v>-8333.3333333333339</v>
      </c>
      <c r="K107" s="26">
        <v>-8333.3333333333339</v>
      </c>
      <c r="L107" s="26">
        <v>-8333.3333333333339</v>
      </c>
      <c r="M107" s="26">
        <v>-8333.3333333333339</v>
      </c>
      <c r="N107" s="26">
        <v>-8333.3333333333339</v>
      </c>
      <c r="O107" s="26">
        <v>-8333.3333333333339</v>
      </c>
      <c r="P107" s="26">
        <v>-8333.3333333333339</v>
      </c>
      <c r="Q107" s="26">
        <v>-8333.3333333333339</v>
      </c>
      <c r="R107" s="26">
        <v>-8333.3333333333339</v>
      </c>
      <c r="S107" s="52">
        <f t="shared" si="1"/>
        <v>-99999.999999999985</v>
      </c>
      <c r="T107" s="46">
        <f>'4.2 Simplify Savings'!AB62</f>
        <v>-99999.999999999985</v>
      </c>
    </row>
    <row r="108" spans="1:20" hidden="1" x14ac:dyDescent="0.3">
      <c r="A108" s="16" t="s">
        <v>705</v>
      </c>
      <c r="B108" s="16" t="s">
        <v>649</v>
      </c>
      <c r="C108" s="16">
        <v>615130</v>
      </c>
      <c r="D108" s="16" t="s">
        <v>572</v>
      </c>
      <c r="E108" s="16" t="s">
        <v>657</v>
      </c>
      <c r="F108" s="16" t="s">
        <v>572</v>
      </c>
      <c r="G108" s="26">
        <v>833.33333333333337</v>
      </c>
      <c r="H108" s="26">
        <v>833.33333333333337</v>
      </c>
      <c r="I108" s="26">
        <v>833.33333333333337</v>
      </c>
      <c r="J108" s="26">
        <v>833.33333333333337</v>
      </c>
      <c r="K108" s="26">
        <v>833.33333333333337</v>
      </c>
      <c r="L108" s="26">
        <v>833.33333333333337</v>
      </c>
      <c r="M108" s="26">
        <v>833.33333333333337</v>
      </c>
      <c r="N108" s="26">
        <v>833.33333333333337</v>
      </c>
      <c r="O108" s="26">
        <v>833.33333333333337</v>
      </c>
      <c r="P108" s="26">
        <v>833.33333333333337</v>
      </c>
      <c r="Q108" s="26">
        <v>833.33333333333337</v>
      </c>
      <c r="R108" s="26">
        <v>833.33333333333337</v>
      </c>
      <c r="S108" s="27">
        <f t="shared" si="1"/>
        <v>10000</v>
      </c>
    </row>
    <row r="109" spans="1:20" hidden="1" x14ac:dyDescent="0.3">
      <c r="A109" s="16" t="s">
        <v>705</v>
      </c>
      <c r="B109" s="16" t="s">
        <v>649</v>
      </c>
      <c r="C109" s="16">
        <v>612620</v>
      </c>
      <c r="D109" s="16" t="s">
        <v>572</v>
      </c>
      <c r="E109" s="16" t="s">
        <v>658</v>
      </c>
      <c r="F109" s="16" t="s">
        <v>572</v>
      </c>
      <c r="G109" s="26">
        <v>666.66666666666663</v>
      </c>
      <c r="H109" s="26">
        <v>666.66666666666663</v>
      </c>
      <c r="I109" s="26">
        <v>666.66666666666663</v>
      </c>
      <c r="J109" s="26">
        <v>666.66666666666663</v>
      </c>
      <c r="K109" s="26">
        <v>666.66666666666663</v>
      </c>
      <c r="L109" s="26">
        <v>666.66666666666663</v>
      </c>
      <c r="M109" s="26">
        <v>666.66666666666663</v>
      </c>
      <c r="N109" s="26">
        <v>666.66666666666663</v>
      </c>
      <c r="O109" s="26">
        <v>666.66666666666663</v>
      </c>
      <c r="P109" s="26">
        <v>666.66666666666663</v>
      </c>
      <c r="Q109" s="26">
        <v>666.66666666666663</v>
      </c>
      <c r="R109" s="26">
        <v>666.66666666666663</v>
      </c>
      <c r="S109" s="27">
        <f t="shared" si="1"/>
        <v>8000.0000000000009</v>
      </c>
    </row>
    <row r="110" spans="1:20" hidden="1" x14ac:dyDescent="0.3">
      <c r="A110" s="16" t="s">
        <v>705</v>
      </c>
      <c r="B110" s="16" t="s">
        <v>649</v>
      </c>
      <c r="C110" s="16">
        <v>612620</v>
      </c>
      <c r="D110" s="16" t="s">
        <v>572</v>
      </c>
      <c r="E110" s="16" t="s">
        <v>659</v>
      </c>
      <c r="F110" s="16" t="s">
        <v>572</v>
      </c>
      <c r="G110" s="26">
        <v>1250</v>
      </c>
      <c r="H110" s="26">
        <v>1250</v>
      </c>
      <c r="I110" s="26">
        <v>1250</v>
      </c>
      <c r="J110" s="26">
        <v>1250</v>
      </c>
      <c r="K110" s="26">
        <v>1250</v>
      </c>
      <c r="L110" s="26">
        <v>1250</v>
      </c>
      <c r="M110" s="26">
        <v>1250</v>
      </c>
      <c r="N110" s="26">
        <v>1250</v>
      </c>
      <c r="O110" s="26">
        <v>1250</v>
      </c>
      <c r="P110" s="26">
        <v>1250</v>
      </c>
      <c r="Q110" s="26">
        <v>1250</v>
      </c>
      <c r="R110" s="26">
        <v>1250</v>
      </c>
      <c r="S110" s="27">
        <f t="shared" si="1"/>
        <v>15000</v>
      </c>
    </row>
    <row r="111" spans="1:20" hidden="1" x14ac:dyDescent="0.3">
      <c r="A111" s="16" t="s">
        <v>705</v>
      </c>
      <c r="B111" s="16" t="s">
        <v>649</v>
      </c>
      <c r="C111" s="16">
        <v>616800</v>
      </c>
      <c r="D111" s="16" t="s">
        <v>572</v>
      </c>
      <c r="E111" s="16" t="s">
        <v>660</v>
      </c>
      <c r="F111" s="16" t="s">
        <v>572</v>
      </c>
      <c r="G111" s="26">
        <v>66.666666666666671</v>
      </c>
      <c r="H111" s="26">
        <v>66.666666666666671</v>
      </c>
      <c r="I111" s="26">
        <v>66.666666666666671</v>
      </c>
      <c r="J111" s="26">
        <v>66.666666666666671</v>
      </c>
      <c r="K111" s="26">
        <v>66.666666666666671</v>
      </c>
      <c r="L111" s="26">
        <v>66.666666666666671</v>
      </c>
      <c r="M111" s="26">
        <v>66.666666666666671</v>
      </c>
      <c r="N111" s="26">
        <v>66.666666666666671</v>
      </c>
      <c r="O111" s="26">
        <v>66.666666666666671</v>
      </c>
      <c r="P111" s="26">
        <v>66.666666666666671</v>
      </c>
      <c r="Q111" s="26">
        <v>66.666666666666671</v>
      </c>
      <c r="R111" s="26">
        <v>66.666666666666671</v>
      </c>
      <c r="S111" s="27">
        <f t="shared" si="1"/>
        <v>799.99999999999989</v>
      </c>
    </row>
    <row r="112" spans="1:20" hidden="1" x14ac:dyDescent="0.3">
      <c r="A112" s="28" t="s">
        <v>705</v>
      </c>
      <c r="B112" s="28" t="s">
        <v>661</v>
      </c>
      <c r="C112" s="28">
        <v>612520</v>
      </c>
      <c r="D112" s="28" t="s">
        <v>572</v>
      </c>
      <c r="E112" s="28" t="s">
        <v>662</v>
      </c>
      <c r="F112" s="28" t="s">
        <v>572</v>
      </c>
      <c r="G112" s="26">
        <v>7267.5624999999991</v>
      </c>
      <c r="H112" s="26">
        <v>7267.5624999999991</v>
      </c>
      <c r="I112" s="26">
        <v>7267.5624999999991</v>
      </c>
      <c r="J112" s="26">
        <v>7267.5624999999991</v>
      </c>
      <c r="K112" s="26">
        <v>7267.5624999999991</v>
      </c>
      <c r="L112" s="26">
        <v>7267.5624999999991</v>
      </c>
      <c r="M112" s="26">
        <v>7267.5624999999991</v>
      </c>
      <c r="N112" s="26">
        <v>7267.5624999999991</v>
      </c>
      <c r="O112" s="26">
        <v>7267.5624999999991</v>
      </c>
      <c r="P112" s="26">
        <v>7267.5624999999991</v>
      </c>
      <c r="Q112" s="26">
        <v>7267.5624999999991</v>
      </c>
      <c r="R112" s="26">
        <v>7267.5624999999991</v>
      </c>
      <c r="S112" s="64">
        <f t="shared" si="1"/>
        <v>87210.749999999985</v>
      </c>
    </row>
    <row r="113" spans="1:20" hidden="1" x14ac:dyDescent="0.3">
      <c r="A113" s="16" t="s">
        <v>705</v>
      </c>
      <c r="B113" s="16" t="s">
        <v>661</v>
      </c>
      <c r="C113" s="16">
        <v>612520</v>
      </c>
      <c r="D113" s="16" t="s">
        <v>572</v>
      </c>
      <c r="E113" s="16" t="s">
        <v>663</v>
      </c>
      <c r="F113" s="16" t="s">
        <v>572</v>
      </c>
      <c r="G113" s="26">
        <v>1916.6666666666667</v>
      </c>
      <c r="H113" s="26">
        <v>1916.6666666666667</v>
      </c>
      <c r="I113" s="26">
        <v>1916.6666666666667</v>
      </c>
      <c r="J113" s="26">
        <v>1916.6666666666667</v>
      </c>
      <c r="K113" s="26">
        <v>1916.6666666666667</v>
      </c>
      <c r="L113" s="26">
        <v>1916.6666666666667</v>
      </c>
      <c r="M113" s="26">
        <v>1916.6666666666667</v>
      </c>
      <c r="N113" s="26">
        <v>1916.6666666666667</v>
      </c>
      <c r="O113" s="26">
        <v>1916.6666666666667</v>
      </c>
      <c r="P113" s="26">
        <v>1916.6666666666667</v>
      </c>
      <c r="Q113" s="26">
        <v>1916.6666666666667</v>
      </c>
      <c r="R113" s="26">
        <v>1916.6666666666667</v>
      </c>
      <c r="S113" s="27">
        <f t="shared" si="1"/>
        <v>23000.000000000004</v>
      </c>
    </row>
    <row r="114" spans="1:20" hidden="1" x14ac:dyDescent="0.3">
      <c r="A114" s="16" t="s">
        <v>705</v>
      </c>
      <c r="B114" s="16" t="s">
        <v>661</v>
      </c>
      <c r="C114" s="16">
        <v>612520</v>
      </c>
      <c r="D114" s="16" t="s">
        <v>572</v>
      </c>
      <c r="E114" s="16" t="s">
        <v>664</v>
      </c>
      <c r="F114" s="16" t="s">
        <v>572</v>
      </c>
      <c r="G114" s="26">
        <v>2500</v>
      </c>
      <c r="H114" s="26">
        <v>2500</v>
      </c>
      <c r="I114" s="26">
        <v>2500</v>
      </c>
      <c r="J114" s="26">
        <v>2500</v>
      </c>
      <c r="K114" s="26">
        <v>2500</v>
      </c>
      <c r="L114" s="26">
        <v>2500</v>
      </c>
      <c r="M114" s="26">
        <v>2500</v>
      </c>
      <c r="N114" s="26">
        <v>2500</v>
      </c>
      <c r="O114" s="26">
        <v>2500</v>
      </c>
      <c r="P114" s="26">
        <v>2500</v>
      </c>
      <c r="Q114" s="26">
        <v>2500</v>
      </c>
      <c r="R114" s="26">
        <v>2500</v>
      </c>
      <c r="S114" s="27">
        <f t="shared" si="1"/>
        <v>30000</v>
      </c>
    </row>
    <row r="115" spans="1:20" hidden="1" x14ac:dyDescent="0.3">
      <c r="A115" s="16" t="s">
        <v>705</v>
      </c>
      <c r="B115" s="16" t="s">
        <v>661</v>
      </c>
      <c r="C115" s="16">
        <v>612520</v>
      </c>
      <c r="D115" s="16" t="s">
        <v>572</v>
      </c>
      <c r="E115" s="16" t="s">
        <v>665</v>
      </c>
      <c r="F115" s="16" t="s">
        <v>572</v>
      </c>
      <c r="G115" s="26">
        <v>5833.333333333333</v>
      </c>
      <c r="H115" s="26">
        <v>5833.333333333333</v>
      </c>
      <c r="I115" s="26">
        <v>5833.333333333333</v>
      </c>
      <c r="J115" s="26">
        <v>5833.333333333333</v>
      </c>
      <c r="K115" s="26">
        <v>5833.333333333333</v>
      </c>
      <c r="L115" s="26">
        <v>5833.333333333333</v>
      </c>
      <c r="M115" s="26">
        <v>5833.333333333333</v>
      </c>
      <c r="N115" s="26">
        <v>5833.333333333333</v>
      </c>
      <c r="O115" s="26">
        <v>5833.333333333333</v>
      </c>
      <c r="P115" s="26">
        <v>5833.333333333333</v>
      </c>
      <c r="Q115" s="26">
        <v>5833.333333333333</v>
      </c>
      <c r="R115" s="26">
        <v>5833.333333333333</v>
      </c>
      <c r="S115" s="27">
        <f t="shared" si="1"/>
        <v>70000.000000000015</v>
      </c>
    </row>
    <row r="116" spans="1:20" hidden="1" x14ac:dyDescent="0.3">
      <c r="A116" s="16" t="s">
        <v>705</v>
      </c>
      <c r="B116" s="16" t="s">
        <v>661</v>
      </c>
      <c r="C116" s="16">
        <v>612520</v>
      </c>
      <c r="D116" s="16" t="s">
        <v>572</v>
      </c>
      <c r="E116" s="16" t="s">
        <v>666</v>
      </c>
      <c r="F116" s="16" t="s">
        <v>572</v>
      </c>
      <c r="G116" s="26">
        <v>4833.333333333333</v>
      </c>
      <c r="H116" s="26">
        <v>4833.333333333333</v>
      </c>
      <c r="I116" s="26">
        <v>4833.333333333333</v>
      </c>
      <c r="J116" s="26">
        <v>4833.333333333333</v>
      </c>
      <c r="K116" s="26">
        <v>4833.333333333333</v>
      </c>
      <c r="L116" s="26">
        <v>4833.333333333333</v>
      </c>
      <c r="M116" s="26">
        <v>4833.333333333333</v>
      </c>
      <c r="N116" s="26">
        <v>4833.333333333333</v>
      </c>
      <c r="O116" s="26">
        <v>4833.333333333333</v>
      </c>
      <c r="P116" s="26">
        <v>4833.333333333333</v>
      </c>
      <c r="Q116" s="26">
        <v>4833.333333333333</v>
      </c>
      <c r="R116" s="26">
        <v>4833.333333333333</v>
      </c>
      <c r="S116" s="27">
        <f t="shared" si="1"/>
        <v>58000.000000000007</v>
      </c>
    </row>
    <row r="117" spans="1:20" hidden="1" x14ac:dyDescent="0.3">
      <c r="A117" s="28" t="s">
        <v>705</v>
      </c>
      <c r="B117" s="28" t="s">
        <v>661</v>
      </c>
      <c r="C117" s="28">
        <v>612520</v>
      </c>
      <c r="D117" s="28" t="s">
        <v>572</v>
      </c>
      <c r="E117" s="28" t="s">
        <v>667</v>
      </c>
      <c r="F117" s="28" t="s">
        <v>572</v>
      </c>
      <c r="G117" s="26">
        <v>20833.333333333332</v>
      </c>
      <c r="H117" s="26">
        <v>20833.333333333332</v>
      </c>
      <c r="I117" s="26">
        <v>20833.333333333332</v>
      </c>
      <c r="J117" s="26">
        <v>20833.333333333332</v>
      </c>
      <c r="K117" s="26">
        <v>20833.333333333332</v>
      </c>
      <c r="L117" s="26">
        <v>20833.333333333332</v>
      </c>
      <c r="M117" s="26">
        <v>20833.333333333332</v>
      </c>
      <c r="N117" s="26">
        <v>20833.333333333332</v>
      </c>
      <c r="O117" s="26">
        <v>20833.333333333332</v>
      </c>
      <c r="P117" s="26">
        <v>20833.333333333332</v>
      </c>
      <c r="Q117" s="26">
        <v>20833.333333333332</v>
      </c>
      <c r="R117" s="26">
        <v>20833.333333333332</v>
      </c>
      <c r="S117" s="64">
        <f t="shared" si="1"/>
        <v>250000.00000000003</v>
      </c>
    </row>
    <row r="118" spans="1:20" hidden="1" x14ac:dyDescent="0.3">
      <c r="A118" s="16" t="s">
        <v>705</v>
      </c>
      <c r="B118" s="16" t="s">
        <v>661</v>
      </c>
      <c r="C118" s="16">
        <v>612520</v>
      </c>
      <c r="D118" s="16" t="s">
        <v>572</v>
      </c>
      <c r="E118" s="16" t="s">
        <v>668</v>
      </c>
      <c r="F118" s="16" t="s">
        <v>572</v>
      </c>
      <c r="G118" s="26">
        <v>2500</v>
      </c>
      <c r="H118" s="26">
        <v>2500</v>
      </c>
      <c r="I118" s="26">
        <v>2500</v>
      </c>
      <c r="J118" s="26">
        <v>2500</v>
      </c>
      <c r="K118" s="26">
        <v>2500</v>
      </c>
      <c r="L118" s="26">
        <v>2500</v>
      </c>
      <c r="M118" s="26">
        <v>2500</v>
      </c>
      <c r="N118" s="26">
        <v>2500</v>
      </c>
      <c r="O118" s="26">
        <v>2500</v>
      </c>
      <c r="P118" s="26">
        <v>2500</v>
      </c>
      <c r="Q118" s="26">
        <v>2500</v>
      </c>
      <c r="R118" s="26">
        <v>2500</v>
      </c>
      <c r="S118" s="27">
        <f t="shared" si="1"/>
        <v>30000</v>
      </c>
    </row>
    <row r="119" spans="1:20" hidden="1" x14ac:dyDescent="0.3">
      <c r="A119" s="16" t="s">
        <v>705</v>
      </c>
      <c r="B119" s="16" t="s">
        <v>669</v>
      </c>
      <c r="C119" s="16">
        <v>612520</v>
      </c>
      <c r="D119" s="16" t="s">
        <v>572</v>
      </c>
      <c r="E119" s="16" t="s">
        <v>670</v>
      </c>
      <c r="F119" s="16" t="s">
        <v>572</v>
      </c>
      <c r="G119" s="26">
        <v>2000</v>
      </c>
      <c r="H119" s="26">
        <v>2000</v>
      </c>
      <c r="I119" s="26">
        <v>2000</v>
      </c>
      <c r="J119" s="26">
        <v>2000</v>
      </c>
      <c r="K119" s="26">
        <v>2000</v>
      </c>
      <c r="L119" s="26">
        <v>2000</v>
      </c>
      <c r="M119" s="26">
        <v>2000</v>
      </c>
      <c r="N119" s="26">
        <v>2000</v>
      </c>
      <c r="O119" s="26">
        <v>2000</v>
      </c>
      <c r="P119" s="26">
        <v>2000</v>
      </c>
      <c r="Q119" s="26">
        <v>2000</v>
      </c>
      <c r="R119" s="26">
        <v>2000</v>
      </c>
      <c r="S119" s="27">
        <f t="shared" si="1"/>
        <v>24000</v>
      </c>
    </row>
    <row r="120" spans="1:20" hidden="1" x14ac:dyDescent="0.3">
      <c r="A120" s="16" t="s">
        <v>705</v>
      </c>
      <c r="B120" s="16" t="s">
        <v>669</v>
      </c>
      <c r="C120" s="16">
        <v>612520</v>
      </c>
      <c r="D120" s="16" t="s">
        <v>572</v>
      </c>
      <c r="E120" s="16" t="s">
        <v>671</v>
      </c>
      <c r="F120" s="16" t="s">
        <v>572</v>
      </c>
      <c r="G120" s="26">
        <v>200</v>
      </c>
      <c r="H120" s="26">
        <v>200</v>
      </c>
      <c r="I120" s="26">
        <v>200</v>
      </c>
      <c r="J120" s="26">
        <v>200</v>
      </c>
      <c r="K120" s="26">
        <v>200</v>
      </c>
      <c r="L120" s="26">
        <v>200</v>
      </c>
      <c r="M120" s="26">
        <v>200</v>
      </c>
      <c r="N120" s="26">
        <v>200</v>
      </c>
      <c r="O120" s="26">
        <v>200</v>
      </c>
      <c r="P120" s="26">
        <v>200</v>
      </c>
      <c r="Q120" s="26">
        <v>200</v>
      </c>
      <c r="R120" s="26">
        <v>200</v>
      </c>
      <c r="S120" s="27">
        <f t="shared" si="1"/>
        <v>2400</v>
      </c>
    </row>
    <row r="121" spans="1:20" hidden="1" x14ac:dyDescent="0.3">
      <c r="A121" s="16" t="s">
        <v>705</v>
      </c>
      <c r="B121" s="16" t="s">
        <v>669</v>
      </c>
      <c r="C121" s="16">
        <v>612520</v>
      </c>
      <c r="D121" s="16" t="s">
        <v>572</v>
      </c>
      <c r="E121" s="16" t="s">
        <v>672</v>
      </c>
      <c r="F121" s="16" t="s">
        <v>572</v>
      </c>
      <c r="G121" s="26">
        <v>200</v>
      </c>
      <c r="H121" s="26">
        <v>200</v>
      </c>
      <c r="I121" s="26">
        <v>200</v>
      </c>
      <c r="J121" s="26">
        <v>200</v>
      </c>
      <c r="K121" s="26">
        <v>200</v>
      </c>
      <c r="L121" s="26">
        <v>200</v>
      </c>
      <c r="M121" s="26">
        <v>200</v>
      </c>
      <c r="N121" s="26">
        <v>200</v>
      </c>
      <c r="O121" s="26">
        <v>200</v>
      </c>
      <c r="P121" s="26">
        <v>200</v>
      </c>
      <c r="Q121" s="26">
        <v>200</v>
      </c>
      <c r="R121" s="26">
        <v>200</v>
      </c>
      <c r="S121" s="27">
        <f t="shared" si="1"/>
        <v>2400</v>
      </c>
    </row>
    <row r="122" spans="1:20" hidden="1" x14ac:dyDescent="0.3">
      <c r="A122" s="16" t="s">
        <v>705</v>
      </c>
      <c r="B122" s="16" t="s">
        <v>669</v>
      </c>
      <c r="C122" s="16">
        <v>612520</v>
      </c>
      <c r="D122" s="16" t="s">
        <v>572</v>
      </c>
      <c r="E122" s="16" t="s">
        <v>673</v>
      </c>
      <c r="F122" s="16" t="s">
        <v>572</v>
      </c>
      <c r="G122" s="26">
        <v>833.33333333333337</v>
      </c>
      <c r="H122" s="26">
        <v>833.33333333333337</v>
      </c>
      <c r="I122" s="26">
        <v>833.33333333333337</v>
      </c>
      <c r="J122" s="26">
        <v>833.33333333333337</v>
      </c>
      <c r="K122" s="26">
        <v>833.33333333333337</v>
      </c>
      <c r="L122" s="26">
        <v>833.33333333333337</v>
      </c>
      <c r="M122" s="26">
        <v>833.33333333333337</v>
      </c>
      <c r="N122" s="26">
        <v>833.33333333333337</v>
      </c>
      <c r="O122" s="26">
        <v>833.33333333333337</v>
      </c>
      <c r="P122" s="26">
        <v>833.33333333333337</v>
      </c>
      <c r="Q122" s="26">
        <v>833.33333333333337</v>
      </c>
      <c r="R122" s="26">
        <v>833.33333333333337</v>
      </c>
      <c r="S122" s="27">
        <f t="shared" si="1"/>
        <v>10000</v>
      </c>
    </row>
    <row r="123" spans="1:20" hidden="1" x14ac:dyDescent="0.3">
      <c r="A123" s="16" t="s">
        <v>705</v>
      </c>
      <c r="B123" s="16" t="s">
        <v>669</v>
      </c>
      <c r="C123" s="16">
        <v>612520</v>
      </c>
      <c r="D123" s="16" t="s">
        <v>572</v>
      </c>
      <c r="E123" s="16" t="s">
        <v>674</v>
      </c>
      <c r="F123" s="16" t="s">
        <v>572</v>
      </c>
      <c r="G123" s="26">
        <v>4166.666666666667</v>
      </c>
      <c r="H123" s="26">
        <v>4166.666666666667</v>
      </c>
      <c r="I123" s="26">
        <v>4166.666666666667</v>
      </c>
      <c r="J123" s="26">
        <v>4166.666666666667</v>
      </c>
      <c r="K123" s="26">
        <v>4166.666666666667</v>
      </c>
      <c r="L123" s="26">
        <v>4166.666666666667</v>
      </c>
      <c r="M123" s="26">
        <v>4166.666666666667</v>
      </c>
      <c r="N123" s="26">
        <v>4166.666666666667</v>
      </c>
      <c r="O123" s="26">
        <v>4166.666666666667</v>
      </c>
      <c r="P123" s="26">
        <v>4166.666666666667</v>
      </c>
      <c r="Q123" s="26">
        <v>4166.666666666667</v>
      </c>
      <c r="R123" s="26">
        <v>4166.666666666667</v>
      </c>
      <c r="S123" s="27">
        <f t="shared" si="1"/>
        <v>49999.999999999993</v>
      </c>
      <c r="T123" s="46">
        <f>'4.2 Simplify Savings'!AB63</f>
        <v>-49999.999999999993</v>
      </c>
    </row>
    <row r="124" spans="1:20" hidden="1" x14ac:dyDescent="0.3">
      <c r="A124" s="16" t="s">
        <v>705</v>
      </c>
      <c r="B124" s="16" t="s">
        <v>669</v>
      </c>
      <c r="C124" s="16">
        <v>612520</v>
      </c>
      <c r="D124" s="16" t="s">
        <v>572</v>
      </c>
      <c r="E124" s="16" t="s">
        <v>675</v>
      </c>
      <c r="F124" s="16" t="s">
        <v>572</v>
      </c>
      <c r="G124" s="26">
        <v>4166.666666666667</v>
      </c>
      <c r="H124" s="26">
        <v>4166.666666666667</v>
      </c>
      <c r="I124" s="26">
        <v>4166.666666666667</v>
      </c>
      <c r="J124" s="26">
        <v>4166.666666666667</v>
      </c>
      <c r="K124" s="26">
        <v>4166.666666666667</v>
      </c>
      <c r="L124" s="26">
        <v>4166.666666666667</v>
      </c>
      <c r="M124" s="26">
        <v>4166.666666666667</v>
      </c>
      <c r="N124" s="26">
        <v>4166.666666666667</v>
      </c>
      <c r="O124" s="26">
        <v>4166.666666666667</v>
      </c>
      <c r="P124" s="26">
        <v>4166.666666666667</v>
      </c>
      <c r="Q124" s="26">
        <v>4166.666666666667</v>
      </c>
      <c r="R124" s="26">
        <v>4166.666666666667</v>
      </c>
      <c r="S124" s="27">
        <f t="shared" si="1"/>
        <v>49999.999999999993</v>
      </c>
      <c r="T124" s="46">
        <f>'4.2 Simplify Savings'!AB64</f>
        <v>-49999.999999999993</v>
      </c>
    </row>
    <row r="125" spans="1:20" hidden="1" x14ac:dyDescent="0.3">
      <c r="A125" s="16" t="s">
        <v>705</v>
      </c>
      <c r="B125" s="16" t="s">
        <v>669</v>
      </c>
      <c r="C125" s="16">
        <v>612520</v>
      </c>
      <c r="D125" s="16" t="s">
        <v>572</v>
      </c>
      <c r="E125" s="16" t="s">
        <v>676</v>
      </c>
      <c r="F125" s="16" t="s">
        <v>572</v>
      </c>
      <c r="G125" s="26">
        <v>333.33333333333331</v>
      </c>
      <c r="H125" s="26">
        <v>333.33333333333331</v>
      </c>
      <c r="I125" s="26">
        <v>333.33333333333331</v>
      </c>
      <c r="J125" s="26">
        <v>333.33333333333331</v>
      </c>
      <c r="K125" s="26">
        <v>333.33333333333331</v>
      </c>
      <c r="L125" s="26">
        <v>333.33333333333331</v>
      </c>
      <c r="M125" s="26">
        <v>333.33333333333331</v>
      </c>
      <c r="N125" s="26">
        <v>333.33333333333331</v>
      </c>
      <c r="O125" s="26">
        <v>333.33333333333331</v>
      </c>
      <c r="P125" s="26">
        <v>333.33333333333331</v>
      </c>
      <c r="Q125" s="26">
        <v>333.33333333333331</v>
      </c>
      <c r="R125" s="26">
        <v>333.33333333333331</v>
      </c>
      <c r="S125" s="27">
        <f t="shared" si="1"/>
        <v>4000.0000000000005</v>
      </c>
      <c r="T125" s="46">
        <f>'4.2 Simplify Savings'!AB65</f>
        <v>-4000.0000000000005</v>
      </c>
    </row>
    <row r="126" spans="1:20" hidden="1" x14ac:dyDescent="0.3">
      <c r="A126" s="16" t="s">
        <v>705</v>
      </c>
      <c r="B126" s="16" t="s">
        <v>669</v>
      </c>
      <c r="C126" s="16">
        <v>612520</v>
      </c>
      <c r="D126" s="16" t="s">
        <v>572</v>
      </c>
      <c r="E126" s="16" t="s">
        <v>674</v>
      </c>
      <c r="F126" s="16" t="s">
        <v>754</v>
      </c>
      <c r="G126" s="26">
        <v>-4166.666666666667</v>
      </c>
      <c r="H126" s="26">
        <v>-4166.666666666667</v>
      </c>
      <c r="I126" s="26">
        <v>-4166.666666666667</v>
      </c>
      <c r="J126" s="26">
        <v>-4166.666666666667</v>
      </c>
      <c r="K126" s="26">
        <v>-4166.666666666667</v>
      </c>
      <c r="L126" s="26">
        <v>-4166.666666666667</v>
      </c>
      <c r="M126" s="26">
        <v>-4166.666666666667</v>
      </c>
      <c r="N126" s="26">
        <v>-4166.666666666667</v>
      </c>
      <c r="O126" s="26">
        <v>-4166.666666666667</v>
      </c>
      <c r="P126" s="26">
        <v>-4166.666666666667</v>
      </c>
      <c r="Q126" s="26">
        <v>-4166.666666666667</v>
      </c>
      <c r="R126" s="26">
        <v>-4166.666666666667</v>
      </c>
      <c r="S126" s="27">
        <f t="shared" si="1"/>
        <v>-49999.999999999993</v>
      </c>
    </row>
    <row r="127" spans="1:20" hidden="1" x14ac:dyDescent="0.3">
      <c r="A127" s="16" t="s">
        <v>705</v>
      </c>
      <c r="B127" s="16" t="s">
        <v>669</v>
      </c>
      <c r="C127" s="16">
        <v>612520</v>
      </c>
      <c r="D127" s="16" t="s">
        <v>572</v>
      </c>
      <c r="E127" s="16" t="s">
        <v>675</v>
      </c>
      <c r="F127" s="16" t="s">
        <v>754</v>
      </c>
      <c r="G127" s="26">
        <v>-4166.666666666667</v>
      </c>
      <c r="H127" s="26">
        <v>-4166.666666666667</v>
      </c>
      <c r="I127" s="26">
        <v>-4166.666666666667</v>
      </c>
      <c r="J127" s="26">
        <v>-4166.666666666667</v>
      </c>
      <c r="K127" s="26">
        <v>-4166.666666666667</v>
      </c>
      <c r="L127" s="26">
        <v>-4166.666666666667</v>
      </c>
      <c r="M127" s="26">
        <v>-4166.666666666667</v>
      </c>
      <c r="N127" s="26">
        <v>-4166.666666666667</v>
      </c>
      <c r="O127" s="26">
        <v>-4166.666666666667</v>
      </c>
      <c r="P127" s="26">
        <v>-4166.666666666667</v>
      </c>
      <c r="Q127" s="26">
        <v>-4166.666666666667</v>
      </c>
      <c r="R127" s="26">
        <v>-4166.666666666667</v>
      </c>
      <c r="S127" s="52">
        <f t="shared" si="1"/>
        <v>-49999.999999999993</v>
      </c>
    </row>
    <row r="128" spans="1:20" hidden="1" x14ac:dyDescent="0.3">
      <c r="A128" s="16" t="s">
        <v>705</v>
      </c>
      <c r="B128" s="16" t="s">
        <v>669</v>
      </c>
      <c r="C128" s="16">
        <v>612520</v>
      </c>
      <c r="D128" s="16" t="s">
        <v>572</v>
      </c>
      <c r="E128" s="16" t="s">
        <v>676</v>
      </c>
      <c r="F128" s="16" t="s">
        <v>754</v>
      </c>
      <c r="G128" s="26">
        <v>-333.33333333333331</v>
      </c>
      <c r="H128" s="26">
        <v>-333.33333333333331</v>
      </c>
      <c r="I128" s="26">
        <v>-333.33333333333331</v>
      </c>
      <c r="J128" s="26">
        <v>-333.33333333333331</v>
      </c>
      <c r="K128" s="26">
        <v>-333.33333333333331</v>
      </c>
      <c r="L128" s="26">
        <v>-333.33333333333331</v>
      </c>
      <c r="M128" s="26">
        <v>-333.33333333333331</v>
      </c>
      <c r="N128" s="26">
        <v>-333.33333333333331</v>
      </c>
      <c r="O128" s="26">
        <v>-333.33333333333331</v>
      </c>
      <c r="P128" s="26">
        <v>-333.33333333333331</v>
      </c>
      <c r="Q128" s="26">
        <v>-333.33333333333331</v>
      </c>
      <c r="R128" s="26">
        <v>-333.33333333333331</v>
      </c>
      <c r="S128" s="27">
        <f t="shared" si="1"/>
        <v>-4000.0000000000005</v>
      </c>
    </row>
    <row r="129" spans="1:20" x14ac:dyDescent="0.3">
      <c r="A129" s="16" t="s">
        <v>705</v>
      </c>
      <c r="B129" s="16" t="s">
        <v>669</v>
      </c>
      <c r="C129" s="16">
        <v>613025</v>
      </c>
      <c r="D129" s="16" t="s">
        <v>572</v>
      </c>
      <c r="E129" s="16" t="s">
        <v>677</v>
      </c>
      <c r="F129" s="16" t="s">
        <v>572</v>
      </c>
      <c r="G129" s="26">
        <v>15833.333333333334</v>
      </c>
      <c r="H129" s="26">
        <v>15833.333333333334</v>
      </c>
      <c r="I129" s="26">
        <v>15833.333333333334</v>
      </c>
      <c r="J129" s="26">
        <v>15833.333333333334</v>
      </c>
      <c r="K129" s="26">
        <v>15833.333333333334</v>
      </c>
      <c r="L129" s="26">
        <v>15833.333333333334</v>
      </c>
      <c r="M129" s="26">
        <v>15833.333333333334</v>
      </c>
      <c r="N129" s="26">
        <v>15833.333333333334</v>
      </c>
      <c r="O129" s="26">
        <v>15833.333333333334</v>
      </c>
      <c r="P129" s="26">
        <v>15833.333333333334</v>
      </c>
      <c r="Q129" s="26">
        <v>15833.333333333334</v>
      </c>
      <c r="R129" s="26">
        <v>15833.333333333334</v>
      </c>
      <c r="S129" s="27">
        <f t="shared" si="1"/>
        <v>190000.00000000003</v>
      </c>
      <c r="T129" s="46">
        <f>'4.2 Simplify Savings'!AB66</f>
        <v>-70000.000000000015</v>
      </c>
    </row>
    <row r="130" spans="1:20" x14ac:dyDescent="0.3">
      <c r="A130" s="16" t="s">
        <v>705</v>
      </c>
      <c r="B130" s="16" t="s">
        <v>669</v>
      </c>
      <c r="C130" s="16">
        <v>613025</v>
      </c>
      <c r="D130" s="16" t="s">
        <v>572</v>
      </c>
      <c r="E130" s="16" t="s">
        <v>677</v>
      </c>
      <c r="F130" s="16" t="s">
        <v>754</v>
      </c>
      <c r="G130" s="26">
        <v>-5833.333333333333</v>
      </c>
      <c r="H130" s="26">
        <v>-5833.333333333333</v>
      </c>
      <c r="I130" s="26">
        <v>-5833.333333333333</v>
      </c>
      <c r="J130" s="26">
        <v>-5833.333333333333</v>
      </c>
      <c r="K130" s="26">
        <v>-5833.333333333333</v>
      </c>
      <c r="L130" s="26">
        <v>-5833.333333333333</v>
      </c>
      <c r="M130" s="26">
        <v>-5833.333333333333</v>
      </c>
      <c r="N130" s="26">
        <v>-5833.333333333333</v>
      </c>
      <c r="O130" s="26">
        <v>-5833.333333333333</v>
      </c>
      <c r="P130" s="26">
        <v>-5833.333333333333</v>
      </c>
      <c r="Q130" s="26">
        <v>-5833.333333333333</v>
      </c>
      <c r="R130" s="26">
        <v>-5833.333333333333</v>
      </c>
      <c r="S130" s="27">
        <f t="shared" si="1"/>
        <v>-70000.000000000015</v>
      </c>
    </row>
    <row r="131" spans="1:20" x14ac:dyDescent="0.3">
      <c r="A131" s="16" t="s">
        <v>705</v>
      </c>
      <c r="B131" s="16" t="s">
        <v>669</v>
      </c>
      <c r="C131" s="16">
        <v>613025</v>
      </c>
      <c r="D131" s="16" t="s">
        <v>572</v>
      </c>
      <c r="E131" s="16" t="s">
        <v>678</v>
      </c>
      <c r="F131" s="16" t="s">
        <v>572</v>
      </c>
      <c r="G131" s="26">
        <v>21666.666666666668</v>
      </c>
      <c r="H131" s="26">
        <v>21666.666666666668</v>
      </c>
      <c r="I131" s="26">
        <v>21666.666666666668</v>
      </c>
      <c r="J131" s="26">
        <v>21666.666666666668</v>
      </c>
      <c r="K131" s="26">
        <v>21666.666666666668</v>
      </c>
      <c r="L131" s="26">
        <v>21666.666666666668</v>
      </c>
      <c r="M131" s="26">
        <v>21666.666666666668</v>
      </c>
      <c r="N131" s="26">
        <v>21666.666666666668</v>
      </c>
      <c r="O131" s="26">
        <v>21666.666666666668</v>
      </c>
      <c r="P131" s="26">
        <v>21666.666666666668</v>
      </c>
      <c r="Q131" s="26">
        <v>21666.666666666668</v>
      </c>
      <c r="R131" s="26">
        <v>21666.666666666668</v>
      </c>
      <c r="S131" s="27">
        <f t="shared" ref="S131:S161" si="2">SUM(G131:R131)</f>
        <v>259999.99999999997</v>
      </c>
      <c r="T131" s="46">
        <f>'4.2 Simplify Savings'!AB67</f>
        <v>-70000.000000000015</v>
      </c>
    </row>
    <row r="132" spans="1:20" x14ac:dyDescent="0.3">
      <c r="A132" s="16" t="s">
        <v>705</v>
      </c>
      <c r="B132" s="16" t="s">
        <v>669</v>
      </c>
      <c r="C132" s="16">
        <v>613025</v>
      </c>
      <c r="D132" s="16" t="s">
        <v>572</v>
      </c>
      <c r="E132" s="16" t="s">
        <v>678</v>
      </c>
      <c r="F132" s="16" t="s">
        <v>754</v>
      </c>
      <c r="G132" s="26">
        <v>-5833.333333333333</v>
      </c>
      <c r="H132" s="26">
        <v>-5833.333333333333</v>
      </c>
      <c r="I132" s="26">
        <v>-5833.333333333333</v>
      </c>
      <c r="J132" s="26">
        <v>-5833.333333333333</v>
      </c>
      <c r="K132" s="26">
        <v>-5833.333333333333</v>
      </c>
      <c r="L132" s="26">
        <v>-5833.333333333333</v>
      </c>
      <c r="M132" s="26">
        <v>-5833.333333333333</v>
      </c>
      <c r="N132" s="26">
        <v>-5833.333333333333</v>
      </c>
      <c r="O132" s="26">
        <v>-5833.333333333333</v>
      </c>
      <c r="P132" s="26">
        <v>-5833.333333333333</v>
      </c>
      <c r="Q132" s="26">
        <v>-5833.333333333333</v>
      </c>
      <c r="R132" s="26">
        <v>-5833.333333333333</v>
      </c>
      <c r="S132" s="27">
        <f t="shared" si="2"/>
        <v>-70000.000000000015</v>
      </c>
    </row>
    <row r="133" spans="1:20" x14ac:dyDescent="0.3">
      <c r="A133" s="16" t="s">
        <v>705</v>
      </c>
      <c r="B133" s="16" t="s">
        <v>669</v>
      </c>
      <c r="C133" s="16">
        <v>613025</v>
      </c>
      <c r="D133" s="16" t="s">
        <v>572</v>
      </c>
      <c r="E133" s="16" t="s">
        <v>679</v>
      </c>
      <c r="F133" s="16" t="s">
        <v>572</v>
      </c>
      <c r="G133" s="26">
        <v>13333.333333333334</v>
      </c>
      <c r="H133" s="26">
        <v>13333.333333333334</v>
      </c>
      <c r="I133" s="26">
        <v>13333.333333333334</v>
      </c>
      <c r="J133" s="26">
        <v>13333.333333333334</v>
      </c>
      <c r="K133" s="26">
        <v>13333.333333333334</v>
      </c>
      <c r="L133" s="26">
        <v>13333.333333333334</v>
      </c>
      <c r="M133" s="26">
        <v>13333.333333333334</v>
      </c>
      <c r="N133" s="26">
        <v>13333.333333333334</v>
      </c>
      <c r="O133" s="26">
        <v>13333.333333333334</v>
      </c>
      <c r="P133" s="26">
        <v>13333.333333333334</v>
      </c>
      <c r="Q133" s="26">
        <v>13333.333333333334</v>
      </c>
      <c r="R133" s="26">
        <v>13333.333333333334</v>
      </c>
      <c r="S133" s="27">
        <f t="shared" si="2"/>
        <v>160000</v>
      </c>
      <c r="T133" s="46">
        <f>'4.2 Simplify Savings'!AB68</f>
        <v>-70000.000000000015</v>
      </c>
    </row>
    <row r="134" spans="1:20" x14ac:dyDescent="0.3">
      <c r="A134" s="16" t="s">
        <v>705</v>
      </c>
      <c r="B134" s="16" t="s">
        <v>669</v>
      </c>
      <c r="C134" s="16">
        <v>613025</v>
      </c>
      <c r="D134" s="16" t="s">
        <v>572</v>
      </c>
      <c r="E134" s="16" t="s">
        <v>679</v>
      </c>
      <c r="F134" s="16" t="s">
        <v>754</v>
      </c>
      <c r="G134" s="26">
        <v>-5833.333333333333</v>
      </c>
      <c r="H134" s="26">
        <v>-5833.333333333333</v>
      </c>
      <c r="I134" s="26">
        <v>-5833.333333333333</v>
      </c>
      <c r="J134" s="26">
        <v>-5833.333333333333</v>
      </c>
      <c r="K134" s="26">
        <v>-5833.333333333333</v>
      </c>
      <c r="L134" s="26">
        <v>-5833.333333333333</v>
      </c>
      <c r="M134" s="26">
        <v>-5833.333333333333</v>
      </c>
      <c r="N134" s="26">
        <v>-5833.333333333333</v>
      </c>
      <c r="O134" s="26">
        <v>-5833.333333333333</v>
      </c>
      <c r="P134" s="26">
        <v>-5833.333333333333</v>
      </c>
      <c r="Q134" s="26">
        <v>-5833.333333333333</v>
      </c>
      <c r="R134" s="26">
        <v>-5833.333333333333</v>
      </c>
      <c r="S134" s="27">
        <f t="shared" si="2"/>
        <v>-70000.000000000015</v>
      </c>
    </row>
    <row r="135" spans="1:20" hidden="1" x14ac:dyDescent="0.3">
      <c r="A135" s="16" t="s">
        <v>705</v>
      </c>
      <c r="B135" s="16" t="s">
        <v>669</v>
      </c>
      <c r="C135" s="16">
        <v>613003</v>
      </c>
      <c r="D135" s="16" t="s">
        <v>572</v>
      </c>
      <c r="E135" s="16" t="s">
        <v>680</v>
      </c>
      <c r="F135" s="16" t="s">
        <v>572</v>
      </c>
      <c r="G135" s="26">
        <v>183.33333333333334</v>
      </c>
      <c r="H135" s="26">
        <v>183.33333333333334</v>
      </c>
      <c r="I135" s="26">
        <v>183.33333333333334</v>
      </c>
      <c r="J135" s="26">
        <v>183.33333333333334</v>
      </c>
      <c r="K135" s="26">
        <v>183.33333333333334</v>
      </c>
      <c r="L135" s="26">
        <v>183.33333333333334</v>
      </c>
      <c r="M135" s="26">
        <v>183.33333333333334</v>
      </c>
      <c r="N135" s="26">
        <v>183.33333333333334</v>
      </c>
      <c r="O135" s="26">
        <v>183.33333333333334</v>
      </c>
      <c r="P135" s="26">
        <v>183.33333333333334</v>
      </c>
      <c r="Q135" s="26">
        <v>183.33333333333334</v>
      </c>
      <c r="R135" s="26">
        <v>183.33333333333334</v>
      </c>
      <c r="S135" s="27">
        <f t="shared" si="2"/>
        <v>2199.9999999999995</v>
      </c>
    </row>
    <row r="136" spans="1:20" hidden="1" x14ac:dyDescent="0.3">
      <c r="A136" s="16" t="s">
        <v>705</v>
      </c>
      <c r="B136" s="16" t="s">
        <v>669</v>
      </c>
      <c r="C136" s="16">
        <v>613003</v>
      </c>
      <c r="D136" s="16" t="s">
        <v>572</v>
      </c>
      <c r="E136" s="16" t="s">
        <v>681</v>
      </c>
      <c r="F136" s="16" t="s">
        <v>572</v>
      </c>
      <c r="G136" s="26">
        <v>1666.6666666666667</v>
      </c>
      <c r="H136" s="26">
        <v>1666.6666666666667</v>
      </c>
      <c r="I136" s="26">
        <v>1666.6666666666667</v>
      </c>
      <c r="J136" s="26">
        <v>1666.6666666666667</v>
      </c>
      <c r="K136" s="26">
        <v>1666.6666666666667</v>
      </c>
      <c r="L136" s="26">
        <v>1666.6666666666667</v>
      </c>
      <c r="M136" s="26">
        <v>1666.6666666666667</v>
      </c>
      <c r="N136" s="26">
        <v>1666.6666666666667</v>
      </c>
      <c r="O136" s="26">
        <v>1666.6666666666667</v>
      </c>
      <c r="P136" s="26">
        <v>1666.6666666666667</v>
      </c>
      <c r="Q136" s="26">
        <v>1666.6666666666667</v>
      </c>
      <c r="R136" s="26">
        <v>1666.6666666666667</v>
      </c>
      <c r="S136" s="27">
        <f t="shared" si="2"/>
        <v>20000</v>
      </c>
    </row>
    <row r="137" spans="1:20" hidden="1" x14ac:dyDescent="0.3">
      <c r="A137" s="16" t="s">
        <v>705</v>
      </c>
      <c r="B137" s="16" t="s">
        <v>669</v>
      </c>
      <c r="C137" s="16">
        <v>613003</v>
      </c>
      <c r="D137" s="16" t="s">
        <v>572</v>
      </c>
      <c r="E137" s="16" t="s">
        <v>682</v>
      </c>
      <c r="F137" s="16" t="s">
        <v>572</v>
      </c>
      <c r="G137" s="26">
        <v>4166.666666666667</v>
      </c>
      <c r="H137" s="26">
        <v>4166.666666666667</v>
      </c>
      <c r="I137" s="26">
        <v>4166.666666666667</v>
      </c>
      <c r="J137" s="26">
        <v>4166.666666666667</v>
      </c>
      <c r="K137" s="26">
        <v>4166.666666666667</v>
      </c>
      <c r="L137" s="26">
        <v>4166.666666666667</v>
      </c>
      <c r="M137" s="26">
        <v>4166.666666666667</v>
      </c>
      <c r="N137" s="26">
        <v>4166.666666666667</v>
      </c>
      <c r="O137" s="26">
        <v>4166.666666666667</v>
      </c>
      <c r="P137" s="26">
        <v>4166.666666666667</v>
      </c>
      <c r="Q137" s="26">
        <v>4166.666666666667</v>
      </c>
      <c r="R137" s="26">
        <v>4166.666666666667</v>
      </c>
      <c r="S137" s="27">
        <f t="shared" si="2"/>
        <v>49999.999999999993</v>
      </c>
    </row>
    <row r="138" spans="1:20" x14ac:dyDescent="0.3">
      <c r="A138" s="16" t="s">
        <v>705</v>
      </c>
      <c r="B138" s="16" t="s">
        <v>669</v>
      </c>
      <c r="C138" s="16">
        <v>613025</v>
      </c>
      <c r="D138" s="16" t="s">
        <v>572</v>
      </c>
      <c r="E138" s="16" t="s">
        <v>683</v>
      </c>
      <c r="F138" s="16" t="s">
        <v>572</v>
      </c>
      <c r="G138" s="26">
        <v>25000</v>
      </c>
      <c r="H138" s="26">
        <v>25000</v>
      </c>
      <c r="I138" s="26">
        <v>25000</v>
      </c>
      <c r="J138" s="26">
        <v>25000</v>
      </c>
      <c r="K138" s="26">
        <v>25000</v>
      </c>
      <c r="L138" s="26">
        <v>25000</v>
      </c>
      <c r="M138" s="26">
        <v>25000</v>
      </c>
      <c r="N138" s="26">
        <v>25000</v>
      </c>
      <c r="O138" s="26">
        <v>25000</v>
      </c>
      <c r="P138" s="26">
        <v>25000</v>
      </c>
      <c r="Q138" s="26">
        <v>25000</v>
      </c>
      <c r="R138" s="26">
        <v>25000</v>
      </c>
      <c r="S138" s="27">
        <f t="shared" si="2"/>
        <v>300000</v>
      </c>
      <c r="T138" s="46">
        <f>'4.2 Simplify Savings'!AB69</f>
        <v>-120000</v>
      </c>
    </row>
    <row r="139" spans="1:20" x14ac:dyDescent="0.3">
      <c r="A139" s="16" t="s">
        <v>705</v>
      </c>
      <c r="B139" s="16" t="s">
        <v>669</v>
      </c>
      <c r="C139" s="16">
        <v>613025</v>
      </c>
      <c r="D139" s="16" t="s">
        <v>572</v>
      </c>
      <c r="E139" s="16" t="s">
        <v>683</v>
      </c>
      <c r="F139" s="16" t="s">
        <v>754</v>
      </c>
      <c r="G139" s="26">
        <v>-10000</v>
      </c>
      <c r="H139" s="26">
        <v>-10000</v>
      </c>
      <c r="I139" s="26">
        <v>-10000</v>
      </c>
      <c r="J139" s="26">
        <v>-10000</v>
      </c>
      <c r="K139" s="26">
        <v>-10000</v>
      </c>
      <c r="L139" s="26">
        <v>-10000</v>
      </c>
      <c r="M139" s="26">
        <v>-10000</v>
      </c>
      <c r="N139" s="26">
        <v>-10000</v>
      </c>
      <c r="O139" s="26">
        <v>-10000</v>
      </c>
      <c r="P139" s="26">
        <v>-10000</v>
      </c>
      <c r="Q139" s="26">
        <v>-10000</v>
      </c>
      <c r="R139" s="26">
        <v>-10000</v>
      </c>
      <c r="S139" s="52">
        <f t="shared" si="2"/>
        <v>-120000</v>
      </c>
    </row>
    <row r="140" spans="1:20" x14ac:dyDescent="0.3">
      <c r="A140" s="16" t="s">
        <v>705</v>
      </c>
      <c r="B140" s="16" t="s">
        <v>669</v>
      </c>
      <c r="C140" s="16">
        <v>613025</v>
      </c>
      <c r="D140" s="16" t="s">
        <v>572</v>
      </c>
      <c r="E140" s="16" t="s">
        <v>685</v>
      </c>
      <c r="F140" s="16" t="s">
        <v>572</v>
      </c>
      <c r="G140" s="26">
        <v>37500</v>
      </c>
      <c r="H140" s="26">
        <v>37500</v>
      </c>
      <c r="I140" s="26">
        <v>37500</v>
      </c>
      <c r="J140" s="26">
        <v>37500</v>
      </c>
      <c r="K140" s="26">
        <v>37500</v>
      </c>
      <c r="L140" s="26">
        <v>37500</v>
      </c>
      <c r="M140" s="26">
        <v>37500</v>
      </c>
      <c r="N140" s="26">
        <v>37500</v>
      </c>
      <c r="O140" s="26">
        <v>37500</v>
      </c>
      <c r="P140" s="26">
        <v>37500</v>
      </c>
      <c r="Q140" s="26">
        <v>37500</v>
      </c>
      <c r="R140" s="26">
        <v>37500</v>
      </c>
      <c r="S140" s="27">
        <f t="shared" si="2"/>
        <v>450000</v>
      </c>
      <c r="T140" s="46">
        <f>'4.2 Simplify Savings'!AB70</f>
        <v>-129999.99999999999</v>
      </c>
    </row>
    <row r="141" spans="1:20" x14ac:dyDescent="0.3">
      <c r="A141" s="16" t="s">
        <v>705</v>
      </c>
      <c r="B141" s="16" t="s">
        <v>669</v>
      </c>
      <c r="C141" s="16">
        <v>613025</v>
      </c>
      <c r="D141" s="16" t="s">
        <v>572</v>
      </c>
      <c r="E141" s="16" t="s">
        <v>685</v>
      </c>
      <c r="F141" s="16" t="s">
        <v>754</v>
      </c>
      <c r="G141" s="26">
        <v>-10833.333333333334</v>
      </c>
      <c r="H141" s="26">
        <v>-10833.333333333334</v>
      </c>
      <c r="I141" s="26">
        <v>-10833.333333333334</v>
      </c>
      <c r="J141" s="26">
        <v>-10833.333333333334</v>
      </c>
      <c r="K141" s="26">
        <v>-10833.333333333334</v>
      </c>
      <c r="L141" s="26">
        <v>-10833.333333333334</v>
      </c>
      <c r="M141" s="26">
        <v>-10833.333333333334</v>
      </c>
      <c r="N141" s="26">
        <v>-10833.333333333334</v>
      </c>
      <c r="O141" s="26">
        <v>-10833.333333333334</v>
      </c>
      <c r="P141" s="26">
        <v>-10833.333333333334</v>
      </c>
      <c r="Q141" s="26">
        <v>-10833.333333333334</v>
      </c>
      <c r="R141" s="26">
        <v>-10833.333333333334</v>
      </c>
      <c r="S141" s="27">
        <f t="shared" si="2"/>
        <v>-129999.99999999999</v>
      </c>
    </row>
    <row r="142" spans="1:20" x14ac:dyDescent="0.3">
      <c r="A142" s="16" t="s">
        <v>705</v>
      </c>
      <c r="B142" s="16" t="s">
        <v>669</v>
      </c>
      <c r="C142" s="16">
        <v>613025</v>
      </c>
      <c r="D142" s="16" t="s">
        <v>572</v>
      </c>
      <c r="E142" s="16" t="s">
        <v>688</v>
      </c>
      <c r="F142" s="16" t="s">
        <v>572</v>
      </c>
      <c r="G142" s="26">
        <v>17250</v>
      </c>
      <c r="H142" s="26">
        <v>17250</v>
      </c>
      <c r="I142" s="26">
        <v>17250</v>
      </c>
      <c r="J142" s="26">
        <v>17250</v>
      </c>
      <c r="K142" s="26">
        <v>17250</v>
      </c>
      <c r="L142" s="26">
        <v>17250</v>
      </c>
      <c r="M142" s="26">
        <v>17250</v>
      </c>
      <c r="N142" s="26">
        <v>17250</v>
      </c>
      <c r="O142" s="26">
        <v>17250</v>
      </c>
      <c r="P142" s="26">
        <v>17250</v>
      </c>
      <c r="Q142" s="26">
        <v>17250</v>
      </c>
      <c r="R142" s="26">
        <v>17250</v>
      </c>
      <c r="S142" s="27">
        <f t="shared" si="2"/>
        <v>207000</v>
      </c>
      <c r="T142" s="46">
        <f>'4.2 Simplify Savings'!AB71</f>
        <v>-80000</v>
      </c>
    </row>
    <row r="143" spans="1:20" x14ac:dyDescent="0.3">
      <c r="A143" s="16" t="s">
        <v>705</v>
      </c>
      <c r="B143" s="16" t="s">
        <v>669</v>
      </c>
      <c r="C143" s="16">
        <v>613025</v>
      </c>
      <c r="D143" s="16" t="s">
        <v>572</v>
      </c>
      <c r="E143" s="16" t="s">
        <v>688</v>
      </c>
      <c r="F143" s="16" t="s">
        <v>754</v>
      </c>
      <c r="G143" s="26">
        <v>-6666.666666666667</v>
      </c>
      <c r="H143" s="26">
        <v>-6666.666666666667</v>
      </c>
      <c r="I143" s="26">
        <v>-6666.666666666667</v>
      </c>
      <c r="J143" s="26">
        <v>-6666.666666666667</v>
      </c>
      <c r="K143" s="26">
        <v>-6666.666666666667</v>
      </c>
      <c r="L143" s="26">
        <v>-6666.666666666667</v>
      </c>
      <c r="M143" s="26">
        <v>-6666.666666666667</v>
      </c>
      <c r="N143" s="26">
        <v>-6666.666666666667</v>
      </c>
      <c r="O143" s="26">
        <v>-6666.666666666667</v>
      </c>
      <c r="P143" s="26">
        <v>-6666.666666666667</v>
      </c>
      <c r="Q143" s="26">
        <v>-6666.666666666667</v>
      </c>
      <c r="R143" s="26">
        <v>-6666.666666666667</v>
      </c>
      <c r="S143" s="27">
        <f t="shared" si="2"/>
        <v>-80000</v>
      </c>
    </row>
    <row r="144" spans="1:20" x14ac:dyDescent="0.3">
      <c r="A144" s="16" t="s">
        <v>705</v>
      </c>
      <c r="B144" s="16" t="s">
        <v>669</v>
      </c>
      <c r="C144" s="16">
        <v>613025</v>
      </c>
      <c r="D144" s="16" t="s">
        <v>572</v>
      </c>
      <c r="E144" s="16" t="s">
        <v>690</v>
      </c>
      <c r="F144" s="16" t="s">
        <v>572</v>
      </c>
      <c r="G144" s="26">
        <v>14083.333333333334</v>
      </c>
      <c r="H144" s="26">
        <v>14083.333333333334</v>
      </c>
      <c r="I144" s="26">
        <v>14083.333333333334</v>
      </c>
      <c r="J144" s="26">
        <v>14083.333333333334</v>
      </c>
      <c r="K144" s="26">
        <v>14083.333333333334</v>
      </c>
      <c r="L144" s="26">
        <v>14083.333333333334</v>
      </c>
      <c r="M144" s="26">
        <v>14083.333333333334</v>
      </c>
      <c r="N144" s="26">
        <v>14083.333333333334</v>
      </c>
      <c r="O144" s="26">
        <v>14083.333333333334</v>
      </c>
      <c r="P144" s="26">
        <v>14083.333333333334</v>
      </c>
      <c r="Q144" s="26">
        <v>14083.333333333334</v>
      </c>
      <c r="R144" s="26">
        <v>14083.333333333334</v>
      </c>
      <c r="S144" s="27">
        <f t="shared" si="2"/>
        <v>169000</v>
      </c>
      <c r="T144" s="46">
        <f>'4.2 Simplify Savings'!AB72</f>
        <v>-49999.999999999993</v>
      </c>
    </row>
    <row r="145" spans="1:19" x14ac:dyDescent="0.3">
      <c r="A145" s="16" t="s">
        <v>705</v>
      </c>
      <c r="B145" s="16" t="s">
        <v>669</v>
      </c>
      <c r="C145" s="16">
        <v>613025</v>
      </c>
      <c r="D145" s="16" t="s">
        <v>572</v>
      </c>
      <c r="E145" s="16" t="s">
        <v>690</v>
      </c>
      <c r="F145" s="16" t="s">
        <v>754</v>
      </c>
      <c r="G145" s="26">
        <v>-4166.666666666667</v>
      </c>
      <c r="H145" s="26">
        <v>-4166.666666666667</v>
      </c>
      <c r="I145" s="26">
        <v>-4166.666666666667</v>
      </c>
      <c r="J145" s="26">
        <v>-4166.666666666667</v>
      </c>
      <c r="K145" s="26">
        <v>-4166.666666666667</v>
      </c>
      <c r="L145" s="26">
        <v>-4166.666666666667</v>
      </c>
      <c r="M145" s="26">
        <v>-4166.666666666667</v>
      </c>
      <c r="N145" s="26">
        <v>-4166.666666666667</v>
      </c>
      <c r="O145" s="26">
        <v>-4166.666666666667</v>
      </c>
      <c r="P145" s="26">
        <v>-4166.666666666667</v>
      </c>
      <c r="Q145" s="26">
        <v>-4166.666666666667</v>
      </c>
      <c r="R145" s="26">
        <v>-4166.666666666667</v>
      </c>
      <c r="S145" s="52">
        <f t="shared" si="2"/>
        <v>-49999.999999999993</v>
      </c>
    </row>
    <row r="146" spans="1:19" x14ac:dyDescent="0.3">
      <c r="A146" s="16" t="s">
        <v>705</v>
      </c>
      <c r="B146" s="16" t="s">
        <v>669</v>
      </c>
      <c r="C146" s="16">
        <v>613025</v>
      </c>
      <c r="D146" s="16" t="s">
        <v>572</v>
      </c>
      <c r="E146" s="16" t="s">
        <v>691</v>
      </c>
      <c r="F146" s="16" t="s">
        <v>572</v>
      </c>
      <c r="G146" s="26">
        <v>10604.666666666666</v>
      </c>
      <c r="H146" s="26">
        <v>10604.666666666666</v>
      </c>
      <c r="I146" s="26">
        <v>10604.666666666666</v>
      </c>
      <c r="J146" s="26">
        <v>10604.666666666666</v>
      </c>
      <c r="K146" s="26">
        <v>10604.666666666666</v>
      </c>
      <c r="L146" s="26">
        <v>10604.666666666666</v>
      </c>
      <c r="M146" s="26">
        <v>10604.666666666666</v>
      </c>
      <c r="N146" s="26">
        <v>10604.666666666666</v>
      </c>
      <c r="O146" s="26">
        <v>10604.666666666666</v>
      </c>
      <c r="P146" s="26">
        <v>10604.666666666666</v>
      </c>
      <c r="Q146" s="26">
        <v>10604.666666666666</v>
      </c>
      <c r="R146" s="26">
        <v>10604.666666666666</v>
      </c>
      <c r="S146" s="27">
        <f t="shared" si="2"/>
        <v>127256.00000000001</v>
      </c>
    </row>
    <row r="147" spans="1:19" hidden="1" x14ac:dyDescent="0.3">
      <c r="A147" s="16" t="s">
        <v>705</v>
      </c>
      <c r="B147" s="16" t="s">
        <v>617</v>
      </c>
      <c r="C147" s="16">
        <v>613003</v>
      </c>
      <c r="D147" s="16" t="s">
        <v>572</v>
      </c>
      <c r="E147" s="16" t="s">
        <v>692</v>
      </c>
      <c r="F147" s="16" t="s">
        <v>693</v>
      </c>
      <c r="G147" s="26">
        <v>0</v>
      </c>
      <c r="H147" s="26">
        <v>0</v>
      </c>
      <c r="I147" s="26">
        <v>0</v>
      </c>
      <c r="J147" s="26">
        <v>0</v>
      </c>
      <c r="K147" s="26">
        <v>0</v>
      </c>
      <c r="L147" s="26">
        <v>0</v>
      </c>
      <c r="M147" s="26">
        <v>0</v>
      </c>
      <c r="N147" s="26">
        <v>0</v>
      </c>
      <c r="O147" s="26">
        <v>0</v>
      </c>
      <c r="P147" s="26">
        <v>0</v>
      </c>
      <c r="Q147" s="26">
        <v>0</v>
      </c>
      <c r="R147" s="26">
        <v>273300.00000000006</v>
      </c>
      <c r="S147" s="27">
        <f t="shared" si="2"/>
        <v>273300.00000000006</v>
      </c>
    </row>
    <row r="148" spans="1:19" hidden="1" x14ac:dyDescent="0.3">
      <c r="A148" s="16" t="s">
        <v>705</v>
      </c>
      <c r="B148" s="16" t="s">
        <v>617</v>
      </c>
      <c r="C148" s="16">
        <v>613003</v>
      </c>
      <c r="D148" s="16" t="s">
        <v>572</v>
      </c>
      <c r="E148" s="16" t="s">
        <v>694</v>
      </c>
      <c r="F148" s="16" t="s">
        <v>693</v>
      </c>
      <c r="G148" s="26">
        <v>0</v>
      </c>
      <c r="H148" s="26">
        <v>0</v>
      </c>
      <c r="I148" s="26">
        <v>0</v>
      </c>
      <c r="J148" s="26">
        <v>0</v>
      </c>
      <c r="K148" s="26">
        <v>0</v>
      </c>
      <c r="L148" s="26">
        <v>0</v>
      </c>
      <c r="M148" s="26">
        <v>141666.66666666666</v>
      </c>
      <c r="N148" s="26">
        <v>141666.66666666666</v>
      </c>
      <c r="O148" s="26">
        <v>141666.66666666666</v>
      </c>
      <c r="P148" s="26">
        <v>141666.66666666666</v>
      </c>
      <c r="Q148" s="26">
        <v>141666.66666666666</v>
      </c>
      <c r="R148" s="26">
        <v>141666.66666666666</v>
      </c>
      <c r="S148" s="27">
        <f t="shared" si="2"/>
        <v>849999.99999999988</v>
      </c>
    </row>
    <row r="149" spans="1:19" hidden="1" x14ac:dyDescent="0.3">
      <c r="A149" s="16" t="s">
        <v>705</v>
      </c>
      <c r="B149" s="16" t="s">
        <v>617</v>
      </c>
      <c r="C149" s="16">
        <v>613003</v>
      </c>
      <c r="D149" s="16" t="s">
        <v>572</v>
      </c>
      <c r="E149" s="16" t="s">
        <v>695</v>
      </c>
      <c r="F149" s="16" t="s">
        <v>693</v>
      </c>
      <c r="G149" s="26">
        <v>15000</v>
      </c>
      <c r="H149" s="26">
        <v>15000</v>
      </c>
      <c r="I149" s="26">
        <v>15000</v>
      </c>
      <c r="J149" s="26">
        <v>15000</v>
      </c>
      <c r="K149" s="26">
        <v>15000</v>
      </c>
      <c r="L149" s="26">
        <v>15000</v>
      </c>
      <c r="M149" s="26">
        <v>15000</v>
      </c>
      <c r="N149" s="26">
        <v>15000</v>
      </c>
      <c r="O149" s="26">
        <v>15000</v>
      </c>
      <c r="P149" s="26">
        <v>15000</v>
      </c>
      <c r="Q149" s="26">
        <v>15000</v>
      </c>
      <c r="R149" s="26">
        <v>15000</v>
      </c>
      <c r="S149" s="27">
        <f t="shared" si="2"/>
        <v>180000</v>
      </c>
    </row>
    <row r="150" spans="1:19" hidden="1" x14ac:dyDescent="0.3">
      <c r="A150" s="16" t="s">
        <v>705</v>
      </c>
      <c r="B150" s="16" t="s">
        <v>669</v>
      </c>
      <c r="C150" s="16">
        <v>613003</v>
      </c>
      <c r="D150" s="16" t="s">
        <v>572</v>
      </c>
      <c r="E150" s="16" t="s">
        <v>696</v>
      </c>
      <c r="F150" s="16" t="s">
        <v>693</v>
      </c>
      <c r="G150" s="26">
        <v>51000</v>
      </c>
      <c r="H150" s="26">
        <v>51000</v>
      </c>
      <c r="I150" s="26">
        <v>51000</v>
      </c>
      <c r="J150" s="26">
        <v>51000</v>
      </c>
      <c r="K150" s="26">
        <v>51000</v>
      </c>
      <c r="L150" s="26">
        <v>51000</v>
      </c>
      <c r="M150" s="26">
        <v>51000</v>
      </c>
      <c r="N150" s="26">
        <v>51000</v>
      </c>
      <c r="O150" s="26">
        <v>51000</v>
      </c>
      <c r="P150" s="26">
        <v>51000</v>
      </c>
      <c r="Q150" s="26">
        <v>51000</v>
      </c>
      <c r="R150" s="26">
        <v>51000</v>
      </c>
      <c r="S150" s="27">
        <f t="shared" si="2"/>
        <v>612000</v>
      </c>
    </row>
    <row r="151" spans="1:19" hidden="1" x14ac:dyDescent="0.3">
      <c r="A151" s="16" t="s">
        <v>705</v>
      </c>
      <c r="B151" s="16" t="s">
        <v>669</v>
      </c>
      <c r="C151" s="16">
        <v>613003</v>
      </c>
      <c r="D151" s="16" t="s">
        <v>572</v>
      </c>
      <c r="E151" s="16" t="s">
        <v>696</v>
      </c>
      <c r="F151" s="16" t="s">
        <v>693</v>
      </c>
      <c r="G151" s="26">
        <v>-25500</v>
      </c>
      <c r="H151" s="26">
        <v>-25500</v>
      </c>
      <c r="I151" s="26">
        <v>-25500</v>
      </c>
      <c r="J151" s="26">
        <v>-25500</v>
      </c>
      <c r="K151" s="26">
        <v>-25500</v>
      </c>
      <c r="L151" s="26">
        <v>-25500</v>
      </c>
      <c r="M151" s="26">
        <v>-25500</v>
      </c>
      <c r="N151" s="26">
        <v>-25500</v>
      </c>
      <c r="O151" s="26">
        <v>-25500</v>
      </c>
      <c r="P151" s="26">
        <v>-25500</v>
      </c>
      <c r="Q151" s="26">
        <v>-25500</v>
      </c>
      <c r="R151" s="26">
        <v>-25500</v>
      </c>
      <c r="S151" s="27">
        <f t="shared" si="2"/>
        <v>-306000</v>
      </c>
    </row>
    <row r="152" spans="1:19" hidden="1" x14ac:dyDescent="0.3">
      <c r="A152" s="16" t="s">
        <v>705</v>
      </c>
      <c r="B152" s="16" t="s">
        <v>617</v>
      </c>
      <c r="C152" s="16">
        <v>613003</v>
      </c>
      <c r="D152" s="16" t="s">
        <v>572</v>
      </c>
      <c r="E152" s="16" t="s">
        <v>698</v>
      </c>
      <c r="F152" s="16" t="s">
        <v>693</v>
      </c>
      <c r="G152" s="26">
        <v>15000</v>
      </c>
      <c r="H152" s="26">
        <v>15000</v>
      </c>
      <c r="I152" s="26">
        <v>15000</v>
      </c>
      <c r="J152" s="26">
        <v>15000</v>
      </c>
      <c r="K152" s="26">
        <v>15000</v>
      </c>
      <c r="L152" s="26">
        <v>15000</v>
      </c>
      <c r="M152" s="26">
        <v>15000</v>
      </c>
      <c r="N152" s="26">
        <v>15000</v>
      </c>
      <c r="O152" s="26">
        <v>15000</v>
      </c>
      <c r="P152" s="26">
        <v>15000</v>
      </c>
      <c r="Q152" s="26">
        <v>15000</v>
      </c>
      <c r="R152" s="26">
        <v>15000</v>
      </c>
      <c r="S152" s="27">
        <f t="shared" si="2"/>
        <v>180000</v>
      </c>
    </row>
    <row r="153" spans="1:19" hidden="1" x14ac:dyDescent="0.3">
      <c r="A153" s="16" t="s">
        <v>705</v>
      </c>
      <c r="B153" s="16" t="s">
        <v>669</v>
      </c>
      <c r="C153" s="16">
        <v>613003</v>
      </c>
      <c r="D153" s="16" t="s">
        <v>572</v>
      </c>
      <c r="E153" s="16" t="s">
        <v>699</v>
      </c>
      <c r="F153" s="16" t="s">
        <v>693</v>
      </c>
      <c r="G153" s="26">
        <v>34000</v>
      </c>
      <c r="H153" s="26">
        <v>34000</v>
      </c>
      <c r="I153" s="26">
        <v>34000</v>
      </c>
      <c r="J153" s="26">
        <v>34000</v>
      </c>
      <c r="K153" s="26">
        <v>34000</v>
      </c>
      <c r="L153" s="26">
        <v>34000</v>
      </c>
      <c r="M153" s="26">
        <v>34000</v>
      </c>
      <c r="N153" s="26">
        <v>34000</v>
      </c>
      <c r="O153" s="26">
        <v>34000</v>
      </c>
      <c r="P153" s="26">
        <v>34000</v>
      </c>
      <c r="Q153" s="26">
        <v>34000</v>
      </c>
      <c r="R153" s="26">
        <v>34000</v>
      </c>
      <c r="S153" s="27">
        <f t="shared" si="2"/>
        <v>408000</v>
      </c>
    </row>
    <row r="154" spans="1:19" hidden="1" x14ac:dyDescent="0.3">
      <c r="A154" s="16" t="s">
        <v>705</v>
      </c>
      <c r="B154" s="16" t="s">
        <v>669</v>
      </c>
      <c r="C154" s="16">
        <v>613003</v>
      </c>
      <c r="D154" s="16" t="s">
        <v>572</v>
      </c>
      <c r="E154" s="16" t="s">
        <v>700</v>
      </c>
      <c r="F154" s="16" t="s">
        <v>693</v>
      </c>
      <c r="G154" s="26">
        <v>51000</v>
      </c>
      <c r="H154" s="26">
        <v>0</v>
      </c>
      <c r="I154" s="26">
        <v>0</v>
      </c>
      <c r="J154" s="26">
        <v>0</v>
      </c>
      <c r="K154" s="26">
        <v>0</v>
      </c>
      <c r="L154" s="26">
        <v>0</v>
      </c>
      <c r="M154" s="26">
        <v>0</v>
      </c>
      <c r="N154" s="26">
        <v>0</v>
      </c>
      <c r="O154" s="26">
        <v>0</v>
      </c>
      <c r="P154" s="26">
        <v>0</v>
      </c>
      <c r="Q154" s="26">
        <v>0</v>
      </c>
      <c r="R154" s="26">
        <v>0</v>
      </c>
      <c r="S154" s="27">
        <f t="shared" si="2"/>
        <v>51000</v>
      </c>
    </row>
    <row r="155" spans="1:19" hidden="1" x14ac:dyDescent="0.3">
      <c r="A155" s="16" t="s">
        <v>705</v>
      </c>
      <c r="B155" s="16" t="s">
        <v>669</v>
      </c>
      <c r="C155" s="16">
        <v>613003</v>
      </c>
      <c r="D155" s="16" t="s">
        <v>572</v>
      </c>
      <c r="E155" s="16" t="s">
        <v>701</v>
      </c>
      <c r="F155" s="16" t="s">
        <v>693</v>
      </c>
      <c r="G155" s="26">
        <v>20000</v>
      </c>
      <c r="H155" s="26">
        <v>20000</v>
      </c>
      <c r="I155" s="26">
        <v>20000</v>
      </c>
      <c r="J155" s="26">
        <v>0</v>
      </c>
      <c r="K155" s="26">
        <v>0</v>
      </c>
      <c r="L155" s="26">
        <v>0</v>
      </c>
      <c r="M155" s="26">
        <v>0</v>
      </c>
      <c r="N155" s="26">
        <v>0</v>
      </c>
      <c r="O155" s="26">
        <v>0</v>
      </c>
      <c r="P155" s="26">
        <v>0</v>
      </c>
      <c r="Q155" s="26">
        <v>0</v>
      </c>
      <c r="R155" s="26">
        <v>0</v>
      </c>
      <c r="S155" s="27">
        <f t="shared" si="2"/>
        <v>60000</v>
      </c>
    </row>
    <row r="156" spans="1:19" hidden="1" x14ac:dyDescent="0.3">
      <c r="A156" s="16" t="s">
        <v>705</v>
      </c>
      <c r="B156" s="16" t="s">
        <v>669</v>
      </c>
      <c r="C156" s="16">
        <v>613003</v>
      </c>
      <c r="D156" s="16" t="s">
        <v>572</v>
      </c>
      <c r="E156" s="16" t="s">
        <v>700</v>
      </c>
      <c r="F156" s="16" t="s">
        <v>693</v>
      </c>
      <c r="G156" s="26">
        <v>-25500</v>
      </c>
      <c r="H156" s="26">
        <v>0</v>
      </c>
      <c r="I156" s="26">
        <v>0</v>
      </c>
      <c r="J156" s="26">
        <v>0</v>
      </c>
      <c r="K156" s="26">
        <v>0</v>
      </c>
      <c r="L156" s="26">
        <v>0</v>
      </c>
      <c r="M156" s="26">
        <v>0</v>
      </c>
      <c r="N156" s="26">
        <v>0</v>
      </c>
      <c r="O156" s="26">
        <v>0</v>
      </c>
      <c r="P156" s="26">
        <v>0</v>
      </c>
      <c r="Q156" s="26">
        <v>0</v>
      </c>
      <c r="R156" s="26">
        <v>0</v>
      </c>
      <c r="S156" s="27">
        <f t="shared" si="2"/>
        <v>-25500</v>
      </c>
    </row>
    <row r="157" spans="1:19" hidden="1" x14ac:dyDescent="0.3">
      <c r="A157" s="16" t="s">
        <v>705</v>
      </c>
      <c r="B157" s="16" t="s">
        <v>669</v>
      </c>
      <c r="C157" s="16">
        <v>613003</v>
      </c>
      <c r="D157" s="16" t="s">
        <v>572</v>
      </c>
      <c r="E157" s="16" t="s">
        <v>701</v>
      </c>
      <c r="F157" s="16" t="s">
        <v>693</v>
      </c>
      <c r="G157" s="26">
        <v>-10000</v>
      </c>
      <c r="H157" s="26">
        <v>-10000</v>
      </c>
      <c r="I157" s="26">
        <v>-10000</v>
      </c>
      <c r="J157" s="26">
        <v>0</v>
      </c>
      <c r="K157" s="26">
        <v>0</v>
      </c>
      <c r="L157" s="26">
        <v>0</v>
      </c>
      <c r="M157" s="26">
        <v>0</v>
      </c>
      <c r="N157" s="26">
        <v>0</v>
      </c>
      <c r="O157" s="26">
        <v>0</v>
      </c>
      <c r="P157" s="26">
        <v>0</v>
      </c>
      <c r="Q157" s="26">
        <v>0</v>
      </c>
      <c r="R157" s="26">
        <v>0</v>
      </c>
      <c r="S157" s="27">
        <f t="shared" si="2"/>
        <v>-30000</v>
      </c>
    </row>
    <row r="158" spans="1:19" hidden="1" x14ac:dyDescent="0.3">
      <c r="A158" s="16" t="s">
        <v>705</v>
      </c>
      <c r="B158" s="16" t="s">
        <v>669</v>
      </c>
      <c r="C158" s="16">
        <v>613003</v>
      </c>
      <c r="D158" s="16" t="s">
        <v>572</v>
      </c>
      <c r="E158" s="16" t="s">
        <v>702</v>
      </c>
      <c r="F158" s="16" t="s">
        <v>693</v>
      </c>
      <c r="G158" s="26">
        <v>51000</v>
      </c>
      <c r="H158" s="26">
        <v>51000</v>
      </c>
      <c r="I158" s="26">
        <v>51000</v>
      </c>
      <c r="J158" s="26">
        <v>0</v>
      </c>
      <c r="K158" s="26">
        <v>0</v>
      </c>
      <c r="L158" s="26">
        <v>0</v>
      </c>
      <c r="M158" s="26">
        <v>0</v>
      </c>
      <c r="N158" s="26">
        <v>0</v>
      </c>
      <c r="O158" s="26">
        <v>0</v>
      </c>
      <c r="P158" s="26">
        <v>0</v>
      </c>
      <c r="Q158" s="26">
        <v>0</v>
      </c>
      <c r="R158" s="26">
        <v>0</v>
      </c>
      <c r="S158" s="27">
        <f t="shared" si="2"/>
        <v>153000</v>
      </c>
    </row>
    <row r="159" spans="1:19" hidden="1" x14ac:dyDescent="0.3">
      <c r="A159" s="16" t="s">
        <v>705</v>
      </c>
      <c r="B159" s="16" t="s">
        <v>669</v>
      </c>
      <c r="C159" s="16">
        <v>613003</v>
      </c>
      <c r="D159" s="16" t="s">
        <v>572</v>
      </c>
      <c r="E159" s="16" t="s">
        <v>701</v>
      </c>
      <c r="F159" s="16" t="s">
        <v>693</v>
      </c>
      <c r="G159" s="26">
        <v>-10000</v>
      </c>
      <c r="H159" s="26">
        <v>-10000</v>
      </c>
      <c r="I159" s="26">
        <v>-10000</v>
      </c>
      <c r="J159" s="26">
        <v>0</v>
      </c>
      <c r="K159" s="26">
        <v>0</v>
      </c>
      <c r="L159" s="26">
        <v>0</v>
      </c>
      <c r="M159" s="26">
        <v>0</v>
      </c>
      <c r="N159" s="26">
        <v>0</v>
      </c>
      <c r="O159" s="26">
        <v>0</v>
      </c>
      <c r="P159" s="26">
        <v>0</v>
      </c>
      <c r="Q159" s="26">
        <v>0</v>
      </c>
      <c r="R159" s="26">
        <v>0</v>
      </c>
      <c r="S159" s="27">
        <f t="shared" si="2"/>
        <v>-30000</v>
      </c>
    </row>
    <row r="160" spans="1:19" hidden="1" x14ac:dyDescent="0.3">
      <c r="A160" s="16" t="s">
        <v>705</v>
      </c>
      <c r="B160" s="16" t="s">
        <v>669</v>
      </c>
      <c r="C160" s="16">
        <v>613003</v>
      </c>
      <c r="D160" s="16" t="s">
        <v>572</v>
      </c>
      <c r="E160" s="16" t="s">
        <v>702</v>
      </c>
      <c r="F160" s="16" t="s">
        <v>693</v>
      </c>
      <c r="G160" s="26">
        <v>-25500</v>
      </c>
      <c r="H160" s="26">
        <v>-25500</v>
      </c>
      <c r="I160" s="26">
        <v>-25500</v>
      </c>
      <c r="J160" s="26">
        <v>0</v>
      </c>
      <c r="K160" s="26">
        <v>0</v>
      </c>
      <c r="L160" s="26">
        <v>0</v>
      </c>
      <c r="M160" s="26">
        <v>0</v>
      </c>
      <c r="N160" s="26">
        <v>0</v>
      </c>
      <c r="O160" s="26">
        <v>0</v>
      </c>
      <c r="P160" s="26">
        <v>0</v>
      </c>
      <c r="Q160" s="26">
        <v>0</v>
      </c>
      <c r="R160" s="26">
        <v>0</v>
      </c>
      <c r="S160" s="27">
        <f t="shared" si="2"/>
        <v>-76500</v>
      </c>
    </row>
    <row r="161" spans="1:26" hidden="1" x14ac:dyDescent="0.3">
      <c r="A161" s="16" t="s">
        <v>705</v>
      </c>
      <c r="B161" s="16" t="s">
        <v>669</v>
      </c>
      <c r="C161" s="16">
        <v>613003</v>
      </c>
      <c r="D161" s="16" t="s">
        <v>572</v>
      </c>
      <c r="E161" s="16" t="s">
        <v>703</v>
      </c>
      <c r="F161" s="16" t="s">
        <v>693</v>
      </c>
      <c r="G161" s="26">
        <v>24000</v>
      </c>
      <c r="H161" s="26">
        <v>24000</v>
      </c>
      <c r="I161" s="26">
        <v>24000</v>
      </c>
      <c r="J161" s="26">
        <v>24000</v>
      </c>
      <c r="K161" s="26">
        <v>24000</v>
      </c>
      <c r="L161" s="26">
        <v>24000</v>
      </c>
      <c r="M161" s="26">
        <v>24000</v>
      </c>
      <c r="N161" s="26">
        <v>24000</v>
      </c>
      <c r="O161" s="26">
        <v>24000</v>
      </c>
      <c r="P161" s="26">
        <v>24000</v>
      </c>
      <c r="Q161" s="26">
        <v>24000</v>
      </c>
      <c r="R161" s="26">
        <v>24000</v>
      </c>
      <c r="S161" s="27">
        <f t="shared" si="2"/>
        <v>288000</v>
      </c>
    </row>
    <row r="162" spans="1:26" hidden="1" x14ac:dyDescent="0.3">
      <c r="U162" s="27">
        <f>U94+U95</f>
        <v>699277.26</v>
      </c>
      <c r="V162" s="27">
        <f>U162*4</f>
        <v>2797109.04</v>
      </c>
    </row>
    <row r="163" spans="1:26" hidden="1" x14ac:dyDescent="0.3">
      <c r="V163" s="16">
        <f>2674000</f>
        <v>2674000</v>
      </c>
      <c r="X163" s="16">
        <f>685*4</f>
        <v>2740</v>
      </c>
    </row>
    <row r="164" spans="1:26" hidden="1" x14ac:dyDescent="0.3">
      <c r="V164" s="27">
        <f>V162-V163</f>
        <v>123109.04000000004</v>
      </c>
    </row>
    <row r="168" spans="1:26" x14ac:dyDescent="0.3">
      <c r="U168" s="29" t="s">
        <v>758</v>
      </c>
      <c r="V168" s="16" t="s">
        <v>667</v>
      </c>
      <c r="W168" s="26">
        <v>250000.00000000003</v>
      </c>
    </row>
    <row r="169" spans="1:26" x14ac:dyDescent="0.3">
      <c r="U169" s="29" t="s">
        <v>758</v>
      </c>
      <c r="V169" s="16" t="s">
        <v>662</v>
      </c>
      <c r="W169" s="26">
        <v>87210.749999999985</v>
      </c>
    </row>
    <row r="171" spans="1:26" x14ac:dyDescent="0.3">
      <c r="S171" s="16">
        <f>3933.14-3849.12</f>
        <v>84.019999999999982</v>
      </c>
    </row>
    <row r="172" spans="1:26" x14ac:dyDescent="0.3">
      <c r="F172" s="26">
        <f>S171*12</f>
        <v>1008.2399999999998</v>
      </c>
    </row>
    <row r="174" spans="1:26" x14ac:dyDescent="0.3">
      <c r="Z174" s="16">
        <f>674*4</f>
        <v>2696</v>
      </c>
    </row>
    <row r="179" spans="25:25" x14ac:dyDescent="0.3">
      <c r="Y179" s="16">
        <f>1165</f>
        <v>1165</v>
      </c>
    </row>
    <row r="180" spans="25:25" x14ac:dyDescent="0.3">
      <c r="Y180" s="16">
        <v>737</v>
      </c>
    </row>
    <row r="181" spans="25:25" x14ac:dyDescent="0.3">
      <c r="Y181" s="16">
        <f>Y179-Y180</f>
        <v>428</v>
      </c>
    </row>
  </sheetData>
  <autoFilter ref="A1:R164" xr:uid="{FB4D630E-3F5A-4317-9790-696AEE289C01}">
    <filterColumn colId="2">
      <filters>
        <filter val="613025"/>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1D2E-1FB5-4DBB-95C9-0BAF4FAB6171}">
  <sheetPr>
    <tabColor theme="9" tint="0.59999389629810485"/>
  </sheetPr>
  <dimension ref="A1:AB43"/>
  <sheetViews>
    <sheetView topLeftCell="Q1" workbookViewId="0">
      <selection activeCell="A15" sqref="A15"/>
    </sheetView>
  </sheetViews>
  <sheetFormatPr defaultRowHeight="14.4" outlineLevelCol="1" x14ac:dyDescent="0.3"/>
  <cols>
    <col min="3" max="3" width="0" hidden="1" customWidth="1" outlineLevel="1"/>
    <col min="4" max="4" width="0" hidden="1" customWidth="1" collapsed="1"/>
    <col min="5" max="5" width="0" hidden="1" customWidth="1"/>
    <col min="6" max="6" width="16.21875" bestFit="1" customWidth="1"/>
    <col min="7" max="7" width="21.44140625" customWidth="1"/>
    <col min="8" max="8" width="0" hidden="1" customWidth="1"/>
    <col min="9" max="9" width="12.21875" bestFit="1" customWidth="1"/>
    <col min="10" max="10" width="0" hidden="1" customWidth="1"/>
    <col min="11" max="11" width="36.44140625" customWidth="1"/>
    <col min="12" max="13" width="0" hidden="1" customWidth="1"/>
  </cols>
  <sheetData>
    <row r="1" spans="1:28" x14ac:dyDescent="0.3">
      <c r="A1" s="9" t="s">
        <v>684</v>
      </c>
      <c r="AB1" s="44">
        <f>SUM(AB3:AB12)</f>
        <v>932999.99998800003</v>
      </c>
    </row>
    <row r="2" spans="1:28" x14ac:dyDescent="0.3">
      <c r="A2" s="65" t="s">
        <v>22</v>
      </c>
      <c r="B2" s="65" t="s">
        <v>23</v>
      </c>
      <c r="C2" s="65" t="s">
        <v>24</v>
      </c>
      <c r="D2" s="65" t="s">
        <v>25</v>
      </c>
      <c r="E2" s="65" t="s">
        <v>26</v>
      </c>
      <c r="F2" s="65" t="s">
        <v>27</v>
      </c>
      <c r="G2" s="65" t="s">
        <v>28</v>
      </c>
      <c r="H2" s="65" t="s">
        <v>29</v>
      </c>
      <c r="I2" s="65" t="s">
        <v>30</v>
      </c>
      <c r="J2" s="65" t="s">
        <v>31</v>
      </c>
      <c r="K2" s="65" t="s">
        <v>32</v>
      </c>
      <c r="L2" s="65" t="s">
        <v>33</v>
      </c>
      <c r="M2" s="65" t="s">
        <v>34</v>
      </c>
      <c r="N2" s="65" t="s">
        <v>35</v>
      </c>
      <c r="O2" s="65" t="s">
        <v>36</v>
      </c>
      <c r="P2" s="65" t="s">
        <v>37</v>
      </c>
      <c r="Q2" s="65" t="s">
        <v>38</v>
      </c>
      <c r="R2" s="65" t="s">
        <v>39</v>
      </c>
      <c r="S2" s="65" t="s">
        <v>40</v>
      </c>
      <c r="T2" s="65" t="s">
        <v>41</v>
      </c>
      <c r="U2" s="65" t="s">
        <v>42</v>
      </c>
      <c r="V2" s="65" t="s">
        <v>43</v>
      </c>
      <c r="W2" s="65" t="s">
        <v>44</v>
      </c>
      <c r="X2" s="65" t="s">
        <v>45</v>
      </c>
      <c r="Y2" s="65" t="s">
        <v>46</v>
      </c>
      <c r="Z2" s="65" t="s">
        <v>47</v>
      </c>
      <c r="AA2" s="65" t="s">
        <v>48</v>
      </c>
      <c r="AB2" s="7" t="s">
        <v>49</v>
      </c>
    </row>
    <row r="3" spans="1:28" x14ac:dyDescent="0.3">
      <c r="A3" t="str">
        <f>_xlfn.XLOOKUP(B3*1,'Reference '!I:I,'Reference '!K:K)</f>
        <v>Laurent Bellan</v>
      </c>
      <c r="B3" s="2" t="str">
        <f>LEFT(C3,3)</f>
        <v>600</v>
      </c>
      <c r="C3" s="2" t="s">
        <v>51</v>
      </c>
      <c r="D3" s="2" t="s">
        <v>51</v>
      </c>
      <c r="E3" s="2" t="s">
        <v>82</v>
      </c>
      <c r="F3" s="2" t="s">
        <v>82</v>
      </c>
      <c r="G3" s="2" t="s">
        <v>53</v>
      </c>
      <c r="H3" s="2" t="s">
        <v>53</v>
      </c>
      <c r="I3" s="2" t="s">
        <v>759</v>
      </c>
      <c r="J3" s="2" t="s">
        <v>759</v>
      </c>
      <c r="K3" s="2" t="s">
        <v>760</v>
      </c>
      <c r="L3" s="2"/>
      <c r="M3" s="2" t="s">
        <v>761</v>
      </c>
      <c r="N3" s="2" t="s">
        <v>57</v>
      </c>
      <c r="O3" s="3">
        <v>4583.3333329999996</v>
      </c>
      <c r="P3" s="3">
        <v>4583.3333329999996</v>
      </c>
      <c r="Q3" s="3">
        <v>4583.3333329999996</v>
      </c>
      <c r="R3" s="3">
        <v>4583.3333329999996</v>
      </c>
      <c r="S3" s="3">
        <v>4583.3333329999996</v>
      </c>
      <c r="T3" s="3">
        <v>4583.3333329999996</v>
      </c>
      <c r="U3" s="3">
        <v>4583.3333329999996</v>
      </c>
      <c r="V3" s="3">
        <v>4583.3333329999996</v>
      </c>
      <c r="W3" s="3">
        <v>4583.3333329999996</v>
      </c>
      <c r="X3" s="3">
        <v>4583.3333329999996</v>
      </c>
      <c r="Y3" s="3">
        <v>4583.3333329999996</v>
      </c>
      <c r="Z3" s="3">
        <v>4583.3333329999996</v>
      </c>
      <c r="AA3" s="3">
        <v>54999.999996000006</v>
      </c>
      <c r="AB3" s="8">
        <f>IF(N3="EUR",AA3,IF(N3="GBP",AA3/Rate!$C$3,AA3/Rate!$C$5))</f>
        <v>54999.999996000006</v>
      </c>
    </row>
    <row r="4" spans="1:28" x14ac:dyDescent="0.3">
      <c r="A4" t="str">
        <f>_xlfn.XLOOKUP(B4*1,'Reference '!I:I,'Reference '!K:K)</f>
        <v>Laurent Bellan</v>
      </c>
      <c r="B4" s="2" t="str">
        <f t="shared" ref="B4:B7" si="0">LEFT(C4,3)</f>
        <v>600</v>
      </c>
      <c r="C4" s="2" t="s">
        <v>51</v>
      </c>
      <c r="D4" s="2" t="s">
        <v>51</v>
      </c>
      <c r="E4" s="2" t="s">
        <v>217</v>
      </c>
      <c r="F4" s="2" t="s">
        <v>217</v>
      </c>
      <c r="G4" s="2" t="s">
        <v>53</v>
      </c>
      <c r="H4" s="2" t="s">
        <v>53</v>
      </c>
      <c r="I4" s="2" t="s">
        <v>759</v>
      </c>
      <c r="J4" s="2" t="s">
        <v>759</v>
      </c>
      <c r="K4" s="2" t="s">
        <v>762</v>
      </c>
      <c r="L4" s="2"/>
      <c r="M4" s="2" t="s">
        <v>761</v>
      </c>
      <c r="N4" s="2" t="s">
        <v>57</v>
      </c>
      <c r="O4" s="3">
        <v>2083.333333</v>
      </c>
      <c r="P4" s="3">
        <v>2083.333333</v>
      </c>
      <c r="Q4" s="3">
        <v>2083.333333</v>
      </c>
      <c r="R4" s="3">
        <v>2083.333333</v>
      </c>
      <c r="S4" s="3">
        <v>2083.333333</v>
      </c>
      <c r="T4" s="3">
        <v>2083.333333</v>
      </c>
      <c r="U4" s="3">
        <v>2083.333333</v>
      </c>
      <c r="V4" s="3">
        <v>2083.333333</v>
      </c>
      <c r="W4" s="3">
        <v>2083.333333</v>
      </c>
      <c r="X4" s="3">
        <v>2083.333333</v>
      </c>
      <c r="Y4" s="3">
        <v>2083.333333</v>
      </c>
      <c r="Z4" s="3">
        <v>2083.333333</v>
      </c>
      <c r="AA4" s="3">
        <v>24999.999995999995</v>
      </c>
      <c r="AB4" s="8">
        <f>IF(N4="EUR",AA4,IF(N4="GBP",AA4/Rate!$C$3,AA4/Rate!$C$5))</f>
        <v>24999.999995999995</v>
      </c>
    </row>
    <row r="5" spans="1:28" x14ac:dyDescent="0.3">
      <c r="A5" t="str">
        <f>_xlfn.XLOOKUP(B5*1,'Reference '!I:I,'Reference '!K:K)</f>
        <v>Laurent Bellan</v>
      </c>
      <c r="B5" s="2" t="str">
        <f t="shared" si="0"/>
        <v>600</v>
      </c>
      <c r="C5" s="2" t="s">
        <v>51</v>
      </c>
      <c r="D5" s="2" t="s">
        <v>51</v>
      </c>
      <c r="E5" s="2" t="s">
        <v>200</v>
      </c>
      <c r="F5" s="2" t="s">
        <v>200</v>
      </c>
      <c r="G5" s="2" t="s">
        <v>53</v>
      </c>
      <c r="H5" s="2" t="s">
        <v>53</v>
      </c>
      <c r="I5" s="2" t="s">
        <v>759</v>
      </c>
      <c r="J5" s="2" t="s">
        <v>759</v>
      </c>
      <c r="K5" s="2" t="s">
        <v>763</v>
      </c>
      <c r="L5" s="2"/>
      <c r="M5" s="2" t="s">
        <v>761</v>
      </c>
      <c r="N5" s="2" t="s">
        <v>57</v>
      </c>
      <c r="O5" s="3">
        <v>15958.333329999999</v>
      </c>
      <c r="P5" s="3">
        <v>15958.333329999999</v>
      </c>
      <c r="Q5" s="3">
        <v>15958.333329999999</v>
      </c>
      <c r="R5" s="3">
        <v>15958.333329999999</v>
      </c>
      <c r="S5" s="3">
        <v>15958.333329999999</v>
      </c>
      <c r="T5" s="3">
        <v>15958.333329999999</v>
      </c>
      <c r="U5" s="3">
        <v>15958.333329999999</v>
      </c>
      <c r="V5" s="3">
        <v>15958.333329999999</v>
      </c>
      <c r="W5" s="3">
        <v>15958.333329999999</v>
      </c>
      <c r="X5" s="3">
        <v>15958.333329999999</v>
      </c>
      <c r="Y5" s="3">
        <v>15958.333329999999</v>
      </c>
      <c r="Z5" s="3">
        <v>15958.333329999999</v>
      </c>
      <c r="AA5" s="3">
        <v>191499.99995999996</v>
      </c>
      <c r="AB5" s="8">
        <f>IF(N5="EUR",AA5,IF(N5="GBP",AA5/Rate!$C$3,AA5/Rate!$C$5))</f>
        <v>191499.99995999996</v>
      </c>
    </row>
    <row r="6" spans="1:28" x14ac:dyDescent="0.3">
      <c r="A6" t="str">
        <f>_xlfn.XLOOKUP(B6*1,'Reference '!I:I,'Reference '!K:K)</f>
        <v>Laurent Bellan</v>
      </c>
      <c r="B6" s="2" t="str">
        <f t="shared" si="0"/>
        <v>600</v>
      </c>
      <c r="C6" s="2" t="s">
        <v>51</v>
      </c>
      <c r="D6" s="2" t="s">
        <v>51</v>
      </c>
      <c r="E6" s="2" t="s">
        <v>82</v>
      </c>
      <c r="F6" s="2" t="s">
        <v>82</v>
      </c>
      <c r="G6" s="2" t="s">
        <v>53</v>
      </c>
      <c r="H6" s="2" t="s">
        <v>53</v>
      </c>
      <c r="I6" s="2" t="s">
        <v>759</v>
      </c>
      <c r="J6" s="2" t="s">
        <v>759</v>
      </c>
      <c r="K6" s="2" t="s">
        <v>764</v>
      </c>
      <c r="L6" s="2"/>
      <c r="M6" s="2" t="s">
        <v>761</v>
      </c>
      <c r="N6" s="2" t="s">
        <v>57</v>
      </c>
      <c r="O6" s="3">
        <v>5833.3333329999996</v>
      </c>
      <c r="P6" s="3">
        <v>5833.3333329999996</v>
      </c>
      <c r="Q6" s="3">
        <v>5833.3333329999996</v>
      </c>
      <c r="R6" s="3">
        <v>5833.3333329999996</v>
      </c>
      <c r="S6" s="3">
        <v>5833.3333329999996</v>
      </c>
      <c r="T6" s="3">
        <v>5833.3333329999996</v>
      </c>
      <c r="U6" s="3">
        <v>5833.3333329999996</v>
      </c>
      <c r="V6" s="3">
        <v>5833.3333329999996</v>
      </c>
      <c r="W6" s="3">
        <v>5833.3333329999996</v>
      </c>
      <c r="X6" s="3">
        <v>5833.3333329999996</v>
      </c>
      <c r="Y6" s="3">
        <v>5833.3333329999996</v>
      </c>
      <c r="Z6" s="3">
        <v>5833.3333329999996</v>
      </c>
      <c r="AA6" s="3">
        <v>69999.999996000013</v>
      </c>
      <c r="AB6" s="8">
        <f>IF(N6="EUR",AA6,IF(N6="GBP",AA6/Rate!$C$3,AA6/Rate!$C$5))</f>
        <v>69999.999996000013</v>
      </c>
    </row>
    <row r="7" spans="1:28" x14ac:dyDescent="0.3">
      <c r="A7" t="str">
        <f>_xlfn.XLOOKUP(B7*1,'Reference '!I:I,'Reference '!K:K)</f>
        <v>Laurent Bellan</v>
      </c>
      <c r="B7" s="2" t="str">
        <f t="shared" si="0"/>
        <v>600</v>
      </c>
      <c r="C7" s="2" t="s">
        <v>51</v>
      </c>
      <c r="D7" s="2" t="s">
        <v>51</v>
      </c>
      <c r="E7" s="2" t="s">
        <v>82</v>
      </c>
      <c r="F7" s="2" t="s">
        <v>82</v>
      </c>
      <c r="G7" s="2" t="s">
        <v>53</v>
      </c>
      <c r="H7" s="2" t="s">
        <v>53</v>
      </c>
      <c r="I7" s="2" t="s">
        <v>759</v>
      </c>
      <c r="J7" s="2" t="s">
        <v>759</v>
      </c>
      <c r="K7" s="2" t="s">
        <v>765</v>
      </c>
      <c r="L7" s="2"/>
      <c r="M7" s="2" t="s">
        <v>761</v>
      </c>
      <c r="N7" s="2" t="s">
        <v>57</v>
      </c>
      <c r="O7" s="3">
        <v>10416.666670000001</v>
      </c>
      <c r="P7" s="3">
        <v>10416.666670000001</v>
      </c>
      <c r="Q7" s="3">
        <v>10416.666670000001</v>
      </c>
      <c r="R7" s="3">
        <v>10416.666670000001</v>
      </c>
      <c r="S7" s="3">
        <v>10416.666670000001</v>
      </c>
      <c r="T7" s="3">
        <v>10416.666670000001</v>
      </c>
      <c r="U7" s="3">
        <v>10416.666670000001</v>
      </c>
      <c r="V7" s="3">
        <v>10416.666670000001</v>
      </c>
      <c r="W7" s="3">
        <v>10416.666670000001</v>
      </c>
      <c r="X7" s="3">
        <v>10416.666670000001</v>
      </c>
      <c r="Y7" s="3">
        <v>10416.666670000001</v>
      </c>
      <c r="Z7" s="3">
        <v>10416.666670000001</v>
      </c>
      <c r="AA7" s="3">
        <v>125000.00004000003</v>
      </c>
      <c r="AB7" s="8">
        <f>IF(N7="EUR",AA7,IF(N7="GBP",AA7/Rate!$C$3,AA7/Rate!$C$5))</f>
        <v>125000.00004000003</v>
      </c>
    </row>
    <row r="8" spans="1:28" x14ac:dyDescent="0.3">
      <c r="A8" t="str">
        <f>_xlfn.XLOOKUP(B8*1,'Reference '!I:I,'Reference '!K:K)</f>
        <v>Laurent Bellan</v>
      </c>
      <c r="B8" s="63" t="s">
        <v>512</v>
      </c>
      <c r="C8" s="63" t="s">
        <v>51</v>
      </c>
      <c r="D8" s="63"/>
      <c r="E8" s="63"/>
      <c r="F8" s="63">
        <v>599001</v>
      </c>
      <c r="G8" s="63" t="s">
        <v>53</v>
      </c>
      <c r="H8" s="63" t="s">
        <v>53</v>
      </c>
      <c r="I8" s="63" t="s">
        <v>759</v>
      </c>
      <c r="J8" s="77"/>
      <c r="K8" s="2" t="s">
        <v>760</v>
      </c>
      <c r="L8" s="77"/>
      <c r="M8" s="77"/>
      <c r="N8" s="63" t="s">
        <v>57</v>
      </c>
      <c r="O8" s="77">
        <f t="shared" ref="O8:Z8" si="1">55000/12</f>
        <v>4583.333333333333</v>
      </c>
      <c r="P8" s="77">
        <f t="shared" si="1"/>
        <v>4583.333333333333</v>
      </c>
      <c r="Q8" s="77">
        <f t="shared" si="1"/>
        <v>4583.333333333333</v>
      </c>
      <c r="R8" s="77">
        <f t="shared" si="1"/>
        <v>4583.333333333333</v>
      </c>
      <c r="S8" s="77">
        <f t="shared" si="1"/>
        <v>4583.333333333333</v>
      </c>
      <c r="T8" s="77">
        <f t="shared" si="1"/>
        <v>4583.333333333333</v>
      </c>
      <c r="U8" s="77">
        <f t="shared" si="1"/>
        <v>4583.333333333333</v>
      </c>
      <c r="V8" s="77">
        <f t="shared" si="1"/>
        <v>4583.333333333333</v>
      </c>
      <c r="W8" s="77">
        <f t="shared" si="1"/>
        <v>4583.333333333333</v>
      </c>
      <c r="X8" s="77">
        <f t="shared" si="1"/>
        <v>4583.333333333333</v>
      </c>
      <c r="Y8" s="77">
        <f t="shared" si="1"/>
        <v>4583.333333333333</v>
      </c>
      <c r="Z8" s="77">
        <f t="shared" si="1"/>
        <v>4583.333333333333</v>
      </c>
      <c r="AA8" s="77">
        <f>SUM(O8:Z8)</f>
        <v>55000.000000000007</v>
      </c>
      <c r="AB8" s="8">
        <f>IF(N8="EUR",AA8,IF(N8="GBP",AA8/Rate!$C$3,AA8/Rate!$C$5))</f>
        <v>55000.000000000007</v>
      </c>
    </row>
    <row r="9" spans="1:28" x14ac:dyDescent="0.3">
      <c r="A9" t="str">
        <f>_xlfn.XLOOKUP(B9*1,'Reference '!I:I,'Reference '!K:K)</f>
        <v>Laurent Bellan</v>
      </c>
      <c r="B9" s="63" t="s">
        <v>512</v>
      </c>
      <c r="C9" s="63" t="s">
        <v>51</v>
      </c>
      <c r="D9" s="63"/>
      <c r="E9" s="63"/>
      <c r="F9" s="63">
        <v>599001</v>
      </c>
      <c r="G9" s="63" t="s">
        <v>53</v>
      </c>
      <c r="H9" s="63" t="s">
        <v>53</v>
      </c>
      <c r="I9" s="63" t="s">
        <v>759</v>
      </c>
      <c r="J9" s="77"/>
      <c r="K9" s="2" t="s">
        <v>762</v>
      </c>
      <c r="L9" s="77"/>
      <c r="M9" s="77"/>
      <c r="N9" s="63" t="s">
        <v>57</v>
      </c>
      <c r="O9" s="77">
        <f t="shared" ref="O9:Z9" si="2">25000/12</f>
        <v>2083.3333333333335</v>
      </c>
      <c r="P9" s="77">
        <f t="shared" si="2"/>
        <v>2083.3333333333335</v>
      </c>
      <c r="Q9" s="77">
        <f t="shared" si="2"/>
        <v>2083.3333333333335</v>
      </c>
      <c r="R9" s="77">
        <f t="shared" si="2"/>
        <v>2083.3333333333335</v>
      </c>
      <c r="S9" s="77">
        <f t="shared" si="2"/>
        <v>2083.3333333333335</v>
      </c>
      <c r="T9" s="77">
        <f t="shared" si="2"/>
        <v>2083.3333333333335</v>
      </c>
      <c r="U9" s="77">
        <f t="shared" si="2"/>
        <v>2083.3333333333335</v>
      </c>
      <c r="V9" s="77">
        <f t="shared" si="2"/>
        <v>2083.3333333333335</v>
      </c>
      <c r="W9" s="77">
        <f t="shared" si="2"/>
        <v>2083.3333333333335</v>
      </c>
      <c r="X9" s="77">
        <f t="shared" si="2"/>
        <v>2083.3333333333335</v>
      </c>
      <c r="Y9" s="77">
        <f t="shared" si="2"/>
        <v>2083.3333333333335</v>
      </c>
      <c r="Z9" s="77">
        <f t="shared" si="2"/>
        <v>2083.3333333333335</v>
      </c>
      <c r="AA9" s="77">
        <f>SUM(O9:Z9)</f>
        <v>24999.999999999996</v>
      </c>
      <c r="AB9" s="8">
        <f>IF(N9="EUR",AA9,IF(N9="GBP",AA9/Rate!$C$3,AA9/Rate!$C$5))</f>
        <v>24999.999999999996</v>
      </c>
    </row>
    <row r="10" spans="1:28" x14ac:dyDescent="0.3">
      <c r="A10" t="str">
        <f>_xlfn.XLOOKUP(B10*1,'Reference '!I:I,'Reference '!K:K)</f>
        <v>Laurent Bellan</v>
      </c>
      <c r="B10" s="63" t="s">
        <v>512</v>
      </c>
      <c r="C10" s="63" t="s">
        <v>51</v>
      </c>
      <c r="D10" s="63"/>
      <c r="E10" s="63"/>
      <c r="F10" s="63">
        <v>599001</v>
      </c>
      <c r="G10" s="63" t="s">
        <v>53</v>
      </c>
      <c r="H10" s="63" t="s">
        <v>53</v>
      </c>
      <c r="I10" s="63" t="s">
        <v>759</v>
      </c>
      <c r="J10" s="77"/>
      <c r="K10" s="2" t="s">
        <v>763</v>
      </c>
      <c r="L10" s="77"/>
      <c r="M10" s="77"/>
      <c r="N10" s="63" t="s">
        <v>57</v>
      </c>
      <c r="O10" s="77">
        <f t="shared" ref="O10:Z10" si="3">191500/12</f>
        <v>15958.333333333334</v>
      </c>
      <c r="P10" s="77">
        <f t="shared" si="3"/>
        <v>15958.333333333334</v>
      </c>
      <c r="Q10" s="77">
        <f t="shared" si="3"/>
        <v>15958.333333333334</v>
      </c>
      <c r="R10" s="77">
        <f t="shared" si="3"/>
        <v>15958.333333333334</v>
      </c>
      <c r="S10" s="77">
        <f t="shared" si="3"/>
        <v>15958.333333333334</v>
      </c>
      <c r="T10" s="77">
        <f t="shared" si="3"/>
        <v>15958.333333333334</v>
      </c>
      <c r="U10" s="77">
        <f t="shared" si="3"/>
        <v>15958.333333333334</v>
      </c>
      <c r="V10" s="77">
        <f t="shared" si="3"/>
        <v>15958.333333333334</v>
      </c>
      <c r="W10" s="77">
        <f t="shared" si="3"/>
        <v>15958.333333333334</v>
      </c>
      <c r="X10" s="77">
        <f t="shared" si="3"/>
        <v>15958.333333333334</v>
      </c>
      <c r="Y10" s="77">
        <f t="shared" si="3"/>
        <v>15958.333333333334</v>
      </c>
      <c r="Z10" s="77">
        <f t="shared" si="3"/>
        <v>15958.333333333334</v>
      </c>
      <c r="AA10" s="77">
        <f>SUM(O10:Z10)</f>
        <v>191500.00000000003</v>
      </c>
      <c r="AB10" s="8">
        <f>IF(N10="EUR",AA10,IF(N10="GBP",AA10/Rate!$C$3,AA10/Rate!$C$5))</f>
        <v>191500.00000000003</v>
      </c>
    </row>
    <row r="11" spans="1:28" x14ac:dyDescent="0.3">
      <c r="A11" t="str">
        <f>_xlfn.XLOOKUP(B11*1,'Reference '!I:I,'Reference '!K:K)</f>
        <v>Laurent Bellan</v>
      </c>
      <c r="B11" s="63" t="s">
        <v>512</v>
      </c>
      <c r="C11" s="63" t="s">
        <v>51</v>
      </c>
      <c r="D11" s="63"/>
      <c r="E11" s="63"/>
      <c r="F11" s="63">
        <v>599001</v>
      </c>
      <c r="G11" s="63" t="s">
        <v>53</v>
      </c>
      <c r="H11" s="63" t="s">
        <v>53</v>
      </c>
      <c r="I11" s="63" t="s">
        <v>759</v>
      </c>
      <c r="J11" s="77"/>
      <c r="K11" s="2" t="s">
        <v>764</v>
      </c>
      <c r="L11" s="77"/>
      <c r="M11" s="77"/>
      <c r="N11" s="63" t="s">
        <v>57</v>
      </c>
      <c r="O11" s="77">
        <f t="shared" ref="O11:Z11" si="4">70000/12</f>
        <v>5833.333333333333</v>
      </c>
      <c r="P11" s="77">
        <f t="shared" si="4"/>
        <v>5833.333333333333</v>
      </c>
      <c r="Q11" s="77">
        <f t="shared" si="4"/>
        <v>5833.333333333333</v>
      </c>
      <c r="R11" s="77">
        <f t="shared" si="4"/>
        <v>5833.333333333333</v>
      </c>
      <c r="S11" s="77">
        <f t="shared" si="4"/>
        <v>5833.333333333333</v>
      </c>
      <c r="T11" s="77">
        <f t="shared" si="4"/>
        <v>5833.333333333333</v>
      </c>
      <c r="U11" s="77">
        <f t="shared" si="4"/>
        <v>5833.333333333333</v>
      </c>
      <c r="V11" s="77">
        <f t="shared" si="4"/>
        <v>5833.333333333333</v>
      </c>
      <c r="W11" s="77">
        <f t="shared" si="4"/>
        <v>5833.333333333333</v>
      </c>
      <c r="X11" s="77">
        <f t="shared" si="4"/>
        <v>5833.333333333333</v>
      </c>
      <c r="Y11" s="77">
        <f t="shared" si="4"/>
        <v>5833.333333333333</v>
      </c>
      <c r="Z11" s="77">
        <f t="shared" si="4"/>
        <v>5833.333333333333</v>
      </c>
      <c r="AA11" s="77">
        <f>SUM(O11:Z11)</f>
        <v>70000.000000000015</v>
      </c>
      <c r="AB11" s="8">
        <f>IF(N11="EUR",AA11,IF(N11="GBP",AA11/Rate!$C$3,AA11/Rate!$C$5))</f>
        <v>70000.000000000015</v>
      </c>
    </row>
    <row r="12" spans="1:28" x14ac:dyDescent="0.3">
      <c r="A12" t="str">
        <f>_xlfn.XLOOKUP(B12*1,'Reference '!I:I,'Reference '!K:K)</f>
        <v>Laurent Bellan</v>
      </c>
      <c r="B12" s="63" t="s">
        <v>512</v>
      </c>
      <c r="C12" s="63" t="s">
        <v>51</v>
      </c>
      <c r="D12" s="63"/>
      <c r="E12" s="63"/>
      <c r="F12" s="63">
        <v>599001</v>
      </c>
      <c r="G12" s="63" t="s">
        <v>53</v>
      </c>
      <c r="H12" s="63" t="s">
        <v>53</v>
      </c>
      <c r="I12" s="63" t="s">
        <v>759</v>
      </c>
      <c r="J12" s="77"/>
      <c r="K12" s="2" t="s">
        <v>765</v>
      </c>
      <c r="L12" s="77"/>
      <c r="M12" s="77"/>
      <c r="N12" s="63" t="s">
        <v>57</v>
      </c>
      <c r="O12" s="77">
        <f t="shared" ref="O12:Z12" si="5">125000/12</f>
        <v>10416.666666666666</v>
      </c>
      <c r="P12" s="77">
        <f t="shared" si="5"/>
        <v>10416.666666666666</v>
      </c>
      <c r="Q12" s="77">
        <f t="shared" si="5"/>
        <v>10416.666666666666</v>
      </c>
      <c r="R12" s="77">
        <f t="shared" si="5"/>
        <v>10416.666666666666</v>
      </c>
      <c r="S12" s="77">
        <f t="shared" si="5"/>
        <v>10416.666666666666</v>
      </c>
      <c r="T12" s="77">
        <f t="shared" si="5"/>
        <v>10416.666666666666</v>
      </c>
      <c r="U12" s="77">
        <f t="shared" si="5"/>
        <v>10416.666666666666</v>
      </c>
      <c r="V12" s="77">
        <f t="shared" si="5"/>
        <v>10416.666666666666</v>
      </c>
      <c r="W12" s="77">
        <f t="shared" si="5"/>
        <v>10416.666666666666</v>
      </c>
      <c r="X12" s="77">
        <f t="shared" si="5"/>
        <v>10416.666666666666</v>
      </c>
      <c r="Y12" s="77">
        <f t="shared" si="5"/>
        <v>10416.666666666666</v>
      </c>
      <c r="Z12" s="77">
        <f t="shared" si="5"/>
        <v>10416.666666666666</v>
      </c>
      <c r="AA12" s="77">
        <f>SUM(O12:Z12)</f>
        <v>125000.00000000001</v>
      </c>
      <c r="AB12" s="8">
        <f>IF(N12="EUR",AA12,IF(N12="GBP",AA12/Rate!$C$3,AA12/Rate!$C$5))</f>
        <v>125000.00000000001</v>
      </c>
    </row>
    <row r="13" spans="1:28" x14ac:dyDescent="0.3">
      <c r="B13" s="63"/>
      <c r="C13" s="63"/>
      <c r="D13" s="63"/>
      <c r="E13" s="63"/>
      <c r="F13" s="63"/>
      <c r="G13" s="63"/>
      <c r="H13" s="63"/>
      <c r="I13" s="77"/>
      <c r="J13" s="77"/>
      <c r="K13" s="77"/>
      <c r="L13" s="77"/>
      <c r="M13" s="77"/>
      <c r="N13" s="77"/>
      <c r="O13" s="77"/>
      <c r="P13" s="77"/>
      <c r="Q13" s="77"/>
      <c r="R13" s="77"/>
      <c r="S13" s="77"/>
      <c r="T13" s="77"/>
      <c r="U13" s="77"/>
      <c r="V13" s="8"/>
    </row>
    <row r="14" spans="1:28" x14ac:dyDescent="0.3">
      <c r="A14" t="s">
        <v>1072</v>
      </c>
      <c r="B14" s="63"/>
      <c r="C14" s="63"/>
      <c r="D14" s="63"/>
      <c r="E14" s="63"/>
      <c r="F14" s="63"/>
      <c r="G14" s="63"/>
      <c r="H14" s="63"/>
      <c r="I14" s="77"/>
      <c r="J14" s="77"/>
      <c r="K14" s="77"/>
      <c r="L14" s="77"/>
      <c r="M14" s="77"/>
      <c r="N14" s="77"/>
      <c r="O14" s="77"/>
      <c r="P14" s="77"/>
      <c r="Q14" s="77"/>
      <c r="R14" s="77"/>
      <c r="S14" s="77"/>
      <c r="T14" s="77"/>
      <c r="U14" s="77"/>
      <c r="V14" s="8"/>
    </row>
    <row r="15" spans="1:28" x14ac:dyDescent="0.3">
      <c r="B15" s="63"/>
      <c r="C15" s="63"/>
      <c r="D15" s="63"/>
      <c r="E15" s="63"/>
      <c r="F15" s="63"/>
      <c r="G15" s="63"/>
      <c r="H15" s="63"/>
      <c r="I15" s="77"/>
      <c r="J15" s="77"/>
      <c r="K15" s="77"/>
      <c r="L15" s="77"/>
      <c r="M15" s="77"/>
      <c r="N15" s="77"/>
      <c r="O15" s="77"/>
      <c r="P15" s="77"/>
      <c r="Q15" s="77"/>
      <c r="R15" s="77"/>
      <c r="S15" s="77"/>
      <c r="T15" s="77"/>
      <c r="U15" s="77"/>
      <c r="V15" s="8"/>
    </row>
    <row r="16" spans="1:28" x14ac:dyDescent="0.3">
      <c r="B16" s="63"/>
      <c r="C16" s="63"/>
      <c r="D16" s="63"/>
      <c r="E16" s="63"/>
      <c r="F16" s="63"/>
      <c r="G16" s="63"/>
      <c r="H16" s="63"/>
      <c r="I16" s="77"/>
      <c r="J16" s="77"/>
      <c r="K16" s="77"/>
      <c r="L16" s="77"/>
      <c r="M16" s="77"/>
      <c r="N16" s="77"/>
      <c r="O16" s="77"/>
      <c r="P16" s="77"/>
      <c r="Q16" s="77"/>
      <c r="R16" s="77"/>
      <c r="S16" s="77"/>
      <c r="T16" s="77"/>
      <c r="U16" s="77"/>
      <c r="V16" s="8"/>
    </row>
    <row r="17" spans="2:22" x14ac:dyDescent="0.3">
      <c r="B17" s="63"/>
      <c r="C17" s="63"/>
      <c r="D17" s="63"/>
      <c r="E17" s="63"/>
      <c r="F17" s="63"/>
      <c r="G17" s="63"/>
      <c r="H17" s="63"/>
      <c r="I17" s="77"/>
      <c r="J17" s="77"/>
      <c r="K17" s="77"/>
      <c r="L17" s="77"/>
      <c r="M17" s="77"/>
      <c r="N17" s="77"/>
      <c r="O17" s="77"/>
      <c r="P17" s="77"/>
      <c r="Q17" s="77"/>
      <c r="R17" s="77"/>
      <c r="S17" s="77"/>
      <c r="T17" s="77"/>
      <c r="U17" s="77"/>
      <c r="V17" s="8"/>
    </row>
    <row r="18" spans="2:22" x14ac:dyDescent="0.3">
      <c r="B18" s="63"/>
      <c r="C18" s="63"/>
      <c r="D18" s="63"/>
      <c r="E18" s="63"/>
      <c r="F18" s="63"/>
      <c r="G18" s="63"/>
      <c r="H18" s="63"/>
      <c r="I18" s="77"/>
      <c r="J18" s="77"/>
      <c r="K18" s="77"/>
      <c r="L18" s="77"/>
      <c r="M18" s="77"/>
      <c r="N18" s="77"/>
      <c r="O18" s="77"/>
      <c r="P18" s="77"/>
      <c r="Q18" s="77"/>
      <c r="R18" s="77"/>
      <c r="S18" s="77"/>
      <c r="T18" s="77"/>
      <c r="U18" s="77"/>
      <c r="V18" s="8"/>
    </row>
    <row r="19" spans="2:22" x14ac:dyDescent="0.3">
      <c r="B19" s="63"/>
      <c r="C19" s="63"/>
      <c r="D19" s="63"/>
      <c r="E19" s="63"/>
      <c r="F19" s="63"/>
      <c r="G19" s="63"/>
      <c r="H19" s="63"/>
      <c r="I19" s="77"/>
      <c r="J19" s="77"/>
      <c r="K19" s="77"/>
      <c r="L19" s="77"/>
      <c r="M19" s="77"/>
      <c r="N19" s="77"/>
      <c r="O19" s="77"/>
      <c r="P19" s="77"/>
      <c r="Q19" s="77"/>
      <c r="R19" s="77"/>
      <c r="S19" s="77"/>
      <c r="T19" s="77"/>
      <c r="U19" s="77"/>
      <c r="V19" s="8"/>
    </row>
    <row r="20" spans="2:22" x14ac:dyDescent="0.3">
      <c r="B20" s="63"/>
      <c r="C20" s="63"/>
      <c r="D20" s="63"/>
      <c r="E20" s="63"/>
      <c r="F20" s="63"/>
      <c r="G20" s="63"/>
      <c r="H20" s="63"/>
      <c r="I20" s="77"/>
      <c r="J20" s="77"/>
      <c r="K20" s="77"/>
      <c r="L20" s="77"/>
      <c r="M20" s="77"/>
      <c r="N20" s="77"/>
      <c r="O20" s="77"/>
      <c r="P20" s="77"/>
      <c r="Q20" s="77"/>
      <c r="R20" s="77"/>
      <c r="S20" s="77"/>
      <c r="T20" s="77"/>
      <c r="U20" s="77"/>
      <c r="V20" s="8"/>
    </row>
    <row r="21" spans="2:22" x14ac:dyDescent="0.3">
      <c r="B21" s="63"/>
      <c r="C21" s="63"/>
      <c r="D21" s="63"/>
      <c r="E21" s="63"/>
      <c r="F21" s="63"/>
      <c r="G21" s="63"/>
      <c r="H21" s="63"/>
      <c r="I21" s="77"/>
      <c r="J21" s="77"/>
      <c r="K21" s="77"/>
      <c r="L21" s="77"/>
      <c r="M21" s="77"/>
      <c r="N21" s="77"/>
      <c r="O21" s="77"/>
      <c r="P21" s="77"/>
      <c r="Q21" s="77"/>
      <c r="R21" s="77"/>
      <c r="S21" s="77"/>
      <c r="T21" s="77"/>
      <c r="U21" s="77"/>
      <c r="V21" s="8"/>
    </row>
    <row r="22" spans="2:22" x14ac:dyDescent="0.3">
      <c r="B22" s="63"/>
      <c r="C22" s="63"/>
      <c r="D22" s="63"/>
      <c r="E22" s="63"/>
      <c r="F22" s="63"/>
      <c r="G22" s="63"/>
      <c r="H22" s="63"/>
      <c r="I22" s="77"/>
      <c r="J22" s="77"/>
      <c r="K22" s="77"/>
      <c r="L22" s="77"/>
      <c r="M22" s="77"/>
      <c r="N22" s="77"/>
      <c r="O22" s="77"/>
      <c r="P22" s="77"/>
      <c r="Q22" s="77"/>
      <c r="R22" s="77"/>
      <c r="S22" s="77"/>
      <c r="T22" s="77"/>
      <c r="U22" s="77"/>
      <c r="V22" s="8"/>
    </row>
    <row r="23" spans="2:22" x14ac:dyDescent="0.3">
      <c r="B23" s="63"/>
      <c r="C23" s="63"/>
      <c r="D23" s="63"/>
      <c r="E23" s="63"/>
      <c r="F23" s="63"/>
      <c r="G23" s="63"/>
      <c r="H23" s="63"/>
      <c r="I23" s="77"/>
      <c r="J23" s="77"/>
      <c r="K23" s="77"/>
      <c r="L23" s="77"/>
      <c r="M23" s="77"/>
      <c r="N23" s="77"/>
      <c r="O23" s="77"/>
      <c r="P23" s="77"/>
      <c r="Q23" s="77"/>
      <c r="R23" s="77"/>
      <c r="S23" s="77"/>
      <c r="T23" s="77"/>
      <c r="U23" s="77"/>
      <c r="V23" s="8"/>
    </row>
    <row r="24" spans="2:22" x14ac:dyDescent="0.3">
      <c r="B24" s="63"/>
      <c r="C24" s="63"/>
      <c r="D24" s="63"/>
      <c r="E24" s="63"/>
      <c r="F24" s="63"/>
      <c r="G24" s="63"/>
      <c r="H24" s="63"/>
      <c r="I24" s="77"/>
      <c r="J24" s="77"/>
      <c r="K24" s="77"/>
      <c r="L24" s="77"/>
      <c r="M24" s="77"/>
      <c r="N24" s="77"/>
      <c r="O24" s="77"/>
      <c r="P24" s="77"/>
      <c r="Q24" s="77"/>
      <c r="R24" s="77"/>
      <c r="S24" s="77"/>
      <c r="T24" s="77"/>
      <c r="U24" s="77"/>
      <c r="V24" s="8"/>
    </row>
    <row r="25" spans="2:22" x14ac:dyDescent="0.3">
      <c r="B25" s="63"/>
      <c r="C25" s="63"/>
      <c r="D25" s="63"/>
      <c r="E25" s="63"/>
      <c r="F25" s="63"/>
      <c r="G25" s="63"/>
      <c r="H25" s="63"/>
      <c r="I25" s="77"/>
      <c r="J25" s="77"/>
      <c r="K25" s="77"/>
      <c r="L25" s="77"/>
      <c r="M25" s="77"/>
      <c r="N25" s="77"/>
      <c r="O25" s="77"/>
      <c r="P25" s="77"/>
      <c r="Q25" s="77"/>
      <c r="R25" s="77"/>
      <c r="S25" s="77"/>
      <c r="T25" s="77"/>
      <c r="U25" s="77"/>
      <c r="V25" s="8"/>
    </row>
    <row r="26" spans="2:22" x14ac:dyDescent="0.3">
      <c r="B26" s="63"/>
      <c r="C26" s="63"/>
      <c r="D26" s="63"/>
      <c r="E26" s="63"/>
      <c r="F26" s="63"/>
      <c r="G26" s="63"/>
      <c r="H26" s="63"/>
      <c r="I26" s="77"/>
      <c r="J26" s="77"/>
      <c r="K26" s="77"/>
      <c r="L26" s="77"/>
      <c r="M26" s="77"/>
      <c r="N26" s="77"/>
      <c r="O26" s="77"/>
      <c r="P26" s="77"/>
      <c r="Q26" s="77"/>
      <c r="R26" s="77"/>
      <c r="S26" s="77"/>
      <c r="T26" s="77"/>
      <c r="U26" s="77"/>
      <c r="V26" s="8"/>
    </row>
    <row r="27" spans="2:22" x14ac:dyDescent="0.3">
      <c r="B27" s="63"/>
      <c r="C27" s="63"/>
      <c r="D27" s="63"/>
      <c r="E27" s="63"/>
      <c r="F27" s="63"/>
      <c r="G27" s="63"/>
      <c r="H27" s="63"/>
      <c r="I27" s="77"/>
      <c r="J27" s="77"/>
      <c r="K27" s="77"/>
      <c r="L27" s="77"/>
      <c r="M27" s="77"/>
      <c r="N27" s="77"/>
      <c r="O27" s="77"/>
      <c r="P27" s="77"/>
      <c r="Q27" s="77"/>
      <c r="R27" s="77"/>
      <c r="S27" s="77"/>
      <c r="T27" s="77"/>
      <c r="U27" s="77"/>
      <c r="V27" s="8"/>
    </row>
    <row r="28" spans="2:22" x14ac:dyDescent="0.3">
      <c r="B28" s="63"/>
      <c r="C28" s="63"/>
      <c r="D28" s="63"/>
      <c r="E28" s="63"/>
      <c r="F28" s="63"/>
      <c r="G28" s="63"/>
      <c r="H28" s="63"/>
      <c r="I28" s="77"/>
      <c r="J28" s="77"/>
      <c r="K28" s="77"/>
      <c r="L28" s="77"/>
      <c r="M28" s="77"/>
      <c r="N28" s="77"/>
      <c r="O28" s="77"/>
      <c r="P28" s="77"/>
      <c r="Q28" s="77"/>
      <c r="R28" s="77"/>
      <c r="S28" s="77"/>
      <c r="T28" s="77"/>
      <c r="U28" s="77"/>
      <c r="V28" s="8"/>
    </row>
    <row r="29" spans="2:22" x14ac:dyDescent="0.3">
      <c r="B29" s="63"/>
      <c r="C29" s="63"/>
      <c r="D29" s="63"/>
      <c r="E29" s="63"/>
      <c r="F29" s="63"/>
      <c r="G29" s="63"/>
      <c r="H29" s="63"/>
      <c r="I29" s="77"/>
      <c r="J29" s="77"/>
      <c r="K29" s="77"/>
      <c r="L29" s="77"/>
      <c r="M29" s="77"/>
      <c r="N29" s="77"/>
      <c r="O29" s="77"/>
      <c r="P29" s="77"/>
      <c r="Q29" s="77"/>
      <c r="R29" s="77"/>
      <c r="S29" s="77"/>
      <c r="T29" s="77"/>
      <c r="U29" s="77"/>
      <c r="V29" s="8"/>
    </row>
    <row r="30" spans="2:22" x14ac:dyDescent="0.3">
      <c r="B30" s="63"/>
      <c r="C30" s="63"/>
      <c r="D30" s="63"/>
      <c r="E30" s="63"/>
      <c r="F30" s="63"/>
      <c r="G30" s="63"/>
      <c r="H30" s="63"/>
      <c r="I30" s="77"/>
      <c r="J30" s="77"/>
      <c r="K30" s="77"/>
      <c r="L30" s="77"/>
      <c r="M30" s="77"/>
      <c r="N30" s="77"/>
      <c r="O30" s="77"/>
      <c r="P30" s="77"/>
      <c r="Q30" s="77"/>
      <c r="R30" s="77"/>
      <c r="S30" s="77"/>
      <c r="T30" s="77"/>
      <c r="U30" s="77"/>
      <c r="V30" s="8"/>
    </row>
    <row r="31" spans="2:22" x14ac:dyDescent="0.3">
      <c r="B31" s="63"/>
      <c r="C31" s="63"/>
      <c r="D31" s="63"/>
      <c r="E31" s="63"/>
      <c r="F31" s="63"/>
      <c r="G31" s="63"/>
      <c r="H31" s="63"/>
      <c r="I31" s="77"/>
      <c r="J31" s="77"/>
      <c r="K31" s="77"/>
      <c r="L31" s="77"/>
      <c r="M31" s="77"/>
      <c r="N31" s="77"/>
      <c r="O31" s="77"/>
      <c r="P31" s="77"/>
      <c r="Q31" s="77"/>
      <c r="R31" s="77"/>
      <c r="S31" s="77"/>
      <c r="T31" s="77"/>
      <c r="U31" s="77"/>
      <c r="V31" s="8"/>
    </row>
    <row r="32" spans="2:22" x14ac:dyDescent="0.3">
      <c r="B32" s="63"/>
      <c r="C32" s="63"/>
      <c r="D32" s="63"/>
      <c r="E32" s="63"/>
      <c r="F32" s="63"/>
      <c r="G32" s="63"/>
      <c r="H32" s="63"/>
      <c r="I32" s="77"/>
      <c r="J32" s="77"/>
      <c r="K32" s="77"/>
      <c r="L32" s="77"/>
      <c r="M32" s="77"/>
      <c r="N32" s="77"/>
      <c r="O32" s="77"/>
      <c r="P32" s="77"/>
      <c r="Q32" s="77"/>
      <c r="R32" s="77"/>
      <c r="S32" s="77"/>
      <c r="T32" s="77"/>
      <c r="U32" s="77"/>
      <c r="V32" s="8"/>
    </row>
    <row r="33" spans="2:22" x14ac:dyDescent="0.3">
      <c r="B33" s="63"/>
      <c r="C33" s="63"/>
      <c r="D33" s="63"/>
      <c r="E33" s="63"/>
      <c r="F33" s="63"/>
      <c r="G33" s="63"/>
      <c r="H33" s="63"/>
      <c r="I33" s="77"/>
      <c r="J33" s="77"/>
      <c r="K33" s="77"/>
      <c r="L33" s="77"/>
      <c r="M33" s="77"/>
      <c r="N33" s="77"/>
      <c r="O33" s="77"/>
      <c r="P33" s="77"/>
      <c r="Q33" s="77"/>
      <c r="R33" s="77"/>
      <c r="S33" s="77"/>
      <c r="T33" s="77"/>
      <c r="U33" s="77"/>
      <c r="V33" s="8"/>
    </row>
    <row r="34" spans="2:22" x14ac:dyDescent="0.3">
      <c r="B34" s="63"/>
      <c r="C34" s="63"/>
      <c r="D34" s="63"/>
      <c r="E34" s="63"/>
      <c r="F34" s="63"/>
      <c r="G34" s="63"/>
      <c r="H34" s="63"/>
      <c r="I34" s="77"/>
      <c r="J34" s="77"/>
      <c r="K34" s="77"/>
      <c r="L34" s="77"/>
      <c r="M34" s="77"/>
      <c r="N34" s="77"/>
      <c r="O34" s="77"/>
      <c r="P34" s="77"/>
      <c r="Q34" s="77"/>
      <c r="R34" s="77"/>
      <c r="S34" s="77"/>
      <c r="T34" s="77"/>
      <c r="U34" s="77"/>
      <c r="V34" s="8"/>
    </row>
    <row r="35" spans="2:22" x14ac:dyDescent="0.3">
      <c r="B35" s="63"/>
      <c r="C35" s="63"/>
      <c r="D35" s="63"/>
      <c r="E35" s="63"/>
      <c r="F35" s="63"/>
      <c r="G35" s="63"/>
      <c r="H35" s="63"/>
      <c r="I35" s="77"/>
      <c r="J35" s="77"/>
      <c r="K35" s="77"/>
      <c r="L35" s="77"/>
      <c r="M35" s="77"/>
      <c r="N35" s="77"/>
      <c r="O35" s="77"/>
      <c r="P35" s="77"/>
      <c r="Q35" s="77"/>
      <c r="R35" s="77"/>
      <c r="S35" s="77"/>
      <c r="T35" s="77"/>
      <c r="U35" s="77"/>
      <c r="V35" s="8"/>
    </row>
    <row r="36" spans="2:22" x14ac:dyDescent="0.3">
      <c r="B36" s="63"/>
      <c r="C36" s="63"/>
      <c r="D36" s="63"/>
      <c r="E36" s="63"/>
      <c r="F36" s="63"/>
      <c r="G36" s="63"/>
      <c r="H36" s="63"/>
      <c r="I36" s="77"/>
      <c r="J36" s="77"/>
      <c r="K36" s="77"/>
      <c r="L36" s="77"/>
      <c r="M36" s="77"/>
      <c r="N36" s="77"/>
      <c r="O36" s="77"/>
      <c r="P36" s="77"/>
      <c r="Q36" s="77"/>
      <c r="R36" s="77"/>
      <c r="S36" s="77"/>
      <c r="T36" s="77"/>
      <c r="U36" s="77"/>
      <c r="V36" s="8"/>
    </row>
    <row r="37" spans="2:22" x14ac:dyDescent="0.3">
      <c r="B37" s="63"/>
      <c r="C37" s="63"/>
      <c r="D37" s="63"/>
      <c r="E37" s="63"/>
      <c r="F37" s="63"/>
      <c r="G37" s="63"/>
      <c r="H37" s="63"/>
      <c r="I37" s="77"/>
      <c r="J37" s="77"/>
      <c r="K37" s="77"/>
      <c r="L37" s="77"/>
      <c r="M37" s="77"/>
      <c r="N37" s="77"/>
      <c r="O37" s="77"/>
      <c r="P37" s="77"/>
      <c r="Q37" s="77"/>
      <c r="R37" s="77"/>
      <c r="S37" s="77"/>
      <c r="T37" s="77"/>
      <c r="U37" s="77"/>
      <c r="V37" s="8"/>
    </row>
    <row r="38" spans="2:22" x14ac:dyDescent="0.3">
      <c r="B38" s="63"/>
      <c r="C38" s="63"/>
      <c r="D38" s="63"/>
      <c r="E38" s="63"/>
      <c r="F38" s="63"/>
      <c r="G38" s="63"/>
      <c r="H38" s="63"/>
      <c r="I38" s="77"/>
      <c r="J38" s="77"/>
      <c r="K38" s="77"/>
      <c r="L38" s="77"/>
      <c r="M38" s="77"/>
      <c r="N38" s="77"/>
      <c r="O38" s="77"/>
      <c r="P38" s="77"/>
      <c r="Q38" s="77"/>
      <c r="R38" s="77"/>
      <c r="S38" s="77"/>
      <c r="T38" s="77"/>
      <c r="U38" s="77"/>
      <c r="V38" s="8"/>
    </row>
    <row r="39" spans="2:22" x14ac:dyDescent="0.3">
      <c r="B39" s="63"/>
      <c r="C39" s="63"/>
      <c r="D39" s="63"/>
      <c r="E39" s="63"/>
      <c r="F39" s="63"/>
      <c r="G39" s="63"/>
      <c r="H39" s="63"/>
      <c r="I39" s="77"/>
      <c r="J39" s="77"/>
      <c r="K39" s="77"/>
      <c r="L39" s="77"/>
      <c r="M39" s="77"/>
      <c r="N39" s="77"/>
      <c r="O39" s="77"/>
      <c r="P39" s="77"/>
      <c r="Q39" s="77"/>
      <c r="R39" s="77"/>
      <c r="S39" s="77"/>
      <c r="T39" s="77"/>
      <c r="U39" s="77"/>
      <c r="V39" s="8"/>
    </row>
    <row r="40" spans="2:22" x14ac:dyDescent="0.3">
      <c r="B40" s="63"/>
      <c r="C40" s="63"/>
      <c r="D40" s="63"/>
      <c r="E40" s="63"/>
      <c r="F40" s="63"/>
      <c r="G40" s="63"/>
      <c r="H40" s="63"/>
      <c r="I40" s="77"/>
      <c r="J40" s="77"/>
      <c r="K40" s="77"/>
      <c r="L40" s="77"/>
      <c r="M40" s="77"/>
      <c r="N40" s="77"/>
      <c r="O40" s="77"/>
      <c r="P40" s="77"/>
      <c r="Q40" s="77"/>
      <c r="R40" s="77"/>
      <c r="S40" s="77"/>
      <c r="T40" s="77"/>
      <c r="U40" s="77"/>
      <c r="V40" s="8"/>
    </row>
    <row r="41" spans="2:22" x14ac:dyDescent="0.3">
      <c r="B41" s="63"/>
      <c r="C41" s="63"/>
      <c r="D41" s="63"/>
      <c r="E41" s="63"/>
      <c r="F41" s="63"/>
      <c r="G41" s="63"/>
      <c r="H41" s="63"/>
      <c r="I41" s="77"/>
      <c r="J41" s="77"/>
      <c r="K41" s="77"/>
      <c r="L41" s="77"/>
      <c r="M41" s="77"/>
      <c r="N41" s="77"/>
      <c r="O41" s="77"/>
      <c r="P41" s="77"/>
      <c r="Q41" s="77"/>
      <c r="R41" s="77"/>
      <c r="S41" s="77"/>
      <c r="T41" s="77"/>
      <c r="U41" s="77"/>
      <c r="V41" s="8"/>
    </row>
    <row r="42" spans="2:22" x14ac:dyDescent="0.3">
      <c r="B42" s="63"/>
      <c r="C42" s="63"/>
      <c r="D42" s="63"/>
      <c r="E42" s="63"/>
      <c r="F42" s="63"/>
      <c r="G42" s="63"/>
      <c r="H42" s="63"/>
      <c r="I42" s="77"/>
      <c r="J42" s="77"/>
      <c r="K42" s="77"/>
      <c r="L42" s="77"/>
      <c r="M42" s="77"/>
      <c r="N42" s="77"/>
      <c r="O42" s="77"/>
      <c r="P42" s="77"/>
      <c r="Q42" s="77"/>
      <c r="R42" s="77"/>
      <c r="S42" s="77"/>
      <c r="T42" s="77"/>
      <c r="U42" s="77"/>
      <c r="V42" s="8"/>
    </row>
    <row r="43" spans="2:22" x14ac:dyDescent="0.3">
      <c r="B43" s="63"/>
      <c r="C43" s="63"/>
      <c r="D43" s="63"/>
      <c r="E43" s="63"/>
      <c r="F43" s="63"/>
      <c r="G43" s="63"/>
      <c r="H43" s="63"/>
      <c r="I43" s="77"/>
      <c r="J43" s="77"/>
      <c r="K43" s="77"/>
      <c r="L43" s="77"/>
      <c r="M43" s="77"/>
      <c r="N43" s="77"/>
      <c r="O43" s="77"/>
      <c r="P43" s="77"/>
      <c r="Q43" s="77"/>
      <c r="R43" s="77"/>
      <c r="S43" s="77"/>
      <c r="T43" s="77"/>
      <c r="U43" s="77"/>
      <c r="V43"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90BB6-3086-4C3F-928A-359300A19C70}">
  <sheetPr>
    <tabColor theme="9" tint="0.59999389629810485"/>
  </sheetPr>
  <dimension ref="A1:AD77"/>
  <sheetViews>
    <sheetView topLeftCell="K58" zoomScale="92" workbookViewId="0">
      <selection activeCell="K69" sqref="K69"/>
    </sheetView>
  </sheetViews>
  <sheetFormatPr defaultRowHeight="14.4" outlineLevelCol="1" x14ac:dyDescent="0.3"/>
  <cols>
    <col min="1" max="1" width="17.5546875" bestFit="1" customWidth="1"/>
    <col min="3" max="5" width="0" hidden="1" customWidth="1" outlineLevel="1"/>
    <col min="6" max="6" width="14.21875" customWidth="1" collapsed="1"/>
    <col min="7" max="7" width="0" hidden="1" customWidth="1" outlineLevel="1"/>
    <col min="8" max="8" width="16.77734375" hidden="1" customWidth="1" outlineLevel="1" collapsed="1"/>
    <col min="9" max="9" width="19" hidden="1" customWidth="1" outlineLevel="1"/>
    <col min="10" max="10" width="0" hidden="1" customWidth="1" outlineLevel="1"/>
    <col min="11" max="11" width="69.5546875" bestFit="1" customWidth="1" collapsed="1"/>
    <col min="12" max="12" width="36.77734375" bestFit="1" customWidth="1"/>
    <col min="13" max="13" width="16.21875" bestFit="1" customWidth="1"/>
    <col min="14" max="14" width="0" hidden="1" customWidth="1" outlineLevel="1"/>
    <col min="15" max="26" width="8.77734375" hidden="1" customWidth="1" outlineLevel="1"/>
    <col min="27" max="27" width="9.21875" hidden="1" customWidth="1" outlineLevel="1"/>
    <col min="28" max="28" width="13.77734375" bestFit="1" customWidth="1" collapsed="1"/>
  </cols>
  <sheetData>
    <row r="1" spans="1:30" x14ac:dyDescent="0.3">
      <c r="A1" s="9" t="s">
        <v>684</v>
      </c>
      <c r="AA1" s="23" t="s">
        <v>21</v>
      </c>
      <c r="AB1" s="23">
        <f>SUBTOTAL(9,AB4:AB42)</f>
        <v>-2533219.1300000004</v>
      </c>
    </row>
    <row r="2" spans="1:30" x14ac:dyDescent="0.3">
      <c r="A2" s="65" t="s">
        <v>22</v>
      </c>
      <c r="B2" s="65" t="s">
        <v>23</v>
      </c>
      <c r="C2" s="65" t="s">
        <v>24</v>
      </c>
      <c r="D2" s="65" t="s">
        <v>25</v>
      </c>
      <c r="E2" s="65" t="s">
        <v>26</v>
      </c>
      <c r="F2" s="65" t="s">
        <v>27</v>
      </c>
      <c r="G2" s="65" t="s">
        <v>28</v>
      </c>
      <c r="H2" s="65" t="s">
        <v>29</v>
      </c>
      <c r="I2" s="65" t="s">
        <v>30</v>
      </c>
      <c r="J2" s="65" t="s">
        <v>31</v>
      </c>
      <c r="K2" s="65" t="s">
        <v>32</v>
      </c>
      <c r="L2" s="65" t="s">
        <v>33</v>
      </c>
      <c r="M2" s="65" t="s">
        <v>34</v>
      </c>
      <c r="N2" s="65" t="s">
        <v>35</v>
      </c>
      <c r="O2" s="65" t="s">
        <v>36</v>
      </c>
      <c r="P2" s="65" t="s">
        <v>37</v>
      </c>
      <c r="Q2" s="65" t="s">
        <v>38</v>
      </c>
      <c r="R2" s="65" t="s">
        <v>39</v>
      </c>
      <c r="S2" s="65" t="s">
        <v>40</v>
      </c>
      <c r="T2" s="65" t="s">
        <v>41</v>
      </c>
      <c r="U2" s="65" t="s">
        <v>42</v>
      </c>
      <c r="V2" s="65" t="s">
        <v>43</v>
      </c>
      <c r="W2" s="65" t="s">
        <v>44</v>
      </c>
      <c r="X2" s="65" t="s">
        <v>45</v>
      </c>
      <c r="Y2" s="65" t="s">
        <v>46</v>
      </c>
      <c r="Z2" s="65" t="s">
        <v>47</v>
      </c>
      <c r="AA2" s="65" t="s">
        <v>48</v>
      </c>
      <c r="AB2" s="78" t="s">
        <v>49</v>
      </c>
    </row>
    <row r="3" spans="1:30" x14ac:dyDescent="0.3">
      <c r="A3" t="s">
        <v>778</v>
      </c>
      <c r="B3" s="63" t="s">
        <v>477</v>
      </c>
      <c r="C3" s="63" t="s">
        <v>271</v>
      </c>
      <c r="D3" s="63" t="s">
        <v>271</v>
      </c>
      <c r="E3" s="63" t="s">
        <v>400</v>
      </c>
      <c r="F3" s="63" t="s">
        <v>400</v>
      </c>
      <c r="G3" s="63" t="s">
        <v>53</v>
      </c>
      <c r="H3" s="63" t="s">
        <v>53</v>
      </c>
      <c r="I3" s="63" t="s">
        <v>767</v>
      </c>
      <c r="J3" s="63" t="s">
        <v>767</v>
      </c>
      <c r="K3" s="63" t="s">
        <v>784</v>
      </c>
      <c r="L3" s="63"/>
      <c r="M3" s="63" t="s">
        <v>56</v>
      </c>
      <c r="N3" s="63" t="s">
        <v>57</v>
      </c>
      <c r="O3" s="77">
        <v>-10465.290000000001</v>
      </c>
      <c r="P3" s="77">
        <v>-10465.290000000001</v>
      </c>
      <c r="Q3" s="77">
        <v>-10465.290000000001</v>
      </c>
      <c r="R3" s="77">
        <v>-10465.290000000001</v>
      </c>
      <c r="S3" s="77">
        <v>-10465.290000000001</v>
      </c>
      <c r="T3" s="77">
        <v>-10465.290000000001</v>
      </c>
      <c r="U3" s="77">
        <v>-10465.290000000001</v>
      </c>
      <c r="V3" s="77">
        <v>-10465.290000000001</v>
      </c>
      <c r="W3" s="77">
        <v>-10465.290000000001</v>
      </c>
      <c r="X3" s="77">
        <v>-10465.290000000001</v>
      </c>
      <c r="Y3" s="77">
        <v>-10465.290000000001</v>
      </c>
      <c r="Z3" s="77">
        <v>-10465.290000000001</v>
      </c>
      <c r="AA3" s="77">
        <v>-125583.48000000004</v>
      </c>
      <c r="AB3" s="77">
        <f t="shared" ref="AB3:AB42" si="0">AA3</f>
        <v>-125583.48000000004</v>
      </c>
      <c r="AC3" t="s">
        <v>1162</v>
      </c>
    </row>
    <row r="4" spans="1:30" x14ac:dyDescent="0.3">
      <c r="A4" t="s">
        <v>744</v>
      </c>
      <c r="B4" s="63" t="s">
        <v>501</v>
      </c>
      <c r="C4" s="63" t="s">
        <v>75</v>
      </c>
      <c r="D4" s="63" t="s">
        <v>75</v>
      </c>
      <c r="E4" s="63" t="s">
        <v>114</v>
      </c>
      <c r="F4" s="63" t="s">
        <v>114</v>
      </c>
      <c r="G4" s="63" t="s">
        <v>53</v>
      </c>
      <c r="H4" s="63" t="s">
        <v>53</v>
      </c>
      <c r="I4" s="63" t="s">
        <v>767</v>
      </c>
      <c r="J4" s="63" t="s">
        <v>767</v>
      </c>
      <c r="K4" s="63" t="s">
        <v>205</v>
      </c>
      <c r="L4" s="63" t="s">
        <v>206</v>
      </c>
      <c r="M4" s="63" t="s">
        <v>56</v>
      </c>
      <c r="N4" s="63" t="s">
        <v>57</v>
      </c>
      <c r="O4" s="77">
        <v>-2270</v>
      </c>
      <c r="P4" s="77">
        <v>-2270</v>
      </c>
      <c r="Q4" s="77">
        <v>-2270</v>
      </c>
      <c r="R4" s="77">
        <v>-2270</v>
      </c>
      <c r="S4" s="77">
        <v>-2270</v>
      </c>
      <c r="T4" s="77">
        <v>-2270</v>
      </c>
      <c r="U4" s="77">
        <v>-2270</v>
      </c>
      <c r="V4" s="77">
        <v>-2270</v>
      </c>
      <c r="W4" s="77">
        <v>-2270</v>
      </c>
      <c r="X4" s="77">
        <v>-2270</v>
      </c>
      <c r="Y4" s="77">
        <v>-2270</v>
      </c>
      <c r="Z4" s="77">
        <v>-2270</v>
      </c>
      <c r="AA4" s="77">
        <v>-27240</v>
      </c>
      <c r="AB4" s="77">
        <f t="shared" si="0"/>
        <v>-27240</v>
      </c>
      <c r="AC4" s="44"/>
      <c r="AD4" s="77"/>
    </row>
    <row r="5" spans="1:30" x14ac:dyDescent="0.3">
      <c r="A5" t="s">
        <v>744</v>
      </c>
      <c r="B5" s="63" t="s">
        <v>501</v>
      </c>
      <c r="C5" s="63" t="s">
        <v>75</v>
      </c>
      <c r="D5" s="63" t="s">
        <v>75</v>
      </c>
      <c r="E5" s="63" t="s">
        <v>168</v>
      </c>
      <c r="F5" s="63" t="s">
        <v>168</v>
      </c>
      <c r="G5" s="63" t="s">
        <v>53</v>
      </c>
      <c r="H5" s="63" t="s">
        <v>53</v>
      </c>
      <c r="I5" s="63" t="s">
        <v>767</v>
      </c>
      <c r="J5" s="63" t="s">
        <v>767</v>
      </c>
      <c r="K5" s="63" t="s">
        <v>756</v>
      </c>
      <c r="L5" s="63" t="s">
        <v>170</v>
      </c>
      <c r="M5" s="63" t="s">
        <v>56</v>
      </c>
      <c r="N5" s="63" t="s">
        <v>57</v>
      </c>
      <c r="O5" s="77">
        <v>-11313.11</v>
      </c>
      <c r="P5" s="77">
        <v>-11313.11</v>
      </c>
      <c r="Q5" s="77">
        <v>-11313.11</v>
      </c>
      <c r="R5" s="77">
        <v>-11313.11</v>
      </c>
      <c r="S5" s="77">
        <v>-11313.11</v>
      </c>
      <c r="T5" s="77">
        <v>-11313.11</v>
      </c>
      <c r="U5" s="77">
        <v>-11313.11</v>
      </c>
      <c r="V5" s="77">
        <v>-11313.11</v>
      </c>
      <c r="W5" s="77">
        <v>-11313.11</v>
      </c>
      <c r="X5" s="77">
        <v>-11313.11</v>
      </c>
      <c r="Y5" s="77">
        <v>-11313.11</v>
      </c>
      <c r="Z5" s="77">
        <v>-11313.11</v>
      </c>
      <c r="AA5" s="77">
        <v>-135757.32</v>
      </c>
      <c r="AB5" s="77">
        <f t="shared" si="0"/>
        <v>-135757.32</v>
      </c>
      <c r="AC5" s="44"/>
    </row>
    <row r="6" spans="1:30" x14ac:dyDescent="0.3">
      <c r="A6" t="s">
        <v>744</v>
      </c>
      <c r="B6" s="63" t="s">
        <v>501</v>
      </c>
      <c r="C6" s="63" t="s">
        <v>75</v>
      </c>
      <c r="D6" s="63" t="s">
        <v>75</v>
      </c>
      <c r="E6" s="63" t="s">
        <v>104</v>
      </c>
      <c r="F6" s="63" t="s">
        <v>104</v>
      </c>
      <c r="G6" s="63" t="s">
        <v>53</v>
      </c>
      <c r="H6" s="63" t="s">
        <v>53</v>
      </c>
      <c r="I6" s="63" t="s">
        <v>767</v>
      </c>
      <c r="J6" s="63" t="s">
        <v>767</v>
      </c>
      <c r="K6" s="63" t="s">
        <v>156</v>
      </c>
      <c r="L6" s="63" t="s">
        <v>157</v>
      </c>
      <c r="M6" s="63" t="s">
        <v>56</v>
      </c>
      <c r="N6" s="63" t="s">
        <v>57</v>
      </c>
      <c r="O6" s="77"/>
      <c r="P6" s="77"/>
      <c r="Q6" s="77"/>
      <c r="R6" s="77"/>
      <c r="S6" s="77"/>
      <c r="T6" s="77"/>
      <c r="U6" s="77">
        <v>-48237.5</v>
      </c>
      <c r="V6" s="77">
        <v>-48237.5</v>
      </c>
      <c r="W6" s="77">
        <v>-48237.5</v>
      </c>
      <c r="X6" s="77">
        <v>-48237.5</v>
      </c>
      <c r="Y6" s="77">
        <v>-48237.5</v>
      </c>
      <c r="Z6" s="77">
        <v>-48237.5</v>
      </c>
      <c r="AA6" s="77">
        <v>-289425</v>
      </c>
      <c r="AB6" s="77">
        <f t="shared" si="0"/>
        <v>-289425</v>
      </c>
    </row>
    <row r="7" spans="1:30" x14ac:dyDescent="0.3">
      <c r="A7" t="s">
        <v>744</v>
      </c>
      <c r="B7" s="63" t="s">
        <v>501</v>
      </c>
      <c r="C7" s="63" t="s">
        <v>75</v>
      </c>
      <c r="D7" s="63" t="s">
        <v>75</v>
      </c>
      <c r="E7" s="63" t="s">
        <v>107</v>
      </c>
      <c r="F7" s="63" t="s">
        <v>107</v>
      </c>
      <c r="G7" s="63" t="s">
        <v>53</v>
      </c>
      <c r="H7" s="63" t="s">
        <v>53</v>
      </c>
      <c r="I7" s="63" t="s">
        <v>767</v>
      </c>
      <c r="J7" s="63" t="s">
        <v>767</v>
      </c>
      <c r="K7" s="63" t="s">
        <v>108</v>
      </c>
      <c r="L7" s="63" t="s">
        <v>109</v>
      </c>
      <c r="M7" s="63" t="s">
        <v>56</v>
      </c>
      <c r="N7" s="63" t="s">
        <v>57</v>
      </c>
      <c r="O7" s="77"/>
      <c r="P7" s="77"/>
      <c r="Q7" s="77"/>
      <c r="R7" s="77"/>
      <c r="S7" s="77"/>
      <c r="T7" s="77"/>
      <c r="U7" s="77">
        <v>-385</v>
      </c>
      <c r="V7" s="77">
        <v>-385</v>
      </c>
      <c r="W7" s="77">
        <v>-385</v>
      </c>
      <c r="X7" s="77">
        <v>-385</v>
      </c>
      <c r="Y7" s="77">
        <v>-385</v>
      </c>
      <c r="Z7" s="77">
        <v>-385</v>
      </c>
      <c r="AA7" s="77">
        <v>-2310</v>
      </c>
      <c r="AB7" s="77">
        <f t="shared" si="0"/>
        <v>-2310</v>
      </c>
    </row>
    <row r="8" spans="1:30" x14ac:dyDescent="0.3">
      <c r="A8" t="s">
        <v>744</v>
      </c>
      <c r="B8" s="63" t="s">
        <v>501</v>
      </c>
      <c r="C8" s="63" t="s">
        <v>75</v>
      </c>
      <c r="D8" s="63" t="s">
        <v>75</v>
      </c>
      <c r="E8" s="63" t="s">
        <v>107</v>
      </c>
      <c r="F8" s="63" t="s">
        <v>107</v>
      </c>
      <c r="G8" s="63" t="s">
        <v>53</v>
      </c>
      <c r="H8" s="63" t="s">
        <v>53</v>
      </c>
      <c r="I8" s="63" t="s">
        <v>767</v>
      </c>
      <c r="J8" s="63" t="s">
        <v>767</v>
      </c>
      <c r="K8" s="63" t="s">
        <v>204</v>
      </c>
      <c r="L8" s="63" t="s">
        <v>199</v>
      </c>
      <c r="M8" s="63" t="s">
        <v>56</v>
      </c>
      <c r="N8" s="63" t="s">
        <v>57</v>
      </c>
      <c r="O8" s="77"/>
      <c r="P8" s="77"/>
      <c r="Q8" s="77"/>
      <c r="R8" s="77">
        <v>-1055.55</v>
      </c>
      <c r="S8" s="77">
        <v>-1055.55</v>
      </c>
      <c r="T8" s="77">
        <v>-1055.55</v>
      </c>
      <c r="U8" s="77">
        <v>-1055.55</v>
      </c>
      <c r="V8" s="77">
        <v>-1055.55</v>
      </c>
      <c r="W8" s="77">
        <v>-1055.55</v>
      </c>
      <c r="X8" s="77">
        <v>-1055.55</v>
      </c>
      <c r="Y8" s="77">
        <v>-1055.55</v>
      </c>
      <c r="Z8" s="77">
        <v>-1055.55</v>
      </c>
      <c r="AA8" s="77">
        <v>-9499.9499999999989</v>
      </c>
      <c r="AB8" s="77">
        <f t="shared" si="0"/>
        <v>-9499.9499999999989</v>
      </c>
    </row>
    <row r="9" spans="1:30" x14ac:dyDescent="0.3">
      <c r="A9" t="s">
        <v>744</v>
      </c>
      <c r="B9" s="63" t="s">
        <v>501</v>
      </c>
      <c r="C9" s="63" t="s">
        <v>75</v>
      </c>
      <c r="D9" s="63" t="s">
        <v>75</v>
      </c>
      <c r="E9" s="63" t="s">
        <v>98</v>
      </c>
      <c r="F9" s="63" t="s">
        <v>98</v>
      </c>
      <c r="G9" s="63" t="s">
        <v>53</v>
      </c>
      <c r="H9" s="63" t="s">
        <v>53</v>
      </c>
      <c r="I9" s="63" t="s">
        <v>767</v>
      </c>
      <c r="J9" s="63" t="s">
        <v>767</v>
      </c>
      <c r="K9" s="63" t="s">
        <v>128</v>
      </c>
      <c r="L9" s="63" t="s">
        <v>129</v>
      </c>
      <c r="M9" s="63" t="s">
        <v>56</v>
      </c>
      <c r="N9" s="63" t="s">
        <v>57</v>
      </c>
      <c r="O9" s="77"/>
      <c r="P9" s="77"/>
      <c r="Q9" s="77"/>
      <c r="R9" s="77">
        <v>-3141.68</v>
      </c>
      <c r="S9" s="77">
        <v>-3141.68</v>
      </c>
      <c r="T9" s="77">
        <v>-3141.68</v>
      </c>
      <c r="U9" s="77">
        <v>-3141.68</v>
      </c>
      <c r="V9" s="77">
        <v>-3141.68</v>
      </c>
      <c r="W9" s="77">
        <v>-3141.68</v>
      </c>
      <c r="X9" s="77">
        <v>-3141.68</v>
      </c>
      <c r="Y9" s="77">
        <v>-3141.68</v>
      </c>
      <c r="Z9" s="77">
        <v>-3141.68</v>
      </c>
      <c r="AA9" s="77">
        <v>-28275.119999999999</v>
      </c>
      <c r="AB9" s="77">
        <f t="shared" si="0"/>
        <v>-28275.119999999999</v>
      </c>
    </row>
    <row r="10" spans="1:30" x14ac:dyDescent="0.3">
      <c r="A10" t="s">
        <v>744</v>
      </c>
      <c r="B10" s="63" t="s">
        <v>501</v>
      </c>
      <c r="C10" s="63" t="s">
        <v>75</v>
      </c>
      <c r="D10" s="63" t="s">
        <v>75</v>
      </c>
      <c r="E10" s="63" t="s">
        <v>98</v>
      </c>
      <c r="F10" s="63" t="s">
        <v>98</v>
      </c>
      <c r="G10" s="63" t="s">
        <v>53</v>
      </c>
      <c r="H10" s="63" t="s">
        <v>53</v>
      </c>
      <c r="I10" s="63" t="s">
        <v>767</v>
      </c>
      <c r="J10" s="63" t="s">
        <v>767</v>
      </c>
      <c r="K10" s="63" t="s">
        <v>102</v>
      </c>
      <c r="L10" s="63" t="s">
        <v>103</v>
      </c>
      <c r="M10" s="63" t="s">
        <v>56</v>
      </c>
      <c r="N10" s="63" t="s">
        <v>57</v>
      </c>
      <c r="O10" s="77">
        <v>-20537</v>
      </c>
      <c r="P10" s="77">
        <v>-20537</v>
      </c>
      <c r="Q10" s="77">
        <v>-20537</v>
      </c>
      <c r="R10" s="77">
        <v>-20537</v>
      </c>
      <c r="S10" s="77">
        <v>-20537</v>
      </c>
      <c r="T10" s="77">
        <v>-20537</v>
      </c>
      <c r="U10" s="77">
        <v>-20537</v>
      </c>
      <c r="V10" s="77">
        <v>-20537</v>
      </c>
      <c r="W10" s="77">
        <v>-20537</v>
      </c>
      <c r="X10" s="77">
        <v>-20537</v>
      </c>
      <c r="Y10" s="77">
        <v>-20537</v>
      </c>
      <c r="Z10" s="77">
        <v>-20537</v>
      </c>
      <c r="AA10" s="77">
        <v>-246444</v>
      </c>
      <c r="AB10" s="77">
        <f t="shared" si="0"/>
        <v>-246444</v>
      </c>
    </row>
    <row r="11" spans="1:30" x14ac:dyDescent="0.3">
      <c r="A11" t="s">
        <v>778</v>
      </c>
      <c r="B11" s="63" t="s">
        <v>477</v>
      </c>
      <c r="C11" s="63" t="s">
        <v>271</v>
      </c>
      <c r="D11" s="63" t="s">
        <v>271</v>
      </c>
      <c r="E11" s="63" t="s">
        <v>151</v>
      </c>
      <c r="F11" s="63" t="s">
        <v>151</v>
      </c>
      <c r="G11" s="63" t="s">
        <v>53</v>
      </c>
      <c r="H11" s="63" t="s">
        <v>53</v>
      </c>
      <c r="I11" s="63" t="s">
        <v>767</v>
      </c>
      <c r="J11" s="63" t="s">
        <v>767</v>
      </c>
      <c r="K11" s="63" t="s">
        <v>278</v>
      </c>
      <c r="L11" s="63" t="s">
        <v>273</v>
      </c>
      <c r="M11" s="63" t="s">
        <v>56</v>
      </c>
      <c r="N11" s="63" t="s">
        <v>57</v>
      </c>
      <c r="O11" s="77">
        <v>-1191.8800000000001</v>
      </c>
      <c r="P11" s="77">
        <v>-1191.8800000000001</v>
      </c>
      <c r="Q11" s="77">
        <v>-1191.8800000000001</v>
      </c>
      <c r="R11" s="77">
        <v>-1191.8800000000001</v>
      </c>
      <c r="S11" s="77">
        <v>-1191.8800000000001</v>
      </c>
      <c r="T11" s="77">
        <v>-1191.8800000000001</v>
      </c>
      <c r="U11" s="77">
        <v>-1191.8800000000001</v>
      </c>
      <c r="V11" s="77">
        <v>-1191.8800000000001</v>
      </c>
      <c r="W11" s="77">
        <v>-1191.8800000000001</v>
      </c>
      <c r="X11" s="77">
        <v>-1191.8800000000001</v>
      </c>
      <c r="Y11" s="77">
        <v>-1191.8800000000001</v>
      </c>
      <c r="Z11" s="77">
        <v>-1191.8800000000001</v>
      </c>
      <c r="AA11" s="77">
        <v>-14302.560000000005</v>
      </c>
      <c r="AB11" s="77">
        <f t="shared" si="0"/>
        <v>-14302.560000000005</v>
      </c>
    </row>
    <row r="12" spans="1:30" x14ac:dyDescent="0.3">
      <c r="A12" t="s">
        <v>778</v>
      </c>
      <c r="B12" s="63" t="s">
        <v>477</v>
      </c>
      <c r="C12" s="63" t="s">
        <v>271</v>
      </c>
      <c r="D12" s="63" t="s">
        <v>271</v>
      </c>
      <c r="E12" s="63" t="s">
        <v>151</v>
      </c>
      <c r="F12" s="63" t="s">
        <v>151</v>
      </c>
      <c r="G12" s="63" t="s">
        <v>53</v>
      </c>
      <c r="H12" s="63" t="s">
        <v>53</v>
      </c>
      <c r="I12" s="63" t="s">
        <v>767</v>
      </c>
      <c r="J12" s="63" t="s">
        <v>767</v>
      </c>
      <c r="K12" s="63" t="s">
        <v>307</v>
      </c>
      <c r="L12" s="63" t="s">
        <v>308</v>
      </c>
      <c r="M12" s="63" t="s">
        <v>56</v>
      </c>
      <c r="N12" s="63" t="s">
        <v>57</v>
      </c>
      <c r="O12" s="77">
        <v>0</v>
      </c>
      <c r="P12" s="77">
        <v>0</v>
      </c>
      <c r="Q12" s="77">
        <v>0</v>
      </c>
      <c r="R12" s="77">
        <v>0</v>
      </c>
      <c r="S12" s="77">
        <v>0</v>
      </c>
      <c r="T12" s="77">
        <v>0</v>
      </c>
      <c r="U12" s="77">
        <v>0</v>
      </c>
      <c r="V12" s="77">
        <v>-7574.54</v>
      </c>
      <c r="W12" s="77">
        <v>-7575.71</v>
      </c>
      <c r="X12" s="77">
        <v>-7576.87</v>
      </c>
      <c r="Y12" s="77">
        <v>-7578.03</v>
      </c>
      <c r="Z12" s="77">
        <v>-7579.2</v>
      </c>
      <c r="AA12" s="77">
        <v>-37884.35</v>
      </c>
      <c r="AB12" s="77">
        <f t="shared" si="0"/>
        <v>-37884.35</v>
      </c>
    </row>
    <row r="13" spans="1:30" x14ac:dyDescent="0.3">
      <c r="A13" t="s">
        <v>778</v>
      </c>
      <c r="B13" s="63" t="s">
        <v>477</v>
      </c>
      <c r="C13" s="63" t="s">
        <v>271</v>
      </c>
      <c r="D13" s="63" t="s">
        <v>271</v>
      </c>
      <c r="E13" s="63" t="s">
        <v>151</v>
      </c>
      <c r="F13" s="63" t="s">
        <v>151</v>
      </c>
      <c r="G13" s="63" t="s">
        <v>53</v>
      </c>
      <c r="H13" s="63" t="s">
        <v>53</v>
      </c>
      <c r="I13" s="63" t="s">
        <v>767</v>
      </c>
      <c r="J13" s="63" t="s">
        <v>767</v>
      </c>
      <c r="K13" s="63" t="s">
        <v>310</v>
      </c>
      <c r="L13" s="63" t="s">
        <v>311</v>
      </c>
      <c r="M13" s="63" t="s">
        <v>56</v>
      </c>
      <c r="N13" s="63" t="s">
        <v>57</v>
      </c>
      <c r="O13" s="77">
        <v>-1831.43</v>
      </c>
      <c r="P13" s="77">
        <v>-1831.43</v>
      </c>
      <c r="Q13" s="77">
        <v>-1831.43</v>
      </c>
      <c r="R13" s="77">
        <v>-1831.43</v>
      </c>
      <c r="S13" s="77">
        <v>-1831.43</v>
      </c>
      <c r="T13" s="77">
        <v>-1831.43</v>
      </c>
      <c r="U13" s="77">
        <v>-1831.43</v>
      </c>
      <c r="V13" s="77">
        <v>-1831.43</v>
      </c>
      <c r="W13" s="77">
        <v>-1831.43</v>
      </c>
      <c r="X13" s="77">
        <v>-1831.43</v>
      </c>
      <c r="Y13" s="77">
        <v>-1831.43</v>
      </c>
      <c r="Z13" s="77">
        <v>-1831.43</v>
      </c>
      <c r="AA13" s="77">
        <v>-21977.16</v>
      </c>
      <c r="AB13" s="77">
        <f t="shared" si="0"/>
        <v>-21977.16</v>
      </c>
    </row>
    <row r="14" spans="1:30" x14ac:dyDescent="0.3">
      <c r="A14" t="s">
        <v>778</v>
      </c>
      <c r="B14" s="63" t="s">
        <v>477</v>
      </c>
      <c r="C14" s="63" t="s">
        <v>271</v>
      </c>
      <c r="D14" s="63" t="s">
        <v>271</v>
      </c>
      <c r="E14" s="63" t="s">
        <v>151</v>
      </c>
      <c r="F14" s="63" t="s">
        <v>151</v>
      </c>
      <c r="G14" s="63" t="s">
        <v>53</v>
      </c>
      <c r="H14" s="63" t="s">
        <v>53</v>
      </c>
      <c r="I14" s="63" t="s">
        <v>767</v>
      </c>
      <c r="J14" s="63" t="s">
        <v>767</v>
      </c>
      <c r="K14" s="63" t="s">
        <v>312</v>
      </c>
      <c r="L14" s="63" t="s">
        <v>311</v>
      </c>
      <c r="M14" s="63" t="s">
        <v>56</v>
      </c>
      <c r="N14" s="63" t="s">
        <v>57</v>
      </c>
      <c r="O14" s="77">
        <v>-697.69</v>
      </c>
      <c r="P14" s="77">
        <v>-697.69</v>
      </c>
      <c r="Q14" s="77">
        <v>-697.69</v>
      </c>
      <c r="R14" s="77">
        <v>-697.69</v>
      </c>
      <c r="S14" s="77">
        <v>-697.69</v>
      </c>
      <c r="T14" s="77">
        <v>-697.69</v>
      </c>
      <c r="U14" s="77">
        <v>-697.69</v>
      </c>
      <c r="V14" s="77">
        <v>-697.69</v>
      </c>
      <c r="W14" s="77">
        <v>-697.69</v>
      </c>
      <c r="X14" s="77">
        <v>-697.69</v>
      </c>
      <c r="Y14" s="77">
        <v>-697.69</v>
      </c>
      <c r="Z14" s="77">
        <v>-697.69</v>
      </c>
      <c r="AA14" s="77">
        <v>-8372.2800000000025</v>
      </c>
      <c r="AB14" s="77">
        <f t="shared" si="0"/>
        <v>-8372.2800000000025</v>
      </c>
    </row>
    <row r="15" spans="1:30" x14ac:dyDescent="0.3">
      <c r="A15" t="s">
        <v>778</v>
      </c>
      <c r="B15" s="63" t="s">
        <v>477</v>
      </c>
      <c r="C15" s="63" t="s">
        <v>271</v>
      </c>
      <c r="D15" s="63" t="s">
        <v>271</v>
      </c>
      <c r="E15" s="63" t="s">
        <v>151</v>
      </c>
      <c r="F15" s="63" t="s">
        <v>151</v>
      </c>
      <c r="G15" s="63" t="s">
        <v>53</v>
      </c>
      <c r="H15" s="63" t="s">
        <v>53</v>
      </c>
      <c r="I15" s="63" t="s">
        <v>767</v>
      </c>
      <c r="J15" s="63" t="s">
        <v>767</v>
      </c>
      <c r="K15" s="63" t="s">
        <v>314</v>
      </c>
      <c r="L15" s="63"/>
      <c r="M15" s="63" t="s">
        <v>56</v>
      </c>
      <c r="N15" s="63" t="s">
        <v>57</v>
      </c>
      <c r="O15" s="77">
        <v>-1162.81</v>
      </c>
      <c r="P15" s="77">
        <v>-1162.81</v>
      </c>
      <c r="Q15" s="77">
        <v>-1162.81</v>
      </c>
      <c r="R15" s="77">
        <v>-1162.81</v>
      </c>
      <c r="S15" s="77">
        <v>-1162.81</v>
      </c>
      <c r="T15" s="77">
        <v>-1162.81</v>
      </c>
      <c r="U15" s="77">
        <v>-1162.81</v>
      </c>
      <c r="V15" s="77">
        <v>-1162.81</v>
      </c>
      <c r="W15" s="77">
        <v>-1162.81</v>
      </c>
      <c r="X15" s="77">
        <v>-1162.81</v>
      </c>
      <c r="Y15" s="77">
        <v>-1162.81</v>
      </c>
      <c r="Z15" s="77">
        <v>-1162.81</v>
      </c>
      <c r="AA15" s="77">
        <v>-13953.719999999996</v>
      </c>
      <c r="AB15" s="77">
        <f t="shared" si="0"/>
        <v>-13953.719999999996</v>
      </c>
    </row>
    <row r="16" spans="1:30" x14ac:dyDescent="0.3">
      <c r="A16" t="s">
        <v>785</v>
      </c>
      <c r="B16" s="63" t="s">
        <v>786</v>
      </c>
      <c r="C16" s="63" t="s">
        <v>342</v>
      </c>
      <c r="D16" s="63" t="s">
        <v>342</v>
      </c>
      <c r="E16" s="63" t="s">
        <v>151</v>
      </c>
      <c r="F16" s="63" t="s">
        <v>151</v>
      </c>
      <c r="G16" s="63" t="s">
        <v>53</v>
      </c>
      <c r="H16" s="63" t="s">
        <v>53</v>
      </c>
      <c r="I16" s="63" t="s">
        <v>767</v>
      </c>
      <c r="J16" s="63" t="s">
        <v>767</v>
      </c>
      <c r="K16" s="63" t="s">
        <v>787</v>
      </c>
      <c r="L16" s="63"/>
      <c r="M16" s="63" t="s">
        <v>56</v>
      </c>
      <c r="N16" s="63" t="s">
        <v>57</v>
      </c>
      <c r="O16" s="77">
        <v>-4167</v>
      </c>
      <c r="P16" s="77">
        <v>-4167</v>
      </c>
      <c r="Q16" s="77">
        <v>-4167</v>
      </c>
      <c r="R16" s="77">
        <v>-4167</v>
      </c>
      <c r="S16" s="77">
        <v>-4167</v>
      </c>
      <c r="T16" s="77">
        <v>-4167</v>
      </c>
      <c r="U16" s="77">
        <v>-4167</v>
      </c>
      <c r="V16" s="77">
        <v>-4167</v>
      </c>
      <c r="W16" s="77">
        <v>-4167</v>
      </c>
      <c r="X16" s="77">
        <v>-4167</v>
      </c>
      <c r="Y16" s="77">
        <v>-4167</v>
      </c>
      <c r="Z16" s="77">
        <v>-4167</v>
      </c>
      <c r="AA16" s="77">
        <v>-50004</v>
      </c>
      <c r="AB16" s="77">
        <f t="shared" si="0"/>
        <v>-50004</v>
      </c>
    </row>
    <row r="17" spans="1:28" x14ac:dyDescent="0.3">
      <c r="A17" t="s">
        <v>778</v>
      </c>
      <c r="B17" s="63" t="s">
        <v>477</v>
      </c>
      <c r="C17" s="63" t="s">
        <v>271</v>
      </c>
      <c r="D17" s="63" t="s">
        <v>271</v>
      </c>
      <c r="E17" s="63" t="s">
        <v>200</v>
      </c>
      <c r="F17" s="63" t="s">
        <v>200</v>
      </c>
      <c r="G17" s="63" t="s">
        <v>53</v>
      </c>
      <c r="H17" s="63" t="s">
        <v>53</v>
      </c>
      <c r="I17" s="63" t="s">
        <v>767</v>
      </c>
      <c r="J17" s="63" t="s">
        <v>767</v>
      </c>
      <c r="K17" s="63" t="s">
        <v>295</v>
      </c>
      <c r="L17" s="63" t="s">
        <v>285</v>
      </c>
      <c r="M17" s="63" t="s">
        <v>56</v>
      </c>
      <c r="N17" s="63" t="s">
        <v>57</v>
      </c>
      <c r="O17" s="77">
        <v>-918.62</v>
      </c>
      <c r="P17" s="77">
        <v>-918.62</v>
      </c>
      <c r="Q17" s="77">
        <v>-918.62</v>
      </c>
      <c r="R17" s="77">
        <v>-918.62</v>
      </c>
      <c r="S17" s="77">
        <v>-918.62</v>
      </c>
      <c r="T17" s="77">
        <v>-918.62</v>
      </c>
      <c r="U17" s="77">
        <v>-918.62</v>
      </c>
      <c r="V17" s="77">
        <v>-918.62</v>
      </c>
      <c r="W17" s="77">
        <v>-918.62</v>
      </c>
      <c r="X17" s="77">
        <v>-918.62</v>
      </c>
      <c r="Y17" s="77">
        <v>-918.62</v>
      </c>
      <c r="Z17" s="77">
        <v>-918.62</v>
      </c>
      <c r="AA17" s="77">
        <v>-11023.440000000002</v>
      </c>
      <c r="AB17" s="77">
        <f t="shared" si="0"/>
        <v>-11023.440000000002</v>
      </c>
    </row>
    <row r="18" spans="1:28" x14ac:dyDescent="0.3">
      <c r="A18" t="s">
        <v>778</v>
      </c>
      <c r="B18" s="63" t="s">
        <v>477</v>
      </c>
      <c r="C18" s="63" t="s">
        <v>271</v>
      </c>
      <c r="D18" s="63" t="s">
        <v>271</v>
      </c>
      <c r="E18" s="63" t="s">
        <v>200</v>
      </c>
      <c r="F18" s="63" t="s">
        <v>200</v>
      </c>
      <c r="G18" s="63" t="s">
        <v>53</v>
      </c>
      <c r="H18" s="63" t="s">
        <v>53</v>
      </c>
      <c r="I18" s="63" t="s">
        <v>767</v>
      </c>
      <c r="J18" s="63" t="s">
        <v>767</v>
      </c>
      <c r="K18" s="63" t="s">
        <v>315</v>
      </c>
      <c r="L18" s="63"/>
      <c r="M18" s="63" t="s">
        <v>56</v>
      </c>
      <c r="N18" s="63" t="s">
        <v>57</v>
      </c>
      <c r="O18" s="77">
        <v>-6511.74</v>
      </c>
      <c r="P18" s="77">
        <v>-6511.74</v>
      </c>
      <c r="Q18" s="77">
        <v>-6511.74</v>
      </c>
      <c r="R18" s="77">
        <v>-6511.74</v>
      </c>
      <c r="S18" s="77">
        <v>-6511.74</v>
      </c>
      <c r="T18" s="77">
        <v>-6511.74</v>
      </c>
      <c r="U18" s="77">
        <v>-6511.74</v>
      </c>
      <c r="V18" s="77">
        <v>-6511.74</v>
      </c>
      <c r="W18" s="77">
        <v>-6511.74</v>
      </c>
      <c r="X18" s="77">
        <v>-6511.74</v>
      </c>
      <c r="Y18" s="77">
        <v>-6511.74</v>
      </c>
      <c r="Z18" s="77">
        <v>-6511.74</v>
      </c>
      <c r="AA18" s="77">
        <v>-78140.87999999999</v>
      </c>
      <c r="AB18" s="77">
        <f t="shared" si="0"/>
        <v>-78140.87999999999</v>
      </c>
    </row>
    <row r="19" spans="1:28" x14ac:dyDescent="0.3">
      <c r="A19" t="s">
        <v>778</v>
      </c>
      <c r="B19" s="63" t="s">
        <v>477</v>
      </c>
      <c r="C19" s="63" t="s">
        <v>271</v>
      </c>
      <c r="D19" s="63" t="s">
        <v>271</v>
      </c>
      <c r="E19" s="63" t="s">
        <v>200</v>
      </c>
      <c r="F19" s="63" t="s">
        <v>200</v>
      </c>
      <c r="G19" s="63" t="s">
        <v>53</v>
      </c>
      <c r="H19" s="63" t="s">
        <v>53</v>
      </c>
      <c r="I19" s="63" t="s">
        <v>767</v>
      </c>
      <c r="J19" s="63" t="s">
        <v>767</v>
      </c>
      <c r="K19" s="63" t="s">
        <v>316</v>
      </c>
      <c r="L19" s="63"/>
      <c r="M19" s="63" t="s">
        <v>56</v>
      </c>
      <c r="N19" s="63" t="s">
        <v>57</v>
      </c>
      <c r="O19" s="77">
        <v>-8140</v>
      </c>
      <c r="P19" s="77">
        <v>-8140</v>
      </c>
      <c r="Q19" s="77">
        <v>-8140</v>
      </c>
      <c r="R19" s="77">
        <v>-8140</v>
      </c>
      <c r="S19" s="77">
        <v>-8140</v>
      </c>
      <c r="T19" s="77">
        <v>-8140</v>
      </c>
      <c r="U19" s="77">
        <v>-8140</v>
      </c>
      <c r="V19" s="77">
        <v>-8140</v>
      </c>
      <c r="W19" s="77">
        <v>-8140</v>
      </c>
      <c r="X19" s="77">
        <v>-8140</v>
      </c>
      <c r="Y19" s="77">
        <v>-8140</v>
      </c>
      <c r="Z19" s="77">
        <v>-8140</v>
      </c>
      <c r="AA19" s="77">
        <v>-97680</v>
      </c>
      <c r="AB19" s="77">
        <f t="shared" si="0"/>
        <v>-97680</v>
      </c>
    </row>
    <row r="20" spans="1:28" x14ac:dyDescent="0.3">
      <c r="A20" t="s">
        <v>778</v>
      </c>
      <c r="B20" s="63" t="s">
        <v>477</v>
      </c>
      <c r="C20" s="63" t="s">
        <v>271</v>
      </c>
      <c r="D20" s="63" t="s">
        <v>271</v>
      </c>
      <c r="E20" s="63" t="s">
        <v>200</v>
      </c>
      <c r="F20" s="63" t="s">
        <v>200</v>
      </c>
      <c r="G20" s="63" t="s">
        <v>53</v>
      </c>
      <c r="H20" s="63" t="s">
        <v>53</v>
      </c>
      <c r="I20" s="63" t="s">
        <v>767</v>
      </c>
      <c r="J20" s="63" t="s">
        <v>767</v>
      </c>
      <c r="K20" s="63" t="s">
        <v>317</v>
      </c>
      <c r="L20" s="63"/>
      <c r="M20" s="63" t="s">
        <v>56</v>
      </c>
      <c r="N20" s="63" t="s">
        <v>57</v>
      </c>
      <c r="O20" s="77">
        <v>-9690</v>
      </c>
      <c r="P20" s="77">
        <v>-9690</v>
      </c>
      <c r="Q20" s="77">
        <v>-9690</v>
      </c>
      <c r="R20" s="77">
        <v>-9690</v>
      </c>
      <c r="S20" s="77">
        <v>-9690</v>
      </c>
      <c r="T20" s="77">
        <v>-9690</v>
      </c>
      <c r="U20" s="77">
        <v>-9690</v>
      </c>
      <c r="V20" s="77">
        <v>-9690</v>
      </c>
      <c r="W20" s="77">
        <v>-9690</v>
      </c>
      <c r="X20" s="77">
        <v>-9690</v>
      </c>
      <c r="Y20" s="77">
        <v>-9690</v>
      </c>
      <c r="Z20" s="77">
        <v>-9690</v>
      </c>
      <c r="AA20" s="77">
        <v>-116280</v>
      </c>
      <c r="AB20" s="77">
        <f t="shared" si="0"/>
        <v>-116280</v>
      </c>
    </row>
    <row r="21" spans="1:28" x14ac:dyDescent="0.3">
      <c r="A21" t="s">
        <v>778</v>
      </c>
      <c r="B21" s="63" t="s">
        <v>477</v>
      </c>
      <c r="C21" s="63" t="s">
        <v>271</v>
      </c>
      <c r="D21" s="63" t="s">
        <v>271</v>
      </c>
      <c r="E21" s="63" t="s">
        <v>200</v>
      </c>
      <c r="F21" s="63" t="s">
        <v>200</v>
      </c>
      <c r="G21" s="63" t="s">
        <v>53</v>
      </c>
      <c r="H21" s="63" t="s">
        <v>53</v>
      </c>
      <c r="I21" s="63" t="s">
        <v>767</v>
      </c>
      <c r="J21" s="63" t="s">
        <v>767</v>
      </c>
      <c r="K21" s="63" t="s">
        <v>318</v>
      </c>
      <c r="L21" s="63"/>
      <c r="M21" s="63" t="s">
        <v>56</v>
      </c>
      <c r="N21" s="63" t="s">
        <v>57</v>
      </c>
      <c r="O21" s="77">
        <v>0</v>
      </c>
      <c r="P21" s="77">
        <v>0</v>
      </c>
      <c r="Q21" s="77">
        <v>0</v>
      </c>
      <c r="R21" s="77">
        <v>0</v>
      </c>
      <c r="S21" s="77">
        <v>0</v>
      </c>
      <c r="T21" s="77">
        <v>0</v>
      </c>
      <c r="U21" s="77">
        <v>0</v>
      </c>
      <c r="V21" s="77">
        <v>0</v>
      </c>
      <c r="W21" s="77">
        <v>-11628.1</v>
      </c>
      <c r="X21" s="77">
        <v>-11628.1</v>
      </c>
      <c r="Y21" s="77">
        <v>-11628.1</v>
      </c>
      <c r="Z21" s="77">
        <v>0</v>
      </c>
      <c r="AA21" s="77">
        <v>-34884.300000000003</v>
      </c>
      <c r="AB21" s="77">
        <f t="shared" si="0"/>
        <v>-34884.300000000003</v>
      </c>
    </row>
    <row r="22" spans="1:28" x14ac:dyDescent="0.3">
      <c r="A22" t="s">
        <v>778</v>
      </c>
      <c r="B22" s="63" t="s">
        <v>477</v>
      </c>
      <c r="C22" s="63" t="s">
        <v>271</v>
      </c>
      <c r="D22" s="63" t="s">
        <v>271</v>
      </c>
      <c r="E22" s="63" t="s">
        <v>200</v>
      </c>
      <c r="F22" s="63" t="s">
        <v>200</v>
      </c>
      <c r="G22" s="63" t="s">
        <v>53</v>
      </c>
      <c r="H22" s="63" t="s">
        <v>53</v>
      </c>
      <c r="I22" s="63" t="s">
        <v>767</v>
      </c>
      <c r="J22" s="63" t="s">
        <v>767</v>
      </c>
      <c r="K22" s="63" t="s">
        <v>319</v>
      </c>
      <c r="L22" s="63"/>
      <c r="M22" s="63" t="s">
        <v>56</v>
      </c>
      <c r="N22" s="63" t="s">
        <v>57</v>
      </c>
      <c r="O22" s="77">
        <v>0</v>
      </c>
      <c r="P22" s="77">
        <v>0</v>
      </c>
      <c r="Q22" s="77">
        <v>0</v>
      </c>
      <c r="R22" s="77">
        <v>0</v>
      </c>
      <c r="S22" s="77">
        <v>0</v>
      </c>
      <c r="T22" s="77">
        <v>0</v>
      </c>
      <c r="U22" s="77">
        <v>0</v>
      </c>
      <c r="V22" s="77">
        <v>-17442.150000000001</v>
      </c>
      <c r="W22" s="77">
        <v>-11628.1</v>
      </c>
      <c r="X22" s="77">
        <v>0</v>
      </c>
      <c r="Y22" s="77">
        <v>0</v>
      </c>
      <c r="Z22" s="77">
        <v>0</v>
      </c>
      <c r="AA22" s="77">
        <v>-29070.25</v>
      </c>
      <c r="AB22" s="77">
        <f t="shared" si="0"/>
        <v>-29070.25</v>
      </c>
    </row>
    <row r="23" spans="1:28" x14ac:dyDescent="0.3">
      <c r="A23" t="s">
        <v>778</v>
      </c>
      <c r="B23" s="63" t="s">
        <v>477</v>
      </c>
      <c r="C23" s="63" t="s">
        <v>271</v>
      </c>
      <c r="D23" s="63" t="s">
        <v>271</v>
      </c>
      <c r="E23" s="63" t="s">
        <v>200</v>
      </c>
      <c r="F23" s="63" t="s">
        <v>200</v>
      </c>
      <c r="G23" s="63" t="s">
        <v>53</v>
      </c>
      <c r="H23" s="63" t="s">
        <v>53</v>
      </c>
      <c r="I23" s="63" t="s">
        <v>767</v>
      </c>
      <c r="J23" s="63" t="s">
        <v>767</v>
      </c>
      <c r="K23" s="63" t="s">
        <v>323</v>
      </c>
      <c r="L23" s="63"/>
      <c r="M23" s="63" t="s">
        <v>56</v>
      </c>
      <c r="N23" s="63" t="s">
        <v>57</v>
      </c>
      <c r="O23" s="77">
        <v>0</v>
      </c>
      <c r="P23" s="77">
        <v>0</v>
      </c>
      <c r="Q23" s="77">
        <v>0</v>
      </c>
      <c r="R23" s="77">
        <v>0</v>
      </c>
      <c r="S23" s="77">
        <v>0</v>
      </c>
      <c r="T23" s="77">
        <v>0</v>
      </c>
      <c r="U23" s="77">
        <v>0</v>
      </c>
      <c r="V23" s="77">
        <v>-14535.13</v>
      </c>
      <c r="W23" s="77">
        <v>0</v>
      </c>
      <c r="X23" s="77">
        <v>0</v>
      </c>
      <c r="Y23" s="77">
        <v>0</v>
      </c>
      <c r="Z23" s="77">
        <v>0</v>
      </c>
      <c r="AA23" s="77">
        <v>-14535.13</v>
      </c>
      <c r="AB23" s="77">
        <f t="shared" si="0"/>
        <v>-14535.13</v>
      </c>
    </row>
    <row r="24" spans="1:28" x14ac:dyDescent="0.3">
      <c r="A24" t="s">
        <v>785</v>
      </c>
      <c r="B24" s="63" t="s">
        <v>786</v>
      </c>
      <c r="C24" s="63" t="s">
        <v>342</v>
      </c>
      <c r="D24" s="63" t="s">
        <v>342</v>
      </c>
      <c r="E24" s="63" t="s">
        <v>200</v>
      </c>
      <c r="F24" s="63" t="s">
        <v>200</v>
      </c>
      <c r="G24" s="63" t="s">
        <v>53</v>
      </c>
      <c r="H24" s="63" t="s">
        <v>53</v>
      </c>
      <c r="I24" s="63" t="s">
        <v>767</v>
      </c>
      <c r="J24" s="63" t="s">
        <v>767</v>
      </c>
      <c r="K24" s="63" t="s">
        <v>358</v>
      </c>
      <c r="L24" s="63"/>
      <c r="M24" s="63" t="s">
        <v>56</v>
      </c>
      <c r="N24" s="63" t="s">
        <v>57</v>
      </c>
      <c r="O24" s="77">
        <v>-29167</v>
      </c>
      <c r="P24" s="77">
        <v>-29167</v>
      </c>
      <c r="Q24" s="77">
        <v>-29167</v>
      </c>
      <c r="R24" s="77">
        <v>-29167</v>
      </c>
      <c r="S24" s="77">
        <v>-29167</v>
      </c>
      <c r="T24" s="77">
        <v>-29167</v>
      </c>
      <c r="U24" s="77">
        <v>-29167</v>
      </c>
      <c r="V24" s="77">
        <v>-29167</v>
      </c>
      <c r="W24" s="77">
        <v>-29167</v>
      </c>
      <c r="X24" s="77">
        <v>-29167</v>
      </c>
      <c r="Y24" s="77">
        <v>-29167</v>
      </c>
      <c r="Z24" s="77">
        <v>-29167</v>
      </c>
      <c r="AA24" s="77">
        <v>-350004</v>
      </c>
      <c r="AB24" s="77">
        <f t="shared" si="0"/>
        <v>-350004</v>
      </c>
    </row>
    <row r="25" spans="1:28" x14ac:dyDescent="0.3">
      <c r="A25" t="s">
        <v>744</v>
      </c>
      <c r="B25" s="63" t="s">
        <v>501</v>
      </c>
      <c r="C25" s="63" t="s">
        <v>75</v>
      </c>
      <c r="D25" s="63" t="s">
        <v>75</v>
      </c>
      <c r="E25" s="63" t="s">
        <v>217</v>
      </c>
      <c r="F25" s="63" t="s">
        <v>217</v>
      </c>
      <c r="G25" s="63" t="s">
        <v>53</v>
      </c>
      <c r="H25" s="63" t="s">
        <v>53</v>
      </c>
      <c r="I25" s="63" t="s">
        <v>767</v>
      </c>
      <c r="J25" s="63" t="s">
        <v>767</v>
      </c>
      <c r="K25" s="63" t="s">
        <v>776</v>
      </c>
      <c r="L25" s="63" t="s">
        <v>219</v>
      </c>
      <c r="M25" s="63" t="s">
        <v>56</v>
      </c>
      <c r="N25" s="63" t="s">
        <v>57</v>
      </c>
      <c r="O25" s="77">
        <v>-5160</v>
      </c>
      <c r="P25" s="77">
        <v>-5160</v>
      </c>
      <c r="Q25" s="77">
        <v>-5160</v>
      </c>
      <c r="R25" s="77">
        <v>-5160</v>
      </c>
      <c r="S25" s="77">
        <v>-5160</v>
      </c>
      <c r="T25" s="77">
        <v>-5160</v>
      </c>
      <c r="U25" s="77">
        <v>-5160</v>
      </c>
      <c r="V25" s="77">
        <v>-5160</v>
      </c>
      <c r="W25" s="77">
        <v>-5160</v>
      </c>
      <c r="X25" s="77">
        <v>-5160</v>
      </c>
      <c r="Y25" s="77">
        <v>-5160</v>
      </c>
      <c r="Z25" s="77">
        <v>-5160</v>
      </c>
      <c r="AA25" s="77">
        <v>-61920</v>
      </c>
      <c r="AB25" s="77">
        <f t="shared" si="0"/>
        <v>-61920</v>
      </c>
    </row>
    <row r="26" spans="1:28" x14ac:dyDescent="0.3">
      <c r="A26" t="s">
        <v>744</v>
      </c>
      <c r="B26" s="63" t="s">
        <v>501</v>
      </c>
      <c r="C26" s="63" t="s">
        <v>75</v>
      </c>
      <c r="D26" s="63" t="s">
        <v>75</v>
      </c>
      <c r="E26" s="63" t="s">
        <v>217</v>
      </c>
      <c r="F26" s="63" t="s">
        <v>217</v>
      </c>
      <c r="G26" s="63" t="s">
        <v>53</v>
      </c>
      <c r="H26" s="63" t="s">
        <v>53</v>
      </c>
      <c r="I26" s="63" t="s">
        <v>767</v>
      </c>
      <c r="J26" s="63" t="s">
        <v>767</v>
      </c>
      <c r="K26" s="63" t="s">
        <v>777</v>
      </c>
      <c r="L26" s="63" t="s">
        <v>221</v>
      </c>
      <c r="M26" s="63" t="s">
        <v>56</v>
      </c>
      <c r="N26" s="63" t="s">
        <v>57</v>
      </c>
      <c r="O26" s="77">
        <v>-5504</v>
      </c>
      <c r="P26" s="77">
        <v>-5504</v>
      </c>
      <c r="Q26" s="77">
        <v>-5504</v>
      </c>
      <c r="R26" s="77">
        <v>-5504</v>
      </c>
      <c r="S26" s="77">
        <v>-5504</v>
      </c>
      <c r="T26" s="77">
        <v>-5504</v>
      </c>
      <c r="U26" s="77">
        <v>-5504</v>
      </c>
      <c r="V26" s="77">
        <v>-5504</v>
      </c>
      <c r="W26" s="77">
        <v>-5504</v>
      </c>
      <c r="X26" s="77">
        <v>-5504</v>
      </c>
      <c r="Y26" s="77">
        <v>-5504</v>
      </c>
      <c r="Z26" s="77">
        <v>-5504</v>
      </c>
      <c r="AA26" s="77">
        <v>-66048</v>
      </c>
      <c r="AB26" s="77">
        <f t="shared" si="0"/>
        <v>-66048</v>
      </c>
    </row>
    <row r="27" spans="1:28" x14ac:dyDescent="0.3">
      <c r="A27" t="s">
        <v>744</v>
      </c>
      <c r="B27" s="63" t="s">
        <v>501</v>
      </c>
      <c r="C27" s="63" t="s">
        <v>75</v>
      </c>
      <c r="D27" s="63" t="s">
        <v>75</v>
      </c>
      <c r="E27" s="63" t="s">
        <v>82</v>
      </c>
      <c r="F27" s="63" t="s">
        <v>82</v>
      </c>
      <c r="G27" s="63" t="s">
        <v>53</v>
      </c>
      <c r="H27" s="63" t="s">
        <v>53</v>
      </c>
      <c r="I27" s="63" t="s">
        <v>767</v>
      </c>
      <c r="J27" s="63" t="s">
        <v>767</v>
      </c>
      <c r="K27" s="63" t="s">
        <v>772</v>
      </c>
      <c r="L27" s="63" t="s">
        <v>176</v>
      </c>
      <c r="M27" s="63" t="s">
        <v>56</v>
      </c>
      <c r="N27" s="63" t="s">
        <v>57</v>
      </c>
      <c r="O27" s="77">
        <v>-283.75</v>
      </c>
      <c r="P27" s="77">
        <v>-283.75</v>
      </c>
      <c r="Q27" s="77">
        <v>-283.75</v>
      </c>
      <c r="R27" s="77">
        <v>-283.75</v>
      </c>
      <c r="S27" s="77">
        <v>-283.75</v>
      </c>
      <c r="T27" s="77">
        <v>-283.75</v>
      </c>
      <c r="U27" s="77">
        <v>-283.75</v>
      </c>
      <c r="V27" s="77">
        <v>-283.75</v>
      </c>
      <c r="W27" s="77">
        <v>-283.75</v>
      </c>
      <c r="X27" s="77">
        <v>-283.75</v>
      </c>
      <c r="Y27" s="77">
        <v>-283.75</v>
      </c>
      <c r="Z27" s="77">
        <v>-283.75</v>
      </c>
      <c r="AA27" s="77">
        <v>-3405</v>
      </c>
      <c r="AB27" s="77">
        <f t="shared" si="0"/>
        <v>-3405</v>
      </c>
    </row>
    <row r="28" spans="1:28" x14ac:dyDescent="0.3">
      <c r="A28" t="s">
        <v>744</v>
      </c>
      <c r="B28" s="63" t="s">
        <v>501</v>
      </c>
      <c r="C28" s="63" t="s">
        <v>75</v>
      </c>
      <c r="D28" s="63" t="s">
        <v>75</v>
      </c>
      <c r="E28" s="63" t="s">
        <v>82</v>
      </c>
      <c r="F28" s="63" t="s">
        <v>82</v>
      </c>
      <c r="G28" s="63" t="s">
        <v>53</v>
      </c>
      <c r="H28" s="63" t="s">
        <v>53</v>
      </c>
      <c r="I28" s="63" t="s">
        <v>767</v>
      </c>
      <c r="J28" s="63" t="s">
        <v>767</v>
      </c>
      <c r="K28" s="63" t="s">
        <v>773</v>
      </c>
      <c r="L28" s="63" t="s">
        <v>212</v>
      </c>
      <c r="M28" s="63" t="s">
        <v>56</v>
      </c>
      <c r="N28" s="63" t="s">
        <v>57</v>
      </c>
      <c r="O28" s="77">
        <v>-2150</v>
      </c>
      <c r="P28" s="77">
        <v>-2150</v>
      </c>
      <c r="Q28" s="77">
        <v>-2150</v>
      </c>
      <c r="R28" s="77">
        <v>-2150</v>
      </c>
      <c r="S28" s="77">
        <v>-2150</v>
      </c>
      <c r="T28" s="77">
        <v>-2150</v>
      </c>
      <c r="U28" s="77">
        <v>-2150</v>
      </c>
      <c r="V28" s="77">
        <v>-2150</v>
      </c>
      <c r="W28" s="77">
        <v>-2150</v>
      </c>
      <c r="X28" s="77">
        <v>-2150</v>
      </c>
      <c r="Y28" s="77">
        <v>-2150</v>
      </c>
      <c r="Z28" s="77">
        <v>-2150</v>
      </c>
      <c r="AA28" s="77">
        <v>-25800</v>
      </c>
      <c r="AB28" s="77">
        <f t="shared" si="0"/>
        <v>-25800</v>
      </c>
    </row>
    <row r="29" spans="1:28" x14ac:dyDescent="0.3">
      <c r="A29" t="s">
        <v>724</v>
      </c>
      <c r="B29" s="63" t="s">
        <v>483</v>
      </c>
      <c r="C29" s="63" t="s">
        <v>222</v>
      </c>
      <c r="D29" s="63" t="s">
        <v>222</v>
      </c>
      <c r="E29" s="63" t="s">
        <v>82</v>
      </c>
      <c r="F29" s="63" t="s">
        <v>82</v>
      </c>
      <c r="G29" s="63" t="s">
        <v>53</v>
      </c>
      <c r="H29" s="63" t="s">
        <v>53</v>
      </c>
      <c r="I29" s="63" t="s">
        <v>767</v>
      </c>
      <c r="J29" s="63" t="s">
        <v>767</v>
      </c>
      <c r="K29" s="63" t="s">
        <v>235</v>
      </c>
      <c r="L29" s="63" t="s">
        <v>235</v>
      </c>
      <c r="M29" s="63" t="s">
        <v>56</v>
      </c>
      <c r="N29" s="63" t="s">
        <v>57</v>
      </c>
      <c r="O29" s="77">
        <v>-1666.67</v>
      </c>
      <c r="P29" s="77">
        <v>-1666.67</v>
      </c>
      <c r="Q29" s="77">
        <v>-1666.67</v>
      </c>
      <c r="R29" s="77">
        <v>-1666.67</v>
      </c>
      <c r="S29" s="77">
        <v>-1666.67</v>
      </c>
      <c r="T29" s="77">
        <v>-1666.67</v>
      </c>
      <c r="U29" s="77">
        <v>-1666.67</v>
      </c>
      <c r="V29" s="77">
        <v>-1666.67</v>
      </c>
      <c r="W29" s="77">
        <v>-1666.67</v>
      </c>
      <c r="X29" s="77">
        <v>-1666.67</v>
      </c>
      <c r="Y29" s="77">
        <v>-1666.67</v>
      </c>
      <c r="Z29" s="77">
        <v>-1666.67</v>
      </c>
      <c r="AA29" s="77">
        <v>-20000.04</v>
      </c>
      <c r="AB29" s="77">
        <f t="shared" si="0"/>
        <v>-20000.04</v>
      </c>
    </row>
    <row r="30" spans="1:28" x14ac:dyDescent="0.3">
      <c r="A30" t="s">
        <v>778</v>
      </c>
      <c r="B30" s="63" t="s">
        <v>477</v>
      </c>
      <c r="C30" s="63" t="s">
        <v>271</v>
      </c>
      <c r="D30" s="63" t="s">
        <v>271</v>
      </c>
      <c r="E30" s="63" t="s">
        <v>82</v>
      </c>
      <c r="F30" s="63" t="s">
        <v>82</v>
      </c>
      <c r="G30" s="63" t="s">
        <v>53</v>
      </c>
      <c r="H30" s="63" t="s">
        <v>53</v>
      </c>
      <c r="I30" s="63" t="s">
        <v>767</v>
      </c>
      <c r="J30" s="63" t="s">
        <v>767</v>
      </c>
      <c r="K30" s="63" t="s">
        <v>779</v>
      </c>
      <c r="L30" s="63" t="s">
        <v>285</v>
      </c>
      <c r="M30" s="63" t="s">
        <v>56</v>
      </c>
      <c r="N30" s="63" t="s">
        <v>57</v>
      </c>
      <c r="O30" s="77">
        <v>0</v>
      </c>
      <c r="P30" s="77">
        <v>0</v>
      </c>
      <c r="Q30" s="77">
        <v>0</v>
      </c>
      <c r="R30" s="77">
        <v>0</v>
      </c>
      <c r="S30" s="77">
        <v>0</v>
      </c>
      <c r="T30" s="77">
        <v>0</v>
      </c>
      <c r="U30" s="77">
        <v>0</v>
      </c>
      <c r="V30" s="77">
        <v>-10988.55</v>
      </c>
      <c r="W30" s="77">
        <v>-10988.55</v>
      </c>
      <c r="X30" s="77">
        <v>-10988.55</v>
      </c>
      <c r="Y30" s="77">
        <v>-10988.55</v>
      </c>
      <c r="Z30" s="77">
        <v>-10988.55</v>
      </c>
      <c r="AA30" s="77">
        <v>-54942.75</v>
      </c>
      <c r="AB30" s="77">
        <f t="shared" si="0"/>
        <v>-54942.75</v>
      </c>
    </row>
    <row r="31" spans="1:28" x14ac:dyDescent="0.3">
      <c r="A31" t="s">
        <v>778</v>
      </c>
      <c r="B31" s="63" t="s">
        <v>477</v>
      </c>
      <c r="C31" s="63" t="s">
        <v>271</v>
      </c>
      <c r="D31" s="63" t="s">
        <v>271</v>
      </c>
      <c r="E31" s="63" t="s">
        <v>82</v>
      </c>
      <c r="F31" s="63" t="s">
        <v>82</v>
      </c>
      <c r="G31" s="63" t="s">
        <v>53</v>
      </c>
      <c r="H31" s="63" t="s">
        <v>53</v>
      </c>
      <c r="I31" s="63" t="s">
        <v>767</v>
      </c>
      <c r="J31" s="63" t="s">
        <v>767</v>
      </c>
      <c r="K31" s="63" t="s">
        <v>780</v>
      </c>
      <c r="L31" s="63" t="s">
        <v>285</v>
      </c>
      <c r="M31" s="63" t="s">
        <v>56</v>
      </c>
      <c r="N31" s="63" t="s">
        <v>57</v>
      </c>
      <c r="O31" s="77">
        <v>0</v>
      </c>
      <c r="P31" s="77">
        <v>0</v>
      </c>
      <c r="Q31" s="77">
        <v>0</v>
      </c>
      <c r="R31" s="77">
        <v>0</v>
      </c>
      <c r="S31" s="77">
        <v>0</v>
      </c>
      <c r="T31" s="77">
        <v>0</v>
      </c>
      <c r="U31" s="77">
        <v>0</v>
      </c>
      <c r="V31" s="77">
        <v>-551.16999999999996</v>
      </c>
      <c r="W31" s="77">
        <v>-552.33000000000004</v>
      </c>
      <c r="X31" s="77">
        <v>-552.33000000000004</v>
      </c>
      <c r="Y31" s="77">
        <v>-552.33000000000004</v>
      </c>
      <c r="Z31" s="77">
        <v>-552.33000000000004</v>
      </c>
      <c r="AA31" s="77">
        <v>-2760.49</v>
      </c>
      <c r="AB31" s="77">
        <f t="shared" si="0"/>
        <v>-2760.49</v>
      </c>
    </row>
    <row r="32" spans="1:28" x14ac:dyDescent="0.3">
      <c r="A32" t="s">
        <v>778</v>
      </c>
      <c r="B32" s="63" t="s">
        <v>477</v>
      </c>
      <c r="C32" s="63" t="s">
        <v>271</v>
      </c>
      <c r="D32" s="63" t="s">
        <v>271</v>
      </c>
      <c r="E32" s="63" t="s">
        <v>82</v>
      </c>
      <c r="F32" s="63" t="s">
        <v>82</v>
      </c>
      <c r="G32" s="63" t="s">
        <v>53</v>
      </c>
      <c r="H32" s="63" t="s">
        <v>53</v>
      </c>
      <c r="I32" s="63" t="s">
        <v>767</v>
      </c>
      <c r="J32" s="63" t="s">
        <v>767</v>
      </c>
      <c r="K32" s="63" t="s">
        <v>781</v>
      </c>
      <c r="L32" s="63" t="s">
        <v>285</v>
      </c>
      <c r="M32" s="63" t="s">
        <v>56</v>
      </c>
      <c r="N32" s="63" t="s">
        <v>57</v>
      </c>
      <c r="O32" s="77">
        <v>0</v>
      </c>
      <c r="P32" s="77">
        <v>0</v>
      </c>
      <c r="Q32" s="77">
        <v>0</v>
      </c>
      <c r="R32" s="77">
        <v>0</v>
      </c>
      <c r="S32" s="77">
        <v>0</v>
      </c>
      <c r="T32" s="77">
        <v>0</v>
      </c>
      <c r="U32" s="77">
        <v>0</v>
      </c>
      <c r="V32" s="77">
        <v>-14139.77</v>
      </c>
      <c r="W32" s="77">
        <v>-14139.77</v>
      </c>
      <c r="X32" s="77">
        <v>-14139.77</v>
      </c>
      <c r="Y32" s="77">
        <v>-14139.77</v>
      </c>
      <c r="Z32" s="77">
        <v>-14139.77</v>
      </c>
      <c r="AA32" s="77">
        <v>-70698.850000000006</v>
      </c>
      <c r="AB32" s="77">
        <f t="shared" si="0"/>
        <v>-70698.850000000006</v>
      </c>
    </row>
    <row r="33" spans="1:28" x14ac:dyDescent="0.3">
      <c r="A33" t="s">
        <v>778</v>
      </c>
      <c r="B33" s="63" t="s">
        <v>477</v>
      </c>
      <c r="C33" s="63" t="s">
        <v>271</v>
      </c>
      <c r="D33" s="63" t="s">
        <v>271</v>
      </c>
      <c r="E33" s="63" t="s">
        <v>82</v>
      </c>
      <c r="F33" s="63" t="s">
        <v>82</v>
      </c>
      <c r="G33" s="63" t="s">
        <v>53</v>
      </c>
      <c r="H33" s="63" t="s">
        <v>53</v>
      </c>
      <c r="I33" s="63" t="s">
        <v>767</v>
      </c>
      <c r="J33" s="63" t="s">
        <v>767</v>
      </c>
      <c r="K33" s="63" t="s">
        <v>782</v>
      </c>
      <c r="L33" s="63" t="s">
        <v>297</v>
      </c>
      <c r="M33" s="63" t="s">
        <v>56</v>
      </c>
      <c r="N33" s="63" t="s">
        <v>57</v>
      </c>
      <c r="O33" s="77">
        <v>-9867.5499999999993</v>
      </c>
      <c r="P33" s="77">
        <v>-9868.7099999999991</v>
      </c>
      <c r="Q33" s="77">
        <v>-9869.8700000000008</v>
      </c>
      <c r="R33" s="77">
        <v>-9871.0300000000007</v>
      </c>
      <c r="S33" s="77">
        <v>-9872.2000000000007</v>
      </c>
      <c r="T33" s="77">
        <v>-9873.36</v>
      </c>
      <c r="U33" s="77">
        <v>-9874.52</v>
      </c>
      <c r="V33" s="77">
        <v>-9875.69</v>
      </c>
      <c r="W33" s="77">
        <v>-9876.85</v>
      </c>
      <c r="X33" s="77">
        <v>-9878.01</v>
      </c>
      <c r="Y33" s="77">
        <v>-9879.17</v>
      </c>
      <c r="Z33" s="77">
        <v>-9880.34</v>
      </c>
      <c r="AA33" s="77">
        <v>-118487.3</v>
      </c>
      <c r="AB33" s="77">
        <f t="shared" si="0"/>
        <v>-118487.3</v>
      </c>
    </row>
    <row r="34" spans="1:28" x14ac:dyDescent="0.3">
      <c r="A34" t="s">
        <v>778</v>
      </c>
      <c r="B34" s="63" t="s">
        <v>477</v>
      </c>
      <c r="C34" s="63" t="s">
        <v>271</v>
      </c>
      <c r="D34" s="63" t="s">
        <v>271</v>
      </c>
      <c r="E34" s="63" t="s">
        <v>82</v>
      </c>
      <c r="F34" s="63" t="s">
        <v>82</v>
      </c>
      <c r="G34" s="63" t="s">
        <v>53</v>
      </c>
      <c r="H34" s="63" t="s">
        <v>53</v>
      </c>
      <c r="I34" s="63" t="s">
        <v>767</v>
      </c>
      <c r="J34" s="63" t="s">
        <v>767</v>
      </c>
      <c r="K34" s="63" t="s">
        <v>783</v>
      </c>
      <c r="L34" s="63" t="s">
        <v>297</v>
      </c>
      <c r="M34" s="63" t="s">
        <v>56</v>
      </c>
      <c r="N34" s="63" t="s">
        <v>57</v>
      </c>
      <c r="O34" s="77">
        <v>-8139.67</v>
      </c>
      <c r="P34" s="77">
        <v>-8139.67</v>
      </c>
      <c r="Q34" s="77">
        <v>-8139.67</v>
      </c>
      <c r="R34" s="77">
        <v>-8139.67</v>
      </c>
      <c r="S34" s="77">
        <v>-8139.67</v>
      </c>
      <c r="T34" s="77">
        <v>-8139.67</v>
      </c>
      <c r="U34" s="77">
        <v>-8139.67</v>
      </c>
      <c r="V34" s="77">
        <v>-8139.67</v>
      </c>
      <c r="W34" s="77">
        <v>-8139.67</v>
      </c>
      <c r="X34" s="77">
        <v>-8139.67</v>
      </c>
      <c r="Y34" s="77">
        <v>-8139.67</v>
      </c>
      <c r="Z34" s="77">
        <v>-8139.67</v>
      </c>
      <c r="AA34" s="77">
        <v>-97676.04</v>
      </c>
      <c r="AB34" s="77">
        <f t="shared" si="0"/>
        <v>-97676.04</v>
      </c>
    </row>
    <row r="35" spans="1:28" x14ac:dyDescent="0.3">
      <c r="A35" t="s">
        <v>718</v>
      </c>
      <c r="B35" s="63" t="s">
        <v>469</v>
      </c>
      <c r="C35" s="63" t="s">
        <v>396</v>
      </c>
      <c r="D35" s="63" t="s">
        <v>396</v>
      </c>
      <c r="E35" s="63" t="s">
        <v>82</v>
      </c>
      <c r="F35" s="63" t="s">
        <v>82</v>
      </c>
      <c r="G35" s="63" t="s">
        <v>53</v>
      </c>
      <c r="H35" s="63" t="s">
        <v>53</v>
      </c>
      <c r="I35" s="63" t="s">
        <v>767</v>
      </c>
      <c r="J35" s="63" t="s">
        <v>767</v>
      </c>
      <c r="K35" s="63" t="s">
        <v>397</v>
      </c>
      <c r="L35" s="63" t="s">
        <v>397</v>
      </c>
      <c r="M35" s="63" t="s">
        <v>56</v>
      </c>
      <c r="N35" s="63" t="s">
        <v>57</v>
      </c>
      <c r="O35" s="77">
        <v>-2917</v>
      </c>
      <c r="P35" s="77">
        <v>-2917</v>
      </c>
      <c r="Q35" s="77">
        <v>-2917</v>
      </c>
      <c r="R35" s="77">
        <v>-2917</v>
      </c>
      <c r="S35" s="77">
        <v>-2917</v>
      </c>
      <c r="T35" s="77">
        <v>-2917</v>
      </c>
      <c r="U35" s="77">
        <v>-2917</v>
      </c>
      <c r="V35" s="77">
        <v>-2917</v>
      </c>
      <c r="W35" s="77">
        <v>-2917</v>
      </c>
      <c r="X35" s="77">
        <v>-2917</v>
      </c>
      <c r="Y35" s="77">
        <v>-2917</v>
      </c>
      <c r="Z35" s="77">
        <v>-2917</v>
      </c>
      <c r="AA35" s="77">
        <v>-35004</v>
      </c>
      <c r="AB35" s="77">
        <f t="shared" si="0"/>
        <v>-35004</v>
      </c>
    </row>
    <row r="36" spans="1:28" x14ac:dyDescent="0.3">
      <c r="A36" t="s">
        <v>718</v>
      </c>
      <c r="B36" s="63" t="s">
        <v>469</v>
      </c>
      <c r="C36" s="63" t="s">
        <v>396</v>
      </c>
      <c r="D36" s="63" t="s">
        <v>396</v>
      </c>
      <c r="E36" s="63" t="s">
        <v>82</v>
      </c>
      <c r="F36" s="63" t="s">
        <v>82</v>
      </c>
      <c r="G36" s="63" t="s">
        <v>53</v>
      </c>
      <c r="H36" s="63" t="s">
        <v>53</v>
      </c>
      <c r="I36" s="63" t="s">
        <v>767</v>
      </c>
      <c r="J36" s="63" t="s">
        <v>767</v>
      </c>
      <c r="K36" s="63" t="s">
        <v>398</v>
      </c>
      <c r="L36" s="63" t="s">
        <v>398</v>
      </c>
      <c r="M36" s="63" t="s">
        <v>56</v>
      </c>
      <c r="N36" s="63" t="s">
        <v>57</v>
      </c>
      <c r="O36" s="77">
        <v>-4167</v>
      </c>
      <c r="P36" s="77">
        <v>-4167</v>
      </c>
      <c r="Q36" s="77">
        <v>-4167</v>
      </c>
      <c r="R36" s="77">
        <v>-4167</v>
      </c>
      <c r="S36" s="77">
        <v>-4167</v>
      </c>
      <c r="T36" s="77">
        <v>-4167</v>
      </c>
      <c r="U36" s="77">
        <v>-4167</v>
      </c>
      <c r="V36" s="77">
        <v>-4167</v>
      </c>
      <c r="W36" s="77">
        <v>-4167</v>
      </c>
      <c r="X36" s="77">
        <v>-4167</v>
      </c>
      <c r="Y36" s="77">
        <v>-4167</v>
      </c>
      <c r="Z36" s="77">
        <v>-4167</v>
      </c>
      <c r="AA36" s="77">
        <v>-50004</v>
      </c>
      <c r="AB36" s="77">
        <f t="shared" si="0"/>
        <v>-50004</v>
      </c>
    </row>
    <row r="37" spans="1:28" x14ac:dyDescent="0.3">
      <c r="A37" t="s">
        <v>718</v>
      </c>
      <c r="B37" s="63" t="s">
        <v>469</v>
      </c>
      <c r="C37" s="63" t="s">
        <v>396</v>
      </c>
      <c r="D37" s="63" t="s">
        <v>396</v>
      </c>
      <c r="E37" s="63" t="s">
        <v>82</v>
      </c>
      <c r="F37" s="63" t="s">
        <v>82</v>
      </c>
      <c r="G37" s="63" t="s">
        <v>53</v>
      </c>
      <c r="H37" s="63" t="s">
        <v>53</v>
      </c>
      <c r="I37" s="63" t="s">
        <v>767</v>
      </c>
      <c r="J37" s="63" t="s">
        <v>767</v>
      </c>
      <c r="K37" s="63" t="s">
        <v>399</v>
      </c>
      <c r="L37" s="63" t="s">
        <v>399</v>
      </c>
      <c r="M37" s="63" t="s">
        <v>56</v>
      </c>
      <c r="N37" s="63" t="s">
        <v>57</v>
      </c>
      <c r="O37" s="77">
        <v>-12500</v>
      </c>
      <c r="P37" s="77">
        <v>-12500</v>
      </c>
      <c r="Q37" s="77">
        <v>-12500</v>
      </c>
      <c r="R37" s="77">
        <v>-12500</v>
      </c>
      <c r="S37" s="77">
        <v>-12500</v>
      </c>
      <c r="T37" s="77">
        <v>-12500</v>
      </c>
      <c r="U37" s="77">
        <v>-12500</v>
      </c>
      <c r="V37" s="77">
        <v>-12500</v>
      </c>
      <c r="W37" s="77">
        <v>-12500</v>
      </c>
      <c r="X37" s="77">
        <v>-12500</v>
      </c>
      <c r="Y37" s="77">
        <v>-12500</v>
      </c>
      <c r="Z37" s="77">
        <v>-12500</v>
      </c>
      <c r="AA37" s="77">
        <v>-150000</v>
      </c>
      <c r="AB37" s="77">
        <f t="shared" si="0"/>
        <v>-150000</v>
      </c>
    </row>
    <row r="38" spans="1:28" x14ac:dyDescent="0.3">
      <c r="A38" t="s">
        <v>744</v>
      </c>
      <c r="B38" s="63" t="s">
        <v>501</v>
      </c>
      <c r="C38" s="63" t="s">
        <v>75</v>
      </c>
      <c r="D38" s="63" t="s">
        <v>75</v>
      </c>
      <c r="E38" s="63" t="s">
        <v>76</v>
      </c>
      <c r="F38" s="63" t="s">
        <v>76</v>
      </c>
      <c r="G38" s="63" t="s">
        <v>53</v>
      </c>
      <c r="H38" s="63" t="s">
        <v>53</v>
      </c>
      <c r="I38" s="63" t="s">
        <v>767</v>
      </c>
      <c r="J38" s="63" t="s">
        <v>767</v>
      </c>
      <c r="K38" s="63" t="s">
        <v>774</v>
      </c>
      <c r="L38" s="63" t="s">
        <v>775</v>
      </c>
      <c r="M38" s="63" t="s">
        <v>56</v>
      </c>
      <c r="N38" s="63" t="s">
        <v>57</v>
      </c>
      <c r="O38" s="77">
        <v>-170.25</v>
      </c>
      <c r="P38" s="77">
        <v>-170.25</v>
      </c>
      <c r="Q38" s="77">
        <v>-170.25</v>
      </c>
      <c r="R38" s="77">
        <v>-170.25</v>
      </c>
      <c r="S38" s="77">
        <v>-170.25</v>
      </c>
      <c r="T38" s="77">
        <v>-170.25</v>
      </c>
      <c r="U38" s="77">
        <v>-170.25</v>
      </c>
      <c r="V38" s="77">
        <v>-170.25</v>
      </c>
      <c r="W38" s="77">
        <v>-170.25</v>
      </c>
      <c r="X38" s="77">
        <v>-170.25</v>
      </c>
      <c r="Y38" s="77">
        <v>-170.25</v>
      </c>
      <c r="Z38" s="77">
        <v>-170.25</v>
      </c>
      <c r="AA38" s="77">
        <v>-2043</v>
      </c>
      <c r="AB38" s="119">
        <f t="shared" si="0"/>
        <v>-2043</v>
      </c>
    </row>
    <row r="39" spans="1:28" x14ac:dyDescent="0.3">
      <c r="A39" t="s">
        <v>744</v>
      </c>
      <c r="B39" s="63" t="s">
        <v>501</v>
      </c>
      <c r="C39" s="63" t="s">
        <v>75</v>
      </c>
      <c r="D39" s="63" t="s">
        <v>75</v>
      </c>
      <c r="E39" s="63" t="s">
        <v>76</v>
      </c>
      <c r="F39" s="63" t="s">
        <v>76</v>
      </c>
      <c r="G39" s="63" t="s">
        <v>53</v>
      </c>
      <c r="H39" s="63" t="s">
        <v>53</v>
      </c>
      <c r="I39" s="63" t="s">
        <v>767</v>
      </c>
      <c r="J39" s="63" t="s">
        <v>767</v>
      </c>
      <c r="K39" s="63" t="s">
        <v>193</v>
      </c>
      <c r="L39" s="63" t="s">
        <v>194</v>
      </c>
      <c r="M39" s="63" t="s">
        <v>56</v>
      </c>
      <c r="N39" s="63" t="s">
        <v>57</v>
      </c>
      <c r="O39" s="77">
        <v>-3405</v>
      </c>
      <c r="P39" s="77">
        <v>-3405</v>
      </c>
      <c r="Q39" s="77">
        <v>-3405</v>
      </c>
      <c r="R39" s="77">
        <v>-3405</v>
      </c>
      <c r="S39" s="77">
        <v>-3405</v>
      </c>
      <c r="T39" s="77">
        <v>-3405</v>
      </c>
      <c r="U39" s="77">
        <v>-3405</v>
      </c>
      <c r="V39" s="77">
        <v>-3405</v>
      </c>
      <c r="W39" s="77">
        <v>-3405</v>
      </c>
      <c r="X39" s="77">
        <v>-3405</v>
      </c>
      <c r="Y39" s="77">
        <v>-3405</v>
      </c>
      <c r="Z39" s="77">
        <v>-3405</v>
      </c>
      <c r="AA39" s="77">
        <v>-40860</v>
      </c>
      <c r="AB39" s="119">
        <f t="shared" si="0"/>
        <v>-40860</v>
      </c>
    </row>
    <row r="40" spans="1:28" x14ac:dyDescent="0.3">
      <c r="A40" t="s">
        <v>744</v>
      </c>
      <c r="B40" s="63" t="s">
        <v>501</v>
      </c>
      <c r="C40" s="63" t="s">
        <v>75</v>
      </c>
      <c r="D40" s="63" t="s">
        <v>75</v>
      </c>
      <c r="E40" s="63" t="s">
        <v>93</v>
      </c>
      <c r="F40" s="63" t="s">
        <v>93</v>
      </c>
      <c r="G40" s="63" t="s">
        <v>53</v>
      </c>
      <c r="H40" s="63" t="s">
        <v>53</v>
      </c>
      <c r="I40" s="63" t="s">
        <v>767</v>
      </c>
      <c r="J40" s="63" t="s">
        <v>767</v>
      </c>
      <c r="K40" s="63" t="s">
        <v>770</v>
      </c>
      <c r="L40" s="63" t="s">
        <v>771</v>
      </c>
      <c r="M40" s="63" t="s">
        <v>56</v>
      </c>
      <c r="N40" s="63" t="s">
        <v>57</v>
      </c>
      <c r="O40" s="77">
        <v>-124.85</v>
      </c>
      <c r="P40" s="77">
        <v>-124.85</v>
      </c>
      <c r="Q40" s="77">
        <v>-124.85</v>
      </c>
      <c r="R40" s="77">
        <v>-124.85</v>
      </c>
      <c r="S40" s="77">
        <v>-124.85</v>
      </c>
      <c r="T40" s="77">
        <v>-124.85</v>
      </c>
      <c r="U40" s="77">
        <v>-124.85</v>
      </c>
      <c r="V40" s="77">
        <v>-124.85</v>
      </c>
      <c r="W40" s="77">
        <v>-124.85</v>
      </c>
      <c r="X40" s="77">
        <v>-124.85</v>
      </c>
      <c r="Y40" s="77">
        <v>-124.85</v>
      </c>
      <c r="Z40" s="77">
        <v>-124.85</v>
      </c>
      <c r="AA40" s="77">
        <v>-1498.1999999999998</v>
      </c>
      <c r="AB40" s="119">
        <f t="shared" si="0"/>
        <v>-1498.1999999999998</v>
      </c>
    </row>
    <row r="41" spans="1:28" x14ac:dyDescent="0.3">
      <c r="A41" t="s">
        <v>766</v>
      </c>
      <c r="B41" s="63" t="s">
        <v>512</v>
      </c>
      <c r="C41" s="63" t="s">
        <v>51</v>
      </c>
      <c r="D41" s="63" t="s">
        <v>51</v>
      </c>
      <c r="E41" s="63" t="s">
        <v>64</v>
      </c>
      <c r="F41" s="63" t="s">
        <v>64</v>
      </c>
      <c r="G41" s="63" t="s">
        <v>53</v>
      </c>
      <c r="H41" s="63" t="s">
        <v>53</v>
      </c>
      <c r="I41" s="63" t="s">
        <v>767</v>
      </c>
      <c r="J41" s="63" t="s">
        <v>767</v>
      </c>
      <c r="K41" s="63" t="s">
        <v>65</v>
      </c>
      <c r="L41" s="63"/>
      <c r="M41" s="63" t="s">
        <v>56</v>
      </c>
      <c r="N41" s="63" t="s">
        <v>57</v>
      </c>
      <c r="O41" s="77">
        <v>-8750</v>
      </c>
      <c r="P41" s="77">
        <v>-8750</v>
      </c>
      <c r="Q41" s="77">
        <v>-8750</v>
      </c>
      <c r="R41" s="77">
        <v>-8750</v>
      </c>
      <c r="S41" s="77">
        <v>-8750</v>
      </c>
      <c r="T41" s="77">
        <v>-8750</v>
      </c>
      <c r="U41" s="77">
        <v>-8750</v>
      </c>
      <c r="V41" s="77">
        <v>-8750</v>
      </c>
      <c r="W41" s="77">
        <v>-8750</v>
      </c>
      <c r="X41" s="77">
        <v>-8750</v>
      </c>
      <c r="Y41" s="77">
        <v>-8750</v>
      </c>
      <c r="Z41" s="77">
        <v>-8750</v>
      </c>
      <c r="AA41" s="77">
        <v>-105000</v>
      </c>
      <c r="AB41" s="77">
        <f t="shared" si="0"/>
        <v>-105000</v>
      </c>
    </row>
    <row r="42" spans="1:28" x14ac:dyDescent="0.3">
      <c r="A42" t="s">
        <v>744</v>
      </c>
      <c r="B42" s="63" t="s">
        <v>501</v>
      </c>
      <c r="C42" s="63" t="s">
        <v>75</v>
      </c>
      <c r="D42" s="63" t="s">
        <v>75</v>
      </c>
      <c r="E42" s="63" t="s">
        <v>85</v>
      </c>
      <c r="F42" s="63" t="s">
        <v>85</v>
      </c>
      <c r="G42" s="63" t="s">
        <v>53</v>
      </c>
      <c r="H42" s="63" t="s">
        <v>53</v>
      </c>
      <c r="I42" s="63" t="s">
        <v>767</v>
      </c>
      <c r="J42" s="63" t="s">
        <v>767</v>
      </c>
      <c r="K42" s="63" t="s">
        <v>88</v>
      </c>
      <c r="L42" s="63" t="s">
        <v>89</v>
      </c>
      <c r="M42" s="63" t="s">
        <v>56</v>
      </c>
      <c r="N42" s="63" t="s">
        <v>57</v>
      </c>
      <c r="O42" s="77">
        <v>-834</v>
      </c>
      <c r="P42" s="77">
        <v>-834</v>
      </c>
      <c r="Q42" s="77">
        <v>-834</v>
      </c>
      <c r="R42" s="77">
        <v>-834</v>
      </c>
      <c r="S42" s="77">
        <v>-834</v>
      </c>
      <c r="T42" s="77">
        <v>-834</v>
      </c>
      <c r="U42" s="77">
        <v>-834</v>
      </c>
      <c r="V42" s="77">
        <v>-834</v>
      </c>
      <c r="W42" s="77">
        <v>-834</v>
      </c>
      <c r="X42" s="77">
        <v>-834</v>
      </c>
      <c r="Y42" s="77">
        <v>-834</v>
      </c>
      <c r="Z42" s="77">
        <v>-834</v>
      </c>
      <c r="AA42" s="77">
        <v>-10008</v>
      </c>
      <c r="AB42" s="77">
        <f t="shared" si="0"/>
        <v>-10008</v>
      </c>
    </row>
    <row r="47" spans="1:28" x14ac:dyDescent="0.3">
      <c r="A47" s="57" t="s">
        <v>788</v>
      </c>
      <c r="B47" s="57"/>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79">
        <f>SUBTOTAL(9,AB49:AB72)</f>
        <v>-1823264.04</v>
      </c>
    </row>
    <row r="48" spans="1:28" x14ac:dyDescent="0.3">
      <c r="A48" s="65" t="s">
        <v>22</v>
      </c>
      <c r="B48" s="65" t="s">
        <v>23</v>
      </c>
      <c r="C48" s="65" t="s">
        <v>24</v>
      </c>
      <c r="D48" s="65" t="s">
        <v>25</v>
      </c>
      <c r="E48" s="65" t="s">
        <v>26</v>
      </c>
      <c r="F48" s="65" t="s">
        <v>27</v>
      </c>
      <c r="G48" s="65" t="s">
        <v>28</v>
      </c>
      <c r="H48" s="65" t="s">
        <v>29</v>
      </c>
      <c r="I48" s="65" t="s">
        <v>30</v>
      </c>
      <c r="J48" s="65" t="s">
        <v>31</v>
      </c>
      <c r="K48" s="65" t="s">
        <v>32</v>
      </c>
      <c r="L48" s="65" t="s">
        <v>33</v>
      </c>
      <c r="M48" s="65" t="s">
        <v>34</v>
      </c>
      <c r="N48" s="65" t="s">
        <v>35</v>
      </c>
      <c r="O48" s="65" t="s">
        <v>36</v>
      </c>
      <c r="P48" s="65" t="s">
        <v>37</v>
      </c>
      <c r="Q48" s="65" t="s">
        <v>38</v>
      </c>
      <c r="R48" s="65" t="s">
        <v>39</v>
      </c>
      <c r="S48" s="65" t="s">
        <v>40</v>
      </c>
      <c r="T48" s="65" t="s">
        <v>41</v>
      </c>
      <c r="U48" s="65" t="s">
        <v>42</v>
      </c>
      <c r="V48" s="65" t="s">
        <v>43</v>
      </c>
      <c r="W48" s="65" t="s">
        <v>44</v>
      </c>
      <c r="X48" s="65" t="s">
        <v>45</v>
      </c>
      <c r="Y48" s="65" t="s">
        <v>46</v>
      </c>
      <c r="Z48" s="65" t="s">
        <v>47</v>
      </c>
      <c r="AA48" s="65" t="s">
        <v>48</v>
      </c>
      <c r="AB48" s="78" t="s">
        <v>49</v>
      </c>
    </row>
    <row r="49" spans="1:28" x14ac:dyDescent="0.3">
      <c r="A49" t="s">
        <v>789</v>
      </c>
      <c r="B49" t="str">
        <f>LEFT(C49,4)</f>
        <v>0560</v>
      </c>
      <c r="C49" t="s">
        <v>571</v>
      </c>
      <c r="E49">
        <v>613020</v>
      </c>
      <c r="F49">
        <v>613020</v>
      </c>
      <c r="G49" t="s">
        <v>572</v>
      </c>
      <c r="H49" t="s">
        <v>572</v>
      </c>
      <c r="I49" t="s">
        <v>754</v>
      </c>
      <c r="J49" t="s">
        <v>754</v>
      </c>
      <c r="K49" t="s">
        <v>73</v>
      </c>
      <c r="M49" s="63" t="s">
        <v>56</v>
      </c>
      <c r="N49" s="63" t="s">
        <v>57</v>
      </c>
      <c r="O49" s="77">
        <v>-1166.6666666666667</v>
      </c>
      <c r="P49" s="77">
        <v>-1166.6666666666667</v>
      </c>
      <c r="Q49" s="77">
        <v>-1166.6666666666667</v>
      </c>
      <c r="R49" s="77">
        <v>-1166.6666666666667</v>
      </c>
      <c r="S49" s="77">
        <v>-1166.6666666666667</v>
      </c>
      <c r="T49" s="77">
        <v>-1166.6666666666667</v>
      </c>
      <c r="U49" s="77">
        <v>-1166.6666666666667</v>
      </c>
      <c r="V49" s="77">
        <v>-1166.6666666666667</v>
      </c>
      <c r="W49" s="77">
        <v>-1166.6666666666667</v>
      </c>
      <c r="X49" s="77">
        <v>-1166.6666666666667</v>
      </c>
      <c r="Y49" s="77">
        <v>-1166.6666666666667</v>
      </c>
      <c r="Z49" s="77">
        <v>-1166.6666666666667</v>
      </c>
      <c r="AA49" s="77">
        <f>SUM(O49:Z49)</f>
        <v>-13999.999999999998</v>
      </c>
      <c r="AB49" s="43">
        <f>AA49</f>
        <v>-13999.999999999998</v>
      </c>
    </row>
    <row r="50" spans="1:28" x14ac:dyDescent="0.3">
      <c r="A50" t="s">
        <v>744</v>
      </c>
      <c r="B50" t="str">
        <f t="shared" ref="B50:B72" si="1">LEFT(C50,4)</f>
        <v>0530</v>
      </c>
      <c r="C50" t="s">
        <v>578</v>
      </c>
      <c r="E50">
        <v>612503</v>
      </c>
      <c r="F50">
        <v>612503</v>
      </c>
      <c r="G50" t="s">
        <v>572</v>
      </c>
      <c r="H50" t="s">
        <v>572</v>
      </c>
      <c r="I50" t="s">
        <v>754</v>
      </c>
      <c r="J50" t="s">
        <v>754</v>
      </c>
      <c r="K50" t="s">
        <v>590</v>
      </c>
      <c r="M50" s="63" t="s">
        <v>56</v>
      </c>
      <c r="N50" s="63" t="s">
        <v>57</v>
      </c>
      <c r="O50" s="77"/>
      <c r="P50" s="77">
        <v>0</v>
      </c>
      <c r="Q50" s="77">
        <v>0</v>
      </c>
      <c r="R50" s="77">
        <v>0</v>
      </c>
      <c r="S50" s="77">
        <v>0</v>
      </c>
      <c r="T50" s="77">
        <v>0</v>
      </c>
      <c r="U50" s="77">
        <v>-2083.3333333333298</v>
      </c>
      <c r="V50" s="77">
        <v>-2083.3333333333298</v>
      </c>
      <c r="W50" s="77">
        <v>-2083.3333333333298</v>
      </c>
      <c r="X50" s="77">
        <v>-2083.3333333333298</v>
      </c>
      <c r="Y50" s="77">
        <v>-2083.3333333333298</v>
      </c>
      <c r="Z50" s="77">
        <v>-2083.3333333333298</v>
      </c>
      <c r="AA50" s="77">
        <f t="shared" ref="AA50:AA72" si="2">SUM(O50:Z50)</f>
        <v>-12499.99999999998</v>
      </c>
      <c r="AB50" s="43">
        <f t="shared" ref="AB50:AB72" si="3">AA50</f>
        <v>-12499.99999999998</v>
      </c>
    </row>
    <row r="51" spans="1:28" x14ac:dyDescent="0.3">
      <c r="A51" t="s">
        <v>744</v>
      </c>
      <c r="B51" t="str">
        <f t="shared" si="1"/>
        <v>0530</v>
      </c>
      <c r="C51" t="s">
        <v>578</v>
      </c>
      <c r="E51">
        <v>612503</v>
      </c>
      <c r="F51">
        <v>612503</v>
      </c>
      <c r="G51" t="s">
        <v>572</v>
      </c>
      <c r="H51" t="s">
        <v>572</v>
      </c>
      <c r="I51" t="s">
        <v>754</v>
      </c>
      <c r="J51" t="s">
        <v>754</v>
      </c>
      <c r="K51" t="s">
        <v>591</v>
      </c>
      <c r="M51" s="63" t="s">
        <v>56</v>
      </c>
      <c r="N51" s="63" t="s">
        <v>57</v>
      </c>
      <c r="O51" s="77">
        <v>0</v>
      </c>
      <c r="P51" s="77">
        <v>0</v>
      </c>
      <c r="Q51" s="77">
        <v>0</v>
      </c>
      <c r="R51" s="77">
        <v>0</v>
      </c>
      <c r="S51" s="77">
        <v>0</v>
      </c>
      <c r="T51" s="77">
        <v>0</v>
      </c>
      <c r="U51" s="77">
        <v>-20000</v>
      </c>
      <c r="V51" s="77">
        <v>-20000</v>
      </c>
      <c r="W51" s="77">
        <v>-20000</v>
      </c>
      <c r="X51" s="77">
        <v>-20000</v>
      </c>
      <c r="Y51" s="77">
        <v>-20000</v>
      </c>
      <c r="Z51" s="77">
        <v>-20000</v>
      </c>
      <c r="AA51" s="77">
        <f t="shared" si="2"/>
        <v>-120000</v>
      </c>
      <c r="AB51" s="43">
        <f t="shared" si="3"/>
        <v>-120000</v>
      </c>
    </row>
    <row r="52" spans="1:28" x14ac:dyDescent="0.3">
      <c r="A52" t="s">
        <v>744</v>
      </c>
      <c r="B52" t="str">
        <f t="shared" si="1"/>
        <v>0530</v>
      </c>
      <c r="C52" t="s">
        <v>578</v>
      </c>
      <c r="E52">
        <v>612520</v>
      </c>
      <c r="F52">
        <v>612520</v>
      </c>
      <c r="G52" t="s">
        <v>572</v>
      </c>
      <c r="H52" t="s">
        <v>572</v>
      </c>
      <c r="I52" t="s">
        <v>754</v>
      </c>
      <c r="J52" t="s">
        <v>754</v>
      </c>
      <c r="K52" t="s">
        <v>599</v>
      </c>
      <c r="M52" s="63" t="s">
        <v>56</v>
      </c>
      <c r="N52" s="63" t="s">
        <v>57</v>
      </c>
      <c r="O52" s="77">
        <v>-5500</v>
      </c>
      <c r="P52" s="77">
        <v>-5500</v>
      </c>
      <c r="Q52" s="77">
        <v>-5500</v>
      </c>
      <c r="R52" s="77">
        <v>-5500</v>
      </c>
      <c r="S52" s="77">
        <v>-5500</v>
      </c>
      <c r="T52" s="77">
        <v>-5500</v>
      </c>
      <c r="U52" s="77">
        <v>-5500</v>
      </c>
      <c r="V52" s="77">
        <v>-5500</v>
      </c>
      <c r="W52" s="77">
        <v>-5500</v>
      </c>
      <c r="X52" s="77">
        <v>-5500</v>
      </c>
      <c r="Y52" s="77">
        <v>-5500</v>
      </c>
      <c r="Z52" s="77">
        <v>-5500</v>
      </c>
      <c r="AA52" s="77">
        <f t="shared" si="2"/>
        <v>-66000</v>
      </c>
      <c r="AB52" s="43">
        <f t="shared" si="3"/>
        <v>-66000</v>
      </c>
    </row>
    <row r="53" spans="1:28" x14ac:dyDescent="0.3">
      <c r="A53" t="s">
        <v>744</v>
      </c>
      <c r="B53" t="str">
        <f t="shared" si="1"/>
        <v>0530</v>
      </c>
      <c r="C53" t="s">
        <v>578</v>
      </c>
      <c r="E53">
        <v>612520</v>
      </c>
      <c r="F53">
        <v>612520</v>
      </c>
      <c r="G53" t="s">
        <v>572</v>
      </c>
      <c r="H53" t="s">
        <v>572</v>
      </c>
      <c r="I53" t="s">
        <v>754</v>
      </c>
      <c r="J53" t="s">
        <v>754</v>
      </c>
      <c r="K53" t="s">
        <v>604</v>
      </c>
      <c r="M53" s="63" t="s">
        <v>56</v>
      </c>
      <c r="N53" s="63" t="s">
        <v>57</v>
      </c>
      <c r="O53" s="77">
        <v>-1666.67</v>
      </c>
      <c r="P53" s="77">
        <v>-1666.67</v>
      </c>
      <c r="Q53" s="77">
        <v>-1666.67</v>
      </c>
      <c r="R53" s="77">
        <v>-1666.67</v>
      </c>
      <c r="S53" s="77">
        <v>-1666.67</v>
      </c>
      <c r="T53" s="77">
        <v>-1666.67</v>
      </c>
      <c r="U53" s="77">
        <v>-1666.67</v>
      </c>
      <c r="V53" s="77">
        <v>-1666.67</v>
      </c>
      <c r="W53" s="77">
        <v>-1666.67</v>
      </c>
      <c r="X53" s="77">
        <v>-1666.67</v>
      </c>
      <c r="Y53" s="77">
        <v>-1666.67</v>
      </c>
      <c r="Z53" s="77">
        <v>-1666.67</v>
      </c>
      <c r="AA53" s="77">
        <f t="shared" si="2"/>
        <v>-20000.04</v>
      </c>
      <c r="AB53" s="43">
        <f t="shared" si="3"/>
        <v>-20000.04</v>
      </c>
    </row>
    <row r="54" spans="1:28" x14ac:dyDescent="0.3">
      <c r="A54" t="s">
        <v>744</v>
      </c>
      <c r="B54" t="str">
        <f t="shared" si="1"/>
        <v>0530</v>
      </c>
      <c r="C54" t="s">
        <v>578</v>
      </c>
      <c r="E54">
        <v>612620</v>
      </c>
      <c r="F54">
        <v>612620</v>
      </c>
      <c r="G54" t="s">
        <v>572</v>
      </c>
      <c r="H54" t="s">
        <v>572</v>
      </c>
      <c r="I54" t="s">
        <v>754</v>
      </c>
      <c r="J54" t="s">
        <v>754</v>
      </c>
      <c r="K54" t="s">
        <v>755</v>
      </c>
      <c r="M54" s="63" t="s">
        <v>56</v>
      </c>
      <c r="N54" s="63" t="s">
        <v>57</v>
      </c>
      <c r="O54" s="77">
        <v>-5500</v>
      </c>
      <c r="P54" s="77">
        <v>-5500</v>
      </c>
      <c r="Q54" s="77">
        <v>-5500</v>
      </c>
      <c r="R54" s="77">
        <v>-5500</v>
      </c>
      <c r="S54" s="77">
        <v>-5500</v>
      </c>
      <c r="T54" s="77">
        <v>-5500</v>
      </c>
      <c r="U54" s="77">
        <v>-5500</v>
      </c>
      <c r="V54" s="77">
        <v>-5500</v>
      </c>
      <c r="W54" s="77">
        <v>-5500</v>
      </c>
      <c r="X54" s="77">
        <v>-5500</v>
      </c>
      <c r="Y54" s="77">
        <v>-5500</v>
      </c>
      <c r="Z54" s="77">
        <v>-5500</v>
      </c>
      <c r="AA54" s="77">
        <f t="shared" si="2"/>
        <v>-66000</v>
      </c>
      <c r="AB54" s="43">
        <f t="shared" si="3"/>
        <v>-66000</v>
      </c>
    </row>
    <row r="55" spans="1:28" x14ac:dyDescent="0.3">
      <c r="A55" t="s">
        <v>744</v>
      </c>
      <c r="B55" t="str">
        <f t="shared" si="1"/>
        <v>0530</v>
      </c>
      <c r="C55" t="s">
        <v>578</v>
      </c>
      <c r="E55">
        <v>612620</v>
      </c>
      <c r="F55">
        <v>612620</v>
      </c>
      <c r="G55" t="s">
        <v>572</v>
      </c>
      <c r="H55" t="s">
        <v>572</v>
      </c>
      <c r="I55" t="s">
        <v>754</v>
      </c>
      <c r="J55" t="s">
        <v>754</v>
      </c>
      <c r="K55" t="s">
        <v>756</v>
      </c>
      <c r="M55" s="63" t="s">
        <v>56</v>
      </c>
      <c r="N55" s="63" t="s">
        <v>57</v>
      </c>
      <c r="O55" s="77">
        <v>-6134</v>
      </c>
      <c r="P55" s="77">
        <v>-6134</v>
      </c>
      <c r="Q55" s="77">
        <v>-6134</v>
      </c>
      <c r="R55" s="77">
        <v>-6134</v>
      </c>
      <c r="S55" s="77">
        <v>-6134</v>
      </c>
      <c r="T55" s="77">
        <v>-6134</v>
      </c>
      <c r="U55" s="77">
        <v>-19120</v>
      </c>
      <c r="V55" s="77">
        <v>-19120</v>
      </c>
      <c r="W55" s="77">
        <v>-19120</v>
      </c>
      <c r="X55" s="77">
        <v>-19120</v>
      </c>
      <c r="Y55" s="77">
        <v>-19120</v>
      </c>
      <c r="Z55" s="77">
        <v>-19120</v>
      </c>
      <c r="AA55" s="77">
        <f t="shared" si="2"/>
        <v>-151524</v>
      </c>
      <c r="AB55" s="43">
        <f t="shared" si="3"/>
        <v>-151524</v>
      </c>
    </row>
    <row r="56" spans="1:28" x14ac:dyDescent="0.3">
      <c r="A56" t="s">
        <v>744</v>
      </c>
      <c r="B56" t="str">
        <f t="shared" si="1"/>
        <v>0530</v>
      </c>
      <c r="C56" t="s">
        <v>578</v>
      </c>
      <c r="E56">
        <v>613025</v>
      </c>
      <c r="F56">
        <v>613025</v>
      </c>
      <c r="G56" t="s">
        <v>572</v>
      </c>
      <c r="H56" t="s">
        <v>572</v>
      </c>
      <c r="I56" t="s">
        <v>754</v>
      </c>
      <c r="J56" t="s">
        <v>754</v>
      </c>
      <c r="K56" t="s">
        <v>616</v>
      </c>
      <c r="M56" s="63" t="s">
        <v>56</v>
      </c>
      <c r="N56" s="63" t="s">
        <v>57</v>
      </c>
      <c r="O56" s="77">
        <v>-8820</v>
      </c>
      <c r="P56" s="77">
        <v>-8820</v>
      </c>
      <c r="Q56" s="77">
        <v>-8820</v>
      </c>
      <c r="R56" s="77">
        <v>-8820</v>
      </c>
      <c r="S56" s="77">
        <v>-8820</v>
      </c>
      <c r="T56" s="77">
        <v>-8820</v>
      </c>
      <c r="U56" s="77">
        <v>-8820</v>
      </c>
      <c r="V56" s="77">
        <v>-8820</v>
      </c>
      <c r="W56" s="77">
        <v>-8820</v>
      </c>
      <c r="X56" s="77">
        <v>-8820</v>
      </c>
      <c r="Y56" s="77">
        <v>-8820</v>
      </c>
      <c r="Z56" s="77">
        <v>-8820</v>
      </c>
      <c r="AA56" s="77">
        <f t="shared" si="2"/>
        <v>-105840</v>
      </c>
      <c r="AB56" s="43">
        <f t="shared" si="3"/>
        <v>-105840</v>
      </c>
    </row>
    <row r="57" spans="1:28" x14ac:dyDescent="0.3">
      <c r="A57" t="s">
        <v>724</v>
      </c>
      <c r="B57" t="str">
        <f t="shared" si="1"/>
        <v>0520</v>
      </c>
      <c r="C57" t="s">
        <v>617</v>
      </c>
      <c r="E57">
        <v>603300</v>
      </c>
      <c r="F57">
        <v>603300</v>
      </c>
      <c r="G57" t="s">
        <v>572</v>
      </c>
      <c r="H57" t="s">
        <v>572</v>
      </c>
      <c r="I57" t="s">
        <v>754</v>
      </c>
      <c r="J57" t="s">
        <v>754</v>
      </c>
      <c r="K57" t="s">
        <v>618</v>
      </c>
      <c r="M57" s="63" t="s">
        <v>56</v>
      </c>
      <c r="N57" s="63" t="s">
        <v>57</v>
      </c>
      <c r="O57" s="77">
        <v>-25000</v>
      </c>
      <c r="P57" s="77">
        <v>-25000</v>
      </c>
      <c r="Q57" s="77">
        <v>-25000</v>
      </c>
      <c r="R57" s="77">
        <v>-25000</v>
      </c>
      <c r="S57" s="77">
        <v>-25000</v>
      </c>
      <c r="T57" s="77">
        <v>-25000</v>
      </c>
      <c r="U57" s="77">
        <v>-25000</v>
      </c>
      <c r="V57" s="77">
        <v>-25000</v>
      </c>
      <c r="W57" s="77">
        <v>-25000</v>
      </c>
      <c r="X57" s="77">
        <v>-25000</v>
      </c>
      <c r="Y57" s="77">
        <v>-25000</v>
      </c>
      <c r="Z57" s="77">
        <v>-25000</v>
      </c>
      <c r="AA57" s="77">
        <f t="shared" si="2"/>
        <v>-300000</v>
      </c>
      <c r="AB57" s="43">
        <f t="shared" si="3"/>
        <v>-300000</v>
      </c>
    </row>
    <row r="58" spans="1:28" x14ac:dyDescent="0.3">
      <c r="A58" t="s">
        <v>724</v>
      </c>
      <c r="B58" t="str">
        <f t="shared" si="1"/>
        <v>0520</v>
      </c>
      <c r="C58" t="s">
        <v>617</v>
      </c>
      <c r="E58">
        <v>613003</v>
      </c>
      <c r="F58">
        <v>613003</v>
      </c>
      <c r="G58" t="s">
        <v>572</v>
      </c>
      <c r="H58" t="s">
        <v>572</v>
      </c>
      <c r="I58" t="s">
        <v>754</v>
      </c>
      <c r="J58" t="s">
        <v>754</v>
      </c>
      <c r="K58" t="s">
        <v>641</v>
      </c>
      <c r="M58" s="63" t="s">
        <v>56</v>
      </c>
      <c r="N58" s="63" t="s">
        <v>57</v>
      </c>
      <c r="O58" s="77">
        <v>-833.33333333333337</v>
      </c>
      <c r="P58" s="77">
        <v>-833.33333333333337</v>
      </c>
      <c r="Q58" s="77">
        <v>-833.33333333333337</v>
      </c>
      <c r="R58" s="77">
        <v>-833.33333333333337</v>
      </c>
      <c r="S58" s="77">
        <v>-833.33333333333337</v>
      </c>
      <c r="T58" s="77">
        <v>-833.33333333333337</v>
      </c>
      <c r="U58" s="77">
        <v>-833.33333333333337</v>
      </c>
      <c r="V58" s="77">
        <v>-833.33333333333337</v>
      </c>
      <c r="W58" s="77">
        <v>-833.33333333333337</v>
      </c>
      <c r="X58" s="77">
        <v>-833.33333333333337</v>
      </c>
      <c r="Y58" s="77">
        <v>-833.33333333333337</v>
      </c>
      <c r="Z58" s="77">
        <v>-833.33333333333337</v>
      </c>
      <c r="AA58" s="77">
        <f t="shared" si="2"/>
        <v>-10000</v>
      </c>
      <c r="AB58" s="43">
        <f t="shared" si="3"/>
        <v>-10000</v>
      </c>
    </row>
    <row r="59" spans="1:28" x14ac:dyDescent="0.3">
      <c r="A59" t="s">
        <v>724</v>
      </c>
      <c r="B59" t="str">
        <f t="shared" si="1"/>
        <v>0520</v>
      </c>
      <c r="C59" t="s">
        <v>617</v>
      </c>
      <c r="E59">
        <v>612502</v>
      </c>
      <c r="F59">
        <v>612502</v>
      </c>
      <c r="G59" t="s">
        <v>572</v>
      </c>
      <c r="H59" t="s">
        <v>572</v>
      </c>
      <c r="I59" t="s">
        <v>754</v>
      </c>
      <c r="J59" t="s">
        <v>754</v>
      </c>
      <c r="K59" t="s">
        <v>642</v>
      </c>
      <c r="M59" s="63" t="s">
        <v>56</v>
      </c>
      <c r="N59" s="63" t="s">
        <v>57</v>
      </c>
      <c r="O59" s="77">
        <v>-8333.3333333333339</v>
      </c>
      <c r="P59" s="77">
        <v>-8333.3333333333339</v>
      </c>
      <c r="Q59" s="77">
        <v>-8333.3333333333339</v>
      </c>
      <c r="R59" s="77">
        <v>-8333.3333333333339</v>
      </c>
      <c r="S59" s="77">
        <v>-8333.3333333333339</v>
      </c>
      <c r="T59" s="77">
        <v>-8333.3333333333339</v>
      </c>
      <c r="U59" s="77">
        <v>-8333.3333333333339</v>
      </c>
      <c r="V59" s="77">
        <v>-8333.3333333333339</v>
      </c>
      <c r="W59" s="77">
        <v>-8333.3333333333339</v>
      </c>
      <c r="X59" s="77">
        <v>-8333.3333333333339</v>
      </c>
      <c r="Y59" s="77">
        <v>-8333.3333333333339</v>
      </c>
      <c r="Z59" s="77">
        <v>-8333.3333333333339</v>
      </c>
      <c r="AA59" s="77">
        <f t="shared" si="2"/>
        <v>-99999.999999999985</v>
      </c>
      <c r="AB59" s="43">
        <f t="shared" si="3"/>
        <v>-99999.999999999985</v>
      </c>
    </row>
    <row r="60" spans="1:28" x14ac:dyDescent="0.3">
      <c r="A60" t="s">
        <v>724</v>
      </c>
      <c r="B60" t="str">
        <f t="shared" si="1"/>
        <v>0520</v>
      </c>
      <c r="C60" t="s">
        <v>617</v>
      </c>
      <c r="E60">
        <v>613003</v>
      </c>
      <c r="F60">
        <v>613003</v>
      </c>
      <c r="G60" t="s">
        <v>572</v>
      </c>
      <c r="H60" t="s">
        <v>572</v>
      </c>
      <c r="I60" t="s">
        <v>754</v>
      </c>
      <c r="J60" t="s">
        <v>754</v>
      </c>
      <c r="K60" t="s">
        <v>643</v>
      </c>
      <c r="M60" s="63" t="s">
        <v>56</v>
      </c>
      <c r="N60" s="63" t="s">
        <v>57</v>
      </c>
      <c r="O60" s="77">
        <v>-4583.333333333333</v>
      </c>
      <c r="P60" s="77">
        <v>-4583.333333333333</v>
      </c>
      <c r="Q60" s="77">
        <v>-4583.333333333333</v>
      </c>
      <c r="R60" s="77">
        <v>-4583.333333333333</v>
      </c>
      <c r="S60" s="77">
        <v>-4583.333333333333</v>
      </c>
      <c r="T60" s="77">
        <v>-4583.333333333333</v>
      </c>
      <c r="U60" s="77">
        <v>-4583.333333333333</v>
      </c>
      <c r="V60" s="77">
        <v>-4583.333333333333</v>
      </c>
      <c r="W60" s="77">
        <v>-4583.333333333333</v>
      </c>
      <c r="X60" s="77">
        <v>-4583.333333333333</v>
      </c>
      <c r="Y60" s="77">
        <v>-4583.333333333333</v>
      </c>
      <c r="Z60" s="77">
        <v>-4583.333333333333</v>
      </c>
      <c r="AA60" s="77">
        <f t="shared" si="2"/>
        <v>-55000.000000000007</v>
      </c>
      <c r="AB60" s="43">
        <f t="shared" si="3"/>
        <v>-55000.000000000007</v>
      </c>
    </row>
    <row r="61" spans="1:28" x14ac:dyDescent="0.3">
      <c r="A61" t="s">
        <v>778</v>
      </c>
      <c r="B61" t="str">
        <f t="shared" si="1"/>
        <v>0540</v>
      </c>
      <c r="C61" t="s">
        <v>644</v>
      </c>
      <c r="E61">
        <v>613004</v>
      </c>
      <c r="F61">
        <v>613004</v>
      </c>
      <c r="G61" t="s">
        <v>572</v>
      </c>
      <c r="H61" t="s">
        <v>572</v>
      </c>
      <c r="I61" t="s">
        <v>754</v>
      </c>
      <c r="J61" t="s">
        <v>754</v>
      </c>
      <c r="K61" t="s">
        <v>646</v>
      </c>
      <c r="M61" s="63" t="s">
        <v>56</v>
      </c>
      <c r="N61" s="63" t="s">
        <v>57</v>
      </c>
      <c r="O61" s="77">
        <v>-700</v>
      </c>
      <c r="P61" s="77">
        <v>-700</v>
      </c>
      <c r="Q61" s="77">
        <v>-700</v>
      </c>
      <c r="R61" s="77">
        <v>-700</v>
      </c>
      <c r="S61" s="77">
        <v>-700</v>
      </c>
      <c r="T61" s="77">
        <v>-700</v>
      </c>
      <c r="U61" s="77">
        <v>-700</v>
      </c>
      <c r="V61" s="77">
        <v>-700</v>
      </c>
      <c r="W61" s="77">
        <v>-700</v>
      </c>
      <c r="X61" s="77">
        <v>-700</v>
      </c>
      <c r="Y61" s="77">
        <v>-700</v>
      </c>
      <c r="Z61" s="77">
        <v>-700</v>
      </c>
      <c r="AA61" s="77">
        <f t="shared" si="2"/>
        <v>-8400</v>
      </c>
      <c r="AB61" s="43">
        <f t="shared" si="3"/>
        <v>-8400</v>
      </c>
    </row>
    <row r="62" spans="1:28" x14ac:dyDescent="0.3">
      <c r="A62" t="s">
        <v>790</v>
      </c>
      <c r="B62" t="str">
        <f t="shared" si="1"/>
        <v>0535</v>
      </c>
      <c r="C62" t="s">
        <v>649</v>
      </c>
      <c r="E62">
        <v>613020</v>
      </c>
      <c r="F62">
        <v>613020</v>
      </c>
      <c r="G62" t="s">
        <v>572</v>
      </c>
      <c r="H62" t="s">
        <v>572</v>
      </c>
      <c r="I62" t="s">
        <v>754</v>
      </c>
      <c r="J62" t="s">
        <v>754</v>
      </c>
      <c r="K62" t="s">
        <v>757</v>
      </c>
      <c r="M62" s="63" t="s">
        <v>56</v>
      </c>
      <c r="N62" s="63" t="s">
        <v>57</v>
      </c>
      <c r="O62" s="77">
        <v>-8333.3333333333339</v>
      </c>
      <c r="P62" s="77">
        <v>-8333.3333333333339</v>
      </c>
      <c r="Q62" s="77">
        <v>-8333.3333333333339</v>
      </c>
      <c r="R62" s="77">
        <v>-8333.3333333333339</v>
      </c>
      <c r="S62" s="77">
        <v>-8333.3333333333339</v>
      </c>
      <c r="T62" s="77">
        <v>-8333.3333333333339</v>
      </c>
      <c r="U62" s="77">
        <v>-8333.3333333333339</v>
      </c>
      <c r="V62" s="77">
        <v>-8333.3333333333339</v>
      </c>
      <c r="W62" s="77">
        <v>-8333.3333333333339</v>
      </c>
      <c r="X62" s="77">
        <v>-8333.3333333333339</v>
      </c>
      <c r="Y62" s="77">
        <v>-8333.3333333333339</v>
      </c>
      <c r="Z62" s="77">
        <v>-8333.3333333333339</v>
      </c>
      <c r="AA62" s="77">
        <f t="shared" si="2"/>
        <v>-99999.999999999985</v>
      </c>
      <c r="AB62" s="43">
        <f t="shared" si="3"/>
        <v>-99999.999999999985</v>
      </c>
    </row>
    <row r="63" spans="1:28" x14ac:dyDescent="0.3">
      <c r="A63" t="s">
        <v>718</v>
      </c>
      <c r="B63" t="str">
        <f t="shared" si="1"/>
        <v>0570</v>
      </c>
      <c r="C63" t="s">
        <v>669</v>
      </c>
      <c r="E63">
        <v>612520</v>
      </c>
      <c r="F63">
        <v>612520</v>
      </c>
      <c r="G63" t="s">
        <v>572</v>
      </c>
      <c r="H63" t="s">
        <v>572</v>
      </c>
      <c r="I63" t="s">
        <v>754</v>
      </c>
      <c r="J63" t="s">
        <v>754</v>
      </c>
      <c r="K63" t="s">
        <v>674</v>
      </c>
      <c r="M63" s="63" t="s">
        <v>56</v>
      </c>
      <c r="N63" s="63" t="s">
        <v>57</v>
      </c>
      <c r="O63" s="77">
        <v>-4166.666666666667</v>
      </c>
      <c r="P63" s="77">
        <v>-4166.666666666667</v>
      </c>
      <c r="Q63" s="77">
        <v>-4166.666666666667</v>
      </c>
      <c r="R63" s="77">
        <v>-4166.666666666667</v>
      </c>
      <c r="S63" s="77">
        <v>-4166.666666666667</v>
      </c>
      <c r="T63" s="77">
        <v>-4166.666666666667</v>
      </c>
      <c r="U63" s="77">
        <v>-4166.666666666667</v>
      </c>
      <c r="V63" s="77">
        <v>-4166.666666666667</v>
      </c>
      <c r="W63" s="77">
        <v>-4166.666666666667</v>
      </c>
      <c r="X63" s="77">
        <v>-4166.666666666667</v>
      </c>
      <c r="Y63" s="77">
        <v>-4166.666666666667</v>
      </c>
      <c r="Z63" s="77">
        <v>-4166.666666666667</v>
      </c>
      <c r="AA63" s="77">
        <f t="shared" si="2"/>
        <v>-49999.999999999993</v>
      </c>
      <c r="AB63" s="43">
        <f t="shared" si="3"/>
        <v>-49999.999999999993</v>
      </c>
    </row>
    <row r="64" spans="1:28" x14ac:dyDescent="0.3">
      <c r="A64" t="s">
        <v>718</v>
      </c>
      <c r="B64" t="str">
        <f t="shared" si="1"/>
        <v>0570</v>
      </c>
      <c r="C64" t="s">
        <v>669</v>
      </c>
      <c r="E64">
        <v>612520</v>
      </c>
      <c r="F64">
        <v>612520</v>
      </c>
      <c r="G64" t="s">
        <v>572</v>
      </c>
      <c r="H64" t="s">
        <v>572</v>
      </c>
      <c r="I64" t="s">
        <v>754</v>
      </c>
      <c r="J64" t="s">
        <v>754</v>
      </c>
      <c r="K64" t="s">
        <v>675</v>
      </c>
      <c r="M64" s="63" t="s">
        <v>56</v>
      </c>
      <c r="N64" s="63" t="s">
        <v>57</v>
      </c>
      <c r="O64" s="77">
        <v>-4166.666666666667</v>
      </c>
      <c r="P64" s="77">
        <v>-4166.666666666667</v>
      </c>
      <c r="Q64" s="77">
        <v>-4166.666666666667</v>
      </c>
      <c r="R64" s="77">
        <v>-4166.666666666667</v>
      </c>
      <c r="S64" s="77">
        <v>-4166.666666666667</v>
      </c>
      <c r="T64" s="77">
        <v>-4166.666666666667</v>
      </c>
      <c r="U64" s="77">
        <v>-4166.666666666667</v>
      </c>
      <c r="V64" s="77">
        <v>-4166.666666666667</v>
      </c>
      <c r="W64" s="77">
        <v>-4166.666666666667</v>
      </c>
      <c r="X64" s="77">
        <v>-4166.666666666667</v>
      </c>
      <c r="Y64" s="77">
        <v>-4166.666666666667</v>
      </c>
      <c r="Z64" s="77">
        <v>-4166.666666666667</v>
      </c>
      <c r="AA64" s="77">
        <f t="shared" si="2"/>
        <v>-49999.999999999993</v>
      </c>
      <c r="AB64" s="43">
        <f t="shared" si="3"/>
        <v>-49999.999999999993</v>
      </c>
    </row>
    <row r="65" spans="1:28" x14ac:dyDescent="0.3">
      <c r="A65" t="s">
        <v>718</v>
      </c>
      <c r="B65" t="str">
        <f t="shared" si="1"/>
        <v>0570</v>
      </c>
      <c r="C65" t="s">
        <v>669</v>
      </c>
      <c r="E65">
        <v>612520</v>
      </c>
      <c r="F65">
        <v>612520</v>
      </c>
      <c r="G65" t="s">
        <v>572</v>
      </c>
      <c r="H65" t="s">
        <v>572</v>
      </c>
      <c r="I65" t="s">
        <v>754</v>
      </c>
      <c r="J65" t="s">
        <v>754</v>
      </c>
      <c r="K65" t="s">
        <v>676</v>
      </c>
      <c r="M65" s="63" t="s">
        <v>56</v>
      </c>
      <c r="N65" s="63" t="s">
        <v>57</v>
      </c>
      <c r="O65" s="77">
        <v>-333.33333333333331</v>
      </c>
      <c r="P65" s="77">
        <v>-333.33333333333331</v>
      </c>
      <c r="Q65" s="77">
        <v>-333.33333333333331</v>
      </c>
      <c r="R65" s="77">
        <v>-333.33333333333331</v>
      </c>
      <c r="S65" s="77">
        <v>-333.33333333333331</v>
      </c>
      <c r="T65" s="77">
        <v>-333.33333333333331</v>
      </c>
      <c r="U65" s="77">
        <v>-333.33333333333331</v>
      </c>
      <c r="V65" s="77">
        <v>-333.33333333333331</v>
      </c>
      <c r="W65" s="77">
        <v>-333.33333333333331</v>
      </c>
      <c r="X65" s="77">
        <v>-333.33333333333331</v>
      </c>
      <c r="Y65" s="77">
        <v>-333.33333333333331</v>
      </c>
      <c r="Z65" s="77">
        <v>-333.33333333333331</v>
      </c>
      <c r="AA65" s="77">
        <f t="shared" si="2"/>
        <v>-4000.0000000000005</v>
      </c>
      <c r="AB65" s="43">
        <f t="shared" si="3"/>
        <v>-4000.0000000000005</v>
      </c>
    </row>
    <row r="66" spans="1:28" x14ac:dyDescent="0.3">
      <c r="A66" t="s">
        <v>718</v>
      </c>
      <c r="B66" t="str">
        <f t="shared" si="1"/>
        <v>0570</v>
      </c>
      <c r="C66" t="s">
        <v>669</v>
      </c>
      <c r="E66">
        <v>613025</v>
      </c>
      <c r="F66">
        <v>613025</v>
      </c>
      <c r="G66" t="s">
        <v>572</v>
      </c>
      <c r="H66" t="s">
        <v>572</v>
      </c>
      <c r="I66" t="s">
        <v>754</v>
      </c>
      <c r="J66" t="s">
        <v>754</v>
      </c>
      <c r="K66" t="s">
        <v>677</v>
      </c>
      <c r="M66" s="63" t="s">
        <v>56</v>
      </c>
      <c r="N66" s="63" t="s">
        <v>57</v>
      </c>
      <c r="O66" s="77">
        <v>-5833.333333333333</v>
      </c>
      <c r="P66" s="77">
        <v>-5833.333333333333</v>
      </c>
      <c r="Q66" s="77">
        <v>-5833.333333333333</v>
      </c>
      <c r="R66" s="77">
        <v>-5833.333333333333</v>
      </c>
      <c r="S66" s="77">
        <v>-5833.333333333333</v>
      </c>
      <c r="T66" s="77">
        <v>-5833.333333333333</v>
      </c>
      <c r="U66" s="77">
        <v>-5833.333333333333</v>
      </c>
      <c r="V66" s="77">
        <v>-5833.333333333333</v>
      </c>
      <c r="W66" s="77">
        <v>-5833.333333333333</v>
      </c>
      <c r="X66" s="77">
        <v>-5833.333333333333</v>
      </c>
      <c r="Y66" s="77">
        <v>-5833.333333333333</v>
      </c>
      <c r="Z66" s="77">
        <v>-5833.333333333333</v>
      </c>
      <c r="AA66" s="77">
        <f t="shared" si="2"/>
        <v>-70000.000000000015</v>
      </c>
      <c r="AB66" s="43">
        <f t="shared" si="3"/>
        <v>-70000.000000000015</v>
      </c>
    </row>
    <row r="67" spans="1:28" x14ac:dyDescent="0.3">
      <c r="A67" t="s">
        <v>718</v>
      </c>
      <c r="B67" t="str">
        <f t="shared" si="1"/>
        <v>0570</v>
      </c>
      <c r="C67" t="s">
        <v>669</v>
      </c>
      <c r="E67">
        <v>613025</v>
      </c>
      <c r="F67">
        <v>613025</v>
      </c>
      <c r="G67" t="s">
        <v>572</v>
      </c>
      <c r="H67" t="s">
        <v>572</v>
      </c>
      <c r="I67" t="s">
        <v>754</v>
      </c>
      <c r="J67" t="s">
        <v>754</v>
      </c>
      <c r="K67" t="s">
        <v>678</v>
      </c>
      <c r="M67" s="63" t="s">
        <v>56</v>
      </c>
      <c r="N67" s="63" t="s">
        <v>57</v>
      </c>
      <c r="O67" s="77">
        <v>-5833.333333333333</v>
      </c>
      <c r="P67" s="77">
        <v>-5833.333333333333</v>
      </c>
      <c r="Q67" s="77">
        <v>-5833.333333333333</v>
      </c>
      <c r="R67" s="77">
        <v>-5833.333333333333</v>
      </c>
      <c r="S67" s="77">
        <v>-5833.333333333333</v>
      </c>
      <c r="T67" s="77">
        <v>-5833.333333333333</v>
      </c>
      <c r="U67" s="77">
        <v>-5833.333333333333</v>
      </c>
      <c r="V67" s="77">
        <v>-5833.333333333333</v>
      </c>
      <c r="W67" s="77">
        <v>-5833.333333333333</v>
      </c>
      <c r="X67" s="77">
        <v>-5833.333333333333</v>
      </c>
      <c r="Y67" s="77">
        <v>-5833.333333333333</v>
      </c>
      <c r="Z67" s="77">
        <v>-5833.333333333333</v>
      </c>
      <c r="AA67" s="77">
        <f t="shared" si="2"/>
        <v>-70000.000000000015</v>
      </c>
      <c r="AB67" s="43">
        <f t="shared" si="3"/>
        <v>-70000.000000000015</v>
      </c>
    </row>
    <row r="68" spans="1:28" x14ac:dyDescent="0.3">
      <c r="A68" t="s">
        <v>718</v>
      </c>
      <c r="B68" t="str">
        <f t="shared" si="1"/>
        <v>0570</v>
      </c>
      <c r="C68" t="s">
        <v>669</v>
      </c>
      <c r="E68">
        <v>613025</v>
      </c>
      <c r="F68">
        <v>613025</v>
      </c>
      <c r="G68" t="s">
        <v>572</v>
      </c>
      <c r="H68" t="s">
        <v>572</v>
      </c>
      <c r="I68" t="s">
        <v>754</v>
      </c>
      <c r="J68" t="s">
        <v>754</v>
      </c>
      <c r="K68" t="s">
        <v>679</v>
      </c>
      <c r="M68" s="63" t="s">
        <v>56</v>
      </c>
      <c r="N68" s="63" t="s">
        <v>57</v>
      </c>
      <c r="O68" s="77">
        <v>-5833.333333333333</v>
      </c>
      <c r="P68" s="77">
        <v>-5833.333333333333</v>
      </c>
      <c r="Q68" s="77">
        <v>-5833.333333333333</v>
      </c>
      <c r="R68" s="77">
        <v>-5833.333333333333</v>
      </c>
      <c r="S68" s="77">
        <v>-5833.333333333333</v>
      </c>
      <c r="T68" s="77">
        <v>-5833.333333333333</v>
      </c>
      <c r="U68" s="77">
        <v>-5833.333333333333</v>
      </c>
      <c r="V68" s="77">
        <v>-5833.333333333333</v>
      </c>
      <c r="W68" s="77">
        <v>-5833.333333333333</v>
      </c>
      <c r="X68" s="77">
        <v>-5833.333333333333</v>
      </c>
      <c r="Y68" s="77">
        <v>-5833.333333333333</v>
      </c>
      <c r="Z68" s="77">
        <v>-5833.333333333333</v>
      </c>
      <c r="AA68" s="77">
        <f t="shared" si="2"/>
        <v>-70000.000000000015</v>
      </c>
      <c r="AB68" s="43">
        <f t="shared" si="3"/>
        <v>-70000.000000000015</v>
      </c>
    </row>
    <row r="69" spans="1:28" x14ac:dyDescent="0.3">
      <c r="A69" t="s">
        <v>718</v>
      </c>
      <c r="B69" t="str">
        <f t="shared" si="1"/>
        <v>0570</v>
      </c>
      <c r="C69" t="s">
        <v>669</v>
      </c>
      <c r="E69">
        <v>613025</v>
      </c>
      <c r="F69">
        <v>613025</v>
      </c>
      <c r="G69" t="s">
        <v>572</v>
      </c>
      <c r="H69" t="s">
        <v>572</v>
      </c>
      <c r="I69" t="s">
        <v>754</v>
      </c>
      <c r="J69" t="s">
        <v>754</v>
      </c>
      <c r="K69" t="s">
        <v>683</v>
      </c>
      <c r="M69" s="63" t="s">
        <v>56</v>
      </c>
      <c r="N69" s="63" t="s">
        <v>57</v>
      </c>
      <c r="O69" s="77">
        <v>-10000</v>
      </c>
      <c r="P69" s="77">
        <v>-10000</v>
      </c>
      <c r="Q69" s="77">
        <v>-10000</v>
      </c>
      <c r="R69" s="77">
        <v>-10000</v>
      </c>
      <c r="S69" s="77">
        <v>-10000</v>
      </c>
      <c r="T69" s="77">
        <v>-10000</v>
      </c>
      <c r="U69" s="77">
        <v>-10000</v>
      </c>
      <c r="V69" s="77">
        <v>-10000</v>
      </c>
      <c r="W69" s="77">
        <v>-10000</v>
      </c>
      <c r="X69" s="77">
        <v>-10000</v>
      </c>
      <c r="Y69" s="77">
        <v>-10000</v>
      </c>
      <c r="Z69" s="77">
        <v>-10000</v>
      </c>
      <c r="AA69" s="77">
        <f t="shared" si="2"/>
        <v>-120000</v>
      </c>
      <c r="AB69" s="43">
        <f t="shared" si="3"/>
        <v>-120000</v>
      </c>
    </row>
    <row r="70" spans="1:28" x14ac:dyDescent="0.3">
      <c r="A70" t="s">
        <v>718</v>
      </c>
      <c r="B70" t="str">
        <f t="shared" si="1"/>
        <v>0570</v>
      </c>
      <c r="C70" t="s">
        <v>669</v>
      </c>
      <c r="E70">
        <v>613025</v>
      </c>
      <c r="F70">
        <v>613025</v>
      </c>
      <c r="G70" t="s">
        <v>572</v>
      </c>
      <c r="H70" t="s">
        <v>572</v>
      </c>
      <c r="I70" t="s">
        <v>754</v>
      </c>
      <c r="J70" t="s">
        <v>754</v>
      </c>
      <c r="K70" t="s">
        <v>685</v>
      </c>
      <c r="M70" s="63" t="s">
        <v>56</v>
      </c>
      <c r="N70" s="63" t="s">
        <v>57</v>
      </c>
      <c r="O70" s="77">
        <v>-10833.333333333334</v>
      </c>
      <c r="P70" s="77">
        <v>-10833.333333333334</v>
      </c>
      <c r="Q70" s="77">
        <v>-10833.333333333334</v>
      </c>
      <c r="R70" s="77">
        <v>-10833.333333333334</v>
      </c>
      <c r="S70" s="77">
        <v>-10833.333333333334</v>
      </c>
      <c r="T70" s="77">
        <v>-10833.333333333334</v>
      </c>
      <c r="U70" s="77">
        <v>-10833.333333333334</v>
      </c>
      <c r="V70" s="77">
        <v>-10833.333333333334</v>
      </c>
      <c r="W70" s="77">
        <v>-10833.333333333334</v>
      </c>
      <c r="X70" s="77">
        <v>-10833.333333333334</v>
      </c>
      <c r="Y70" s="77">
        <v>-10833.333333333334</v>
      </c>
      <c r="Z70" s="77">
        <v>-10833.333333333334</v>
      </c>
      <c r="AA70" s="77">
        <f t="shared" si="2"/>
        <v>-129999.99999999999</v>
      </c>
      <c r="AB70" s="43">
        <f t="shared" si="3"/>
        <v>-129999.99999999999</v>
      </c>
    </row>
    <row r="71" spans="1:28" x14ac:dyDescent="0.3">
      <c r="A71" t="s">
        <v>718</v>
      </c>
      <c r="B71" t="str">
        <f t="shared" si="1"/>
        <v>0570</v>
      </c>
      <c r="C71" t="s">
        <v>669</v>
      </c>
      <c r="E71">
        <v>613025</v>
      </c>
      <c r="F71">
        <v>613025</v>
      </c>
      <c r="G71" t="s">
        <v>572</v>
      </c>
      <c r="H71" t="s">
        <v>572</v>
      </c>
      <c r="I71" t="s">
        <v>754</v>
      </c>
      <c r="J71" t="s">
        <v>754</v>
      </c>
      <c r="K71" t="s">
        <v>688</v>
      </c>
      <c r="M71" s="63" t="s">
        <v>56</v>
      </c>
      <c r="N71" s="63" t="s">
        <v>57</v>
      </c>
      <c r="O71" s="77">
        <v>-6666.666666666667</v>
      </c>
      <c r="P71" s="77">
        <v>-6666.666666666667</v>
      </c>
      <c r="Q71" s="77">
        <v>-6666.666666666667</v>
      </c>
      <c r="R71" s="77">
        <v>-6666.666666666667</v>
      </c>
      <c r="S71" s="77">
        <v>-6666.666666666667</v>
      </c>
      <c r="T71" s="77">
        <v>-6666.666666666667</v>
      </c>
      <c r="U71" s="77">
        <v>-6666.666666666667</v>
      </c>
      <c r="V71" s="77">
        <v>-6666.666666666667</v>
      </c>
      <c r="W71" s="77">
        <v>-6666.666666666667</v>
      </c>
      <c r="X71" s="77">
        <v>-6666.666666666667</v>
      </c>
      <c r="Y71" s="77">
        <v>-6666.666666666667</v>
      </c>
      <c r="Z71" s="77">
        <v>-6666.666666666667</v>
      </c>
      <c r="AA71" s="77">
        <f t="shared" si="2"/>
        <v>-80000</v>
      </c>
      <c r="AB71" s="43">
        <f t="shared" si="3"/>
        <v>-80000</v>
      </c>
    </row>
    <row r="72" spans="1:28" x14ac:dyDescent="0.3">
      <c r="A72" t="s">
        <v>718</v>
      </c>
      <c r="B72" t="str">
        <f t="shared" si="1"/>
        <v>0570</v>
      </c>
      <c r="C72" t="s">
        <v>669</v>
      </c>
      <c r="E72">
        <v>613025</v>
      </c>
      <c r="F72">
        <v>613025</v>
      </c>
      <c r="G72" t="s">
        <v>572</v>
      </c>
      <c r="H72" t="s">
        <v>572</v>
      </c>
      <c r="I72" t="s">
        <v>754</v>
      </c>
      <c r="J72" t="s">
        <v>754</v>
      </c>
      <c r="K72" t="s">
        <v>690</v>
      </c>
      <c r="M72" s="63" t="s">
        <v>56</v>
      </c>
      <c r="N72" s="63" t="s">
        <v>57</v>
      </c>
      <c r="O72" s="77">
        <v>-4166.666666666667</v>
      </c>
      <c r="P72" s="77">
        <v>-4166.666666666667</v>
      </c>
      <c r="Q72" s="77">
        <v>-4166.666666666667</v>
      </c>
      <c r="R72" s="77">
        <v>-4166.666666666667</v>
      </c>
      <c r="S72" s="77">
        <v>-4166.666666666667</v>
      </c>
      <c r="T72" s="77">
        <v>-4166.666666666667</v>
      </c>
      <c r="U72" s="77">
        <v>-4166.666666666667</v>
      </c>
      <c r="V72" s="77">
        <v>-4166.666666666667</v>
      </c>
      <c r="W72" s="77">
        <v>-4166.666666666667</v>
      </c>
      <c r="X72" s="77">
        <v>-4166.666666666667</v>
      </c>
      <c r="Y72" s="77">
        <v>-4166.666666666667</v>
      </c>
      <c r="Z72" s="77">
        <v>-4166.666666666667</v>
      </c>
      <c r="AA72" s="77">
        <f t="shared" si="2"/>
        <v>-49999.999999999993</v>
      </c>
      <c r="AB72" s="43">
        <f t="shared" si="3"/>
        <v>-49999.999999999993</v>
      </c>
    </row>
    <row r="77" spans="1:28" x14ac:dyDescent="0.3">
      <c r="N77" t="s">
        <v>20</v>
      </c>
    </row>
  </sheetData>
  <autoFilter ref="A2:AB42" xr:uid="{2A290BB6-3086-4C3F-928A-359300A19C70}">
    <sortState xmlns:xlrd2="http://schemas.microsoft.com/office/spreadsheetml/2017/richdata2" ref="A3:AB42">
      <sortCondition ref="F2:F42"/>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7673-267B-48BA-9B9C-65D72C548ACE}">
  <sheetPr>
    <tabColor theme="0" tint="-0.249977111117893"/>
  </sheetPr>
  <dimension ref="B2:D5"/>
  <sheetViews>
    <sheetView showGridLines="0" workbookViewId="0">
      <selection activeCell="M17" sqref="M17"/>
    </sheetView>
  </sheetViews>
  <sheetFormatPr defaultColWidth="8.77734375" defaultRowHeight="14.4" x14ac:dyDescent="0.3"/>
  <cols>
    <col min="1" max="2" width="8.77734375" style="96"/>
    <col min="3" max="3" width="9.21875" style="96" customWidth="1"/>
    <col min="4" max="16384" width="8.77734375" style="96"/>
  </cols>
  <sheetData>
    <row r="2" spans="2:4" x14ac:dyDescent="0.3">
      <c r="B2" s="95"/>
      <c r="C2" s="95">
        <v>2025</v>
      </c>
      <c r="D2" s="95">
        <v>2026</v>
      </c>
    </row>
    <row r="3" spans="2:4" x14ac:dyDescent="0.3">
      <c r="B3" s="96" t="s">
        <v>72</v>
      </c>
      <c r="C3" s="97">
        <f>1/1.1628</f>
        <v>0.85999312005503947</v>
      </c>
      <c r="D3" s="96">
        <v>0.87</v>
      </c>
    </row>
    <row r="4" spans="2:4" x14ac:dyDescent="0.3">
      <c r="B4" s="96" t="s">
        <v>57</v>
      </c>
      <c r="C4" s="97">
        <v>1</v>
      </c>
      <c r="D4" s="97">
        <v>1</v>
      </c>
    </row>
    <row r="5" spans="2:4" x14ac:dyDescent="0.3">
      <c r="B5" s="96" t="s">
        <v>213</v>
      </c>
      <c r="C5" s="97">
        <v>1.1000000000000001</v>
      </c>
      <c r="D5" s="96">
        <v>1.17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9690-DA67-4A03-ADB4-7064795B2204}">
  <sheetPr>
    <tabColor theme="8" tint="0.79998168889431442"/>
  </sheetPr>
  <dimension ref="A1"/>
  <sheetViews>
    <sheetView workbookViewId="0">
      <selection activeCell="L28" sqref="L28"/>
    </sheetView>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5388C-3596-45F8-8D87-294213F73100}">
  <sheetPr filterMode="1">
    <tabColor theme="8" tint="0.79998168889431442"/>
  </sheetPr>
  <dimension ref="A4:Z566"/>
  <sheetViews>
    <sheetView topLeftCell="F1" zoomScale="90" workbookViewId="0">
      <selection activeCell="T236" sqref="T236:Y236"/>
    </sheetView>
  </sheetViews>
  <sheetFormatPr defaultRowHeight="14.4" outlineLevelCol="1" x14ac:dyDescent="0.3"/>
  <cols>
    <col min="1" max="1" width="15.21875" customWidth="1"/>
    <col min="2" max="2" width="9.77734375" customWidth="1"/>
    <col min="3" max="3" width="10.5546875" hidden="1" customWidth="1" outlineLevel="1"/>
    <col min="4" max="4" width="17" hidden="1" customWidth="1" outlineLevel="1"/>
    <col min="5" max="5" width="17.5546875" customWidth="1" collapsed="1"/>
    <col min="6" max="6" width="16.77734375" customWidth="1"/>
    <col min="7" max="7" width="17.21875" hidden="1" customWidth="1" outlineLevel="1"/>
    <col min="8" max="8" width="11.44140625" hidden="1" customWidth="1" outlineLevel="1"/>
    <col min="9" max="9" width="12.21875" customWidth="1" collapsed="1"/>
    <col min="10" max="10" width="15.77734375" customWidth="1"/>
    <col min="11" max="11" width="17" customWidth="1"/>
    <col min="12" max="12" width="16.21875" customWidth="1"/>
    <col min="13" max="13" width="38" customWidth="1"/>
    <col min="14" max="26" width="9" customWidth="1"/>
  </cols>
  <sheetData>
    <row r="4" spans="1:26" x14ac:dyDescent="0.3">
      <c r="A4" s="65" t="s">
        <v>23</v>
      </c>
      <c r="B4" s="65" t="s">
        <v>24</v>
      </c>
      <c r="C4" s="65" t="s">
        <v>25</v>
      </c>
      <c r="D4" s="65" t="s">
        <v>26</v>
      </c>
      <c r="E4" s="65" t="s">
        <v>27</v>
      </c>
      <c r="F4" s="65" t="s">
        <v>28</v>
      </c>
      <c r="G4" s="65" t="s">
        <v>29</v>
      </c>
      <c r="H4" s="65" t="s">
        <v>30</v>
      </c>
      <c r="I4" s="65" t="s">
        <v>31</v>
      </c>
      <c r="J4" s="65" t="s">
        <v>32</v>
      </c>
      <c r="K4" s="65" t="s">
        <v>33</v>
      </c>
      <c r="L4" s="65" t="s">
        <v>34</v>
      </c>
      <c r="M4" s="65" t="s">
        <v>35</v>
      </c>
      <c r="N4" s="65" t="s">
        <v>36</v>
      </c>
      <c r="O4" s="65" t="s">
        <v>37</v>
      </c>
      <c r="P4" s="65" t="s">
        <v>38</v>
      </c>
      <c r="Q4" s="65" t="s">
        <v>39</v>
      </c>
      <c r="R4" s="65" t="s">
        <v>40</v>
      </c>
      <c r="S4" s="65" t="s">
        <v>41</v>
      </c>
      <c r="T4" s="65" t="s">
        <v>42</v>
      </c>
      <c r="U4" s="65" t="s">
        <v>43</v>
      </c>
      <c r="V4" s="65" t="s">
        <v>44</v>
      </c>
      <c r="W4" s="65" t="s">
        <v>45</v>
      </c>
      <c r="X4" s="65" t="s">
        <v>46</v>
      </c>
      <c r="Y4" s="65" t="s">
        <v>47</v>
      </c>
      <c r="Z4" s="65" t="s">
        <v>48</v>
      </c>
    </row>
    <row r="5" spans="1:26" hidden="1" x14ac:dyDescent="0.3">
      <c r="A5" s="2" t="s">
        <v>467</v>
      </c>
      <c r="B5" s="2" t="s">
        <v>75</v>
      </c>
      <c r="C5" s="2" t="s">
        <v>75</v>
      </c>
      <c r="D5" s="2" t="s">
        <v>217</v>
      </c>
      <c r="E5" s="2" t="s">
        <v>217</v>
      </c>
      <c r="F5" s="2" t="s">
        <v>53</v>
      </c>
      <c r="G5" s="2" t="s">
        <v>53</v>
      </c>
      <c r="H5" s="2" t="s">
        <v>767</v>
      </c>
      <c r="I5" s="2" t="s">
        <v>767</v>
      </c>
      <c r="J5" s="2" t="s">
        <v>791</v>
      </c>
      <c r="K5" s="2" t="s">
        <v>792</v>
      </c>
      <c r="L5" s="2" t="s">
        <v>793</v>
      </c>
      <c r="M5" s="2" t="s">
        <v>57</v>
      </c>
      <c r="N5" s="3"/>
      <c r="O5" s="3"/>
      <c r="P5" s="3"/>
      <c r="Q5" s="3"/>
      <c r="R5" s="3"/>
      <c r="S5" s="3"/>
      <c r="T5" s="3"/>
      <c r="U5" s="3"/>
      <c r="V5" s="3"/>
      <c r="W5" s="3"/>
      <c r="X5" s="3"/>
      <c r="Y5" s="3"/>
      <c r="Z5" s="3"/>
    </row>
    <row r="6" spans="1:26" hidden="1" x14ac:dyDescent="0.3">
      <c r="A6" s="2" t="s">
        <v>467</v>
      </c>
      <c r="B6" s="2" t="s">
        <v>75</v>
      </c>
      <c r="C6" s="2" t="s">
        <v>75</v>
      </c>
      <c r="D6" s="2" t="s">
        <v>217</v>
      </c>
      <c r="E6" s="2" t="s">
        <v>217</v>
      </c>
      <c r="F6" s="2" t="s">
        <v>53</v>
      </c>
      <c r="G6" s="2" t="s">
        <v>53</v>
      </c>
      <c r="H6" s="2" t="s">
        <v>54</v>
      </c>
      <c r="I6" s="2" t="s">
        <v>54</v>
      </c>
      <c r="J6" s="2" t="s">
        <v>791</v>
      </c>
      <c r="K6" s="2" t="s">
        <v>792</v>
      </c>
      <c r="L6" s="2" t="s">
        <v>793</v>
      </c>
      <c r="M6" s="2" t="s">
        <v>57</v>
      </c>
      <c r="N6" s="3"/>
      <c r="O6" s="3"/>
      <c r="P6" s="3"/>
      <c r="Q6" s="3"/>
      <c r="R6" s="3"/>
      <c r="S6" s="3"/>
      <c r="T6" s="3"/>
      <c r="U6" s="3"/>
      <c r="V6" s="3"/>
      <c r="W6" s="3"/>
      <c r="X6" s="3"/>
      <c r="Y6" s="3"/>
      <c r="Z6" s="3"/>
    </row>
    <row r="7" spans="1:26" hidden="1" x14ac:dyDescent="0.3">
      <c r="A7" s="2" t="s">
        <v>467</v>
      </c>
      <c r="B7" s="2" t="s">
        <v>75</v>
      </c>
      <c r="C7" s="2" t="s">
        <v>75</v>
      </c>
      <c r="D7" s="2" t="s">
        <v>93</v>
      </c>
      <c r="E7" s="2" t="s">
        <v>93</v>
      </c>
      <c r="F7" s="2" t="s">
        <v>53</v>
      </c>
      <c r="G7" s="2" t="s">
        <v>53</v>
      </c>
      <c r="H7" s="2" t="s">
        <v>767</v>
      </c>
      <c r="I7" s="2" t="s">
        <v>767</v>
      </c>
      <c r="J7" s="2" t="s">
        <v>770</v>
      </c>
      <c r="K7" s="2" t="s">
        <v>792</v>
      </c>
      <c r="L7" s="2" t="s">
        <v>793</v>
      </c>
      <c r="M7" s="2" t="s">
        <v>57</v>
      </c>
      <c r="N7" s="3"/>
      <c r="O7" s="3"/>
      <c r="P7" s="3"/>
      <c r="Q7" s="3"/>
      <c r="R7" s="3"/>
      <c r="S7" s="3"/>
      <c r="T7" s="3"/>
      <c r="U7" s="3"/>
      <c r="V7" s="3"/>
      <c r="W7" s="3"/>
      <c r="X7" s="3"/>
      <c r="Y7" s="3"/>
      <c r="Z7" s="3"/>
    </row>
    <row r="8" spans="1:26" hidden="1" x14ac:dyDescent="0.3">
      <c r="A8" s="2" t="s">
        <v>467</v>
      </c>
      <c r="B8" s="2" t="s">
        <v>75</v>
      </c>
      <c r="C8" s="2" t="s">
        <v>75</v>
      </c>
      <c r="D8" s="2" t="s">
        <v>93</v>
      </c>
      <c r="E8" s="2" t="s">
        <v>93</v>
      </c>
      <c r="F8" s="2" t="s">
        <v>53</v>
      </c>
      <c r="G8" s="2" t="s">
        <v>53</v>
      </c>
      <c r="H8" s="2" t="s">
        <v>54</v>
      </c>
      <c r="I8" s="2" t="s">
        <v>54</v>
      </c>
      <c r="J8" s="2" t="s">
        <v>770</v>
      </c>
      <c r="K8" s="2" t="s">
        <v>792</v>
      </c>
      <c r="L8" s="2" t="s">
        <v>793</v>
      </c>
      <c r="M8" s="2" t="s">
        <v>57</v>
      </c>
      <c r="N8" s="3"/>
      <c r="O8" s="3"/>
      <c r="P8" s="3"/>
      <c r="Q8" s="3"/>
      <c r="R8" s="3"/>
      <c r="S8" s="3"/>
      <c r="T8" s="3"/>
      <c r="U8" s="3"/>
      <c r="V8" s="3"/>
      <c r="W8" s="3"/>
      <c r="X8" s="3"/>
      <c r="Y8" s="3"/>
      <c r="Z8" s="3"/>
    </row>
    <row r="9" spans="1:26" hidden="1" x14ac:dyDescent="0.3">
      <c r="A9" s="2" t="s">
        <v>467</v>
      </c>
      <c r="B9" s="2" t="s">
        <v>75</v>
      </c>
      <c r="C9" s="2" t="s">
        <v>75</v>
      </c>
      <c r="D9" s="2" t="s">
        <v>217</v>
      </c>
      <c r="E9" s="2" t="s">
        <v>217</v>
      </c>
      <c r="F9" s="2" t="s">
        <v>53</v>
      </c>
      <c r="G9" s="2" t="s">
        <v>53</v>
      </c>
      <c r="H9" s="2" t="s">
        <v>767</v>
      </c>
      <c r="I9" s="2" t="s">
        <v>767</v>
      </c>
      <c r="J9" s="2" t="s">
        <v>776</v>
      </c>
      <c r="K9" s="2" t="s">
        <v>792</v>
      </c>
      <c r="L9" s="2" t="s">
        <v>793</v>
      </c>
      <c r="M9" s="2" t="s">
        <v>57</v>
      </c>
      <c r="N9" s="3"/>
      <c r="O9" s="3"/>
      <c r="P9" s="3"/>
      <c r="Q9" s="3"/>
      <c r="R9" s="3"/>
      <c r="S9" s="3"/>
      <c r="T9" s="3"/>
      <c r="U9" s="3"/>
      <c r="V9" s="3"/>
      <c r="W9" s="3"/>
      <c r="X9" s="3"/>
      <c r="Y9" s="3"/>
      <c r="Z9" s="3"/>
    </row>
    <row r="10" spans="1:26" hidden="1" x14ac:dyDescent="0.3">
      <c r="A10" s="2" t="s">
        <v>467</v>
      </c>
      <c r="B10" s="2" t="s">
        <v>75</v>
      </c>
      <c r="C10" s="2" t="s">
        <v>75</v>
      </c>
      <c r="D10" s="2" t="s">
        <v>217</v>
      </c>
      <c r="E10" s="2" t="s">
        <v>217</v>
      </c>
      <c r="F10" s="2" t="s">
        <v>53</v>
      </c>
      <c r="G10" s="2" t="s">
        <v>53</v>
      </c>
      <c r="H10" s="2" t="s">
        <v>767</v>
      </c>
      <c r="I10" s="2" t="s">
        <v>767</v>
      </c>
      <c r="J10" s="2" t="s">
        <v>776</v>
      </c>
      <c r="K10" s="2" t="s">
        <v>792</v>
      </c>
      <c r="L10" s="2" t="s">
        <v>793</v>
      </c>
      <c r="M10" s="2" t="s">
        <v>57</v>
      </c>
      <c r="N10" s="3"/>
      <c r="O10" s="3"/>
      <c r="P10" s="3"/>
      <c r="Q10" s="3"/>
      <c r="R10" s="3"/>
      <c r="S10" s="3"/>
      <c r="T10" s="3"/>
      <c r="U10" s="3"/>
      <c r="V10" s="3"/>
      <c r="W10" s="3"/>
      <c r="X10" s="3"/>
      <c r="Y10" s="3"/>
      <c r="Z10" s="3"/>
    </row>
    <row r="11" spans="1:26" hidden="1" x14ac:dyDescent="0.3">
      <c r="A11" s="2" t="s">
        <v>467</v>
      </c>
      <c r="B11" s="2" t="s">
        <v>75</v>
      </c>
      <c r="C11" s="2" t="s">
        <v>75</v>
      </c>
      <c r="D11" s="2" t="s">
        <v>217</v>
      </c>
      <c r="E11" s="2" t="s">
        <v>217</v>
      </c>
      <c r="F11" s="2" t="s">
        <v>53</v>
      </c>
      <c r="G11" s="2" t="s">
        <v>53</v>
      </c>
      <c r="H11" s="2" t="s">
        <v>54</v>
      </c>
      <c r="I11" s="2" t="s">
        <v>54</v>
      </c>
      <c r="J11" s="2" t="s">
        <v>776</v>
      </c>
      <c r="K11" s="2" t="s">
        <v>792</v>
      </c>
      <c r="L11" s="2" t="s">
        <v>793</v>
      </c>
      <c r="M11" s="2" t="s">
        <v>57</v>
      </c>
      <c r="N11" s="3"/>
      <c r="O11" s="3"/>
      <c r="P11" s="3"/>
      <c r="Q11" s="3"/>
      <c r="R11" s="3"/>
      <c r="S11" s="3"/>
      <c r="T11" s="3"/>
      <c r="U11" s="3"/>
      <c r="V11" s="3"/>
      <c r="W11" s="3"/>
      <c r="X11" s="3"/>
      <c r="Y11" s="3"/>
      <c r="Z11" s="3"/>
    </row>
    <row r="12" spans="1:26" hidden="1" x14ac:dyDescent="0.3">
      <c r="A12" s="2" t="s">
        <v>467</v>
      </c>
      <c r="B12" s="2" t="s">
        <v>75</v>
      </c>
      <c r="C12" s="2" t="s">
        <v>75</v>
      </c>
      <c r="D12" s="2" t="s">
        <v>217</v>
      </c>
      <c r="E12" s="2" t="s">
        <v>217</v>
      </c>
      <c r="F12" s="2" t="s">
        <v>53</v>
      </c>
      <c r="G12" s="2" t="s">
        <v>53</v>
      </c>
      <c r="H12" s="2" t="s">
        <v>54</v>
      </c>
      <c r="I12" s="2" t="s">
        <v>54</v>
      </c>
      <c r="J12" s="2" t="s">
        <v>776</v>
      </c>
      <c r="K12" s="2" t="s">
        <v>792</v>
      </c>
      <c r="L12" s="2" t="s">
        <v>793</v>
      </c>
      <c r="M12" s="2" t="s">
        <v>57</v>
      </c>
      <c r="N12" s="3"/>
      <c r="O12" s="3"/>
      <c r="P12" s="3"/>
      <c r="Q12" s="3"/>
      <c r="R12" s="3"/>
      <c r="S12" s="3"/>
      <c r="T12" s="3"/>
      <c r="U12" s="3"/>
      <c r="V12" s="3"/>
      <c r="W12" s="3"/>
      <c r="X12" s="3"/>
      <c r="Y12" s="3"/>
      <c r="Z12" s="3"/>
    </row>
    <row r="13" spans="1:26" hidden="1" x14ac:dyDescent="0.3">
      <c r="A13" s="2" t="s">
        <v>467</v>
      </c>
      <c r="B13" s="2" t="s">
        <v>75</v>
      </c>
      <c r="C13" s="2" t="s">
        <v>75</v>
      </c>
      <c r="D13" s="2" t="s">
        <v>400</v>
      </c>
      <c r="E13" s="2" t="s">
        <v>400</v>
      </c>
      <c r="F13" s="2" t="s">
        <v>53</v>
      </c>
      <c r="G13" s="2" t="s">
        <v>53</v>
      </c>
      <c r="H13" s="2" t="s">
        <v>767</v>
      </c>
      <c r="I13" s="2" t="s">
        <v>767</v>
      </c>
      <c r="J13" s="2" t="s">
        <v>794</v>
      </c>
      <c r="K13" s="2" t="s">
        <v>792</v>
      </c>
      <c r="L13" s="2" t="s">
        <v>793</v>
      </c>
      <c r="M13" s="2" t="s">
        <v>57</v>
      </c>
      <c r="N13" s="3"/>
      <c r="O13" s="3"/>
      <c r="P13" s="3"/>
      <c r="Q13" s="3"/>
      <c r="R13" s="3"/>
      <c r="S13" s="3"/>
      <c r="T13" s="3"/>
      <c r="U13" s="3"/>
      <c r="V13" s="3"/>
      <c r="W13" s="3"/>
      <c r="X13" s="3"/>
      <c r="Y13" s="3"/>
      <c r="Z13" s="3"/>
    </row>
    <row r="14" spans="1:26" hidden="1" x14ac:dyDescent="0.3">
      <c r="A14" s="2" t="s">
        <v>467</v>
      </c>
      <c r="B14" s="2" t="s">
        <v>75</v>
      </c>
      <c r="C14" s="2" t="s">
        <v>75</v>
      </c>
      <c r="D14" s="2" t="s">
        <v>400</v>
      </c>
      <c r="E14" s="2" t="s">
        <v>400</v>
      </c>
      <c r="F14" s="2" t="s">
        <v>53</v>
      </c>
      <c r="G14" s="2" t="s">
        <v>53</v>
      </c>
      <c r="H14" s="2" t="s">
        <v>54</v>
      </c>
      <c r="I14" s="2" t="s">
        <v>54</v>
      </c>
      <c r="J14" s="2" t="s">
        <v>794</v>
      </c>
      <c r="K14" s="2" t="s">
        <v>792</v>
      </c>
      <c r="L14" s="2" t="s">
        <v>793</v>
      </c>
      <c r="M14" s="2" t="s">
        <v>57</v>
      </c>
      <c r="N14" s="3"/>
      <c r="O14" s="3"/>
      <c r="P14" s="3"/>
      <c r="Q14" s="3"/>
      <c r="R14" s="3"/>
      <c r="S14" s="3"/>
      <c r="T14" s="3"/>
      <c r="U14" s="3"/>
      <c r="V14" s="3"/>
      <c r="W14" s="3"/>
      <c r="X14" s="3"/>
      <c r="Y14" s="3"/>
      <c r="Z14" s="3"/>
    </row>
    <row r="15" spans="1:26" hidden="1" x14ac:dyDescent="0.3">
      <c r="A15" s="2" t="s">
        <v>467</v>
      </c>
      <c r="B15" s="2" t="s">
        <v>75</v>
      </c>
      <c r="C15" s="2" t="s">
        <v>75</v>
      </c>
      <c r="D15" s="2" t="s">
        <v>200</v>
      </c>
      <c r="E15" s="2" t="s">
        <v>200</v>
      </c>
      <c r="F15" s="2" t="s">
        <v>53</v>
      </c>
      <c r="G15" s="2" t="s">
        <v>53</v>
      </c>
      <c r="H15" s="2" t="s">
        <v>767</v>
      </c>
      <c r="I15" s="2" t="s">
        <v>767</v>
      </c>
      <c r="J15" s="2" t="s">
        <v>795</v>
      </c>
      <c r="K15" s="2" t="s">
        <v>792</v>
      </c>
      <c r="L15" s="2" t="s">
        <v>793</v>
      </c>
      <c r="M15" s="2" t="s">
        <v>57</v>
      </c>
      <c r="N15" s="3"/>
      <c r="O15" s="3"/>
      <c r="P15" s="3"/>
      <c r="Q15" s="3"/>
      <c r="R15" s="3"/>
      <c r="S15" s="3"/>
      <c r="T15" s="3"/>
      <c r="U15" s="3"/>
      <c r="V15" s="3"/>
      <c r="W15" s="3"/>
      <c r="X15" s="3"/>
      <c r="Y15" s="3"/>
      <c r="Z15" s="3"/>
    </row>
    <row r="16" spans="1:26" hidden="1" x14ac:dyDescent="0.3">
      <c r="A16" s="2" t="s">
        <v>467</v>
      </c>
      <c r="B16" s="2" t="s">
        <v>75</v>
      </c>
      <c r="C16" s="2" t="s">
        <v>75</v>
      </c>
      <c r="D16" s="2" t="s">
        <v>200</v>
      </c>
      <c r="E16" s="2" t="s">
        <v>200</v>
      </c>
      <c r="F16" s="2" t="s">
        <v>53</v>
      </c>
      <c r="G16" s="2" t="s">
        <v>53</v>
      </c>
      <c r="H16" s="2" t="s">
        <v>54</v>
      </c>
      <c r="I16" s="2" t="s">
        <v>54</v>
      </c>
      <c r="J16" s="2" t="s">
        <v>795</v>
      </c>
      <c r="K16" s="2" t="s">
        <v>792</v>
      </c>
      <c r="L16" s="2" t="s">
        <v>793</v>
      </c>
      <c r="M16" s="2" t="s">
        <v>57</v>
      </c>
      <c r="N16" s="3"/>
      <c r="O16" s="3"/>
      <c r="P16" s="3"/>
      <c r="Q16" s="3"/>
      <c r="R16" s="3"/>
      <c r="S16" s="3"/>
      <c r="T16" s="3"/>
      <c r="U16" s="3"/>
      <c r="V16" s="3"/>
      <c r="W16" s="3"/>
      <c r="X16" s="3"/>
      <c r="Y16" s="3"/>
      <c r="Z16" s="3"/>
    </row>
    <row r="17" spans="1:26" hidden="1" x14ac:dyDescent="0.3">
      <c r="A17" s="2" t="s">
        <v>467</v>
      </c>
      <c r="B17" s="2" t="s">
        <v>271</v>
      </c>
      <c r="C17" s="2" t="s">
        <v>271</v>
      </c>
      <c r="D17" s="2" t="s">
        <v>82</v>
      </c>
      <c r="E17" s="2" t="s">
        <v>82</v>
      </c>
      <c r="F17" s="2" t="s">
        <v>53</v>
      </c>
      <c r="G17" s="2" t="s">
        <v>53</v>
      </c>
      <c r="H17" s="2" t="s">
        <v>767</v>
      </c>
      <c r="I17" s="2" t="s">
        <v>767</v>
      </c>
      <c r="J17" s="2" t="s">
        <v>782</v>
      </c>
      <c r="K17" s="2" t="s">
        <v>792</v>
      </c>
      <c r="L17" s="2" t="s">
        <v>793</v>
      </c>
      <c r="M17" s="2" t="s">
        <v>57</v>
      </c>
      <c r="N17" s="3"/>
      <c r="O17" s="3"/>
      <c r="P17" s="3"/>
      <c r="Q17" s="3"/>
      <c r="R17" s="3"/>
      <c r="S17" s="3"/>
      <c r="T17" s="3"/>
      <c r="U17" s="3"/>
      <c r="V17" s="3"/>
      <c r="W17" s="3"/>
      <c r="X17" s="3"/>
      <c r="Y17" s="3"/>
      <c r="Z17" s="3"/>
    </row>
    <row r="18" spans="1:26" hidden="1" x14ac:dyDescent="0.3">
      <c r="A18" s="2" t="s">
        <v>467</v>
      </c>
      <c r="B18" s="2" t="s">
        <v>271</v>
      </c>
      <c r="C18" s="2" t="s">
        <v>271</v>
      </c>
      <c r="D18" s="2" t="s">
        <v>82</v>
      </c>
      <c r="E18" s="2" t="s">
        <v>82</v>
      </c>
      <c r="F18" s="2" t="s">
        <v>53</v>
      </c>
      <c r="G18" s="2" t="s">
        <v>53</v>
      </c>
      <c r="H18" s="2" t="s">
        <v>54</v>
      </c>
      <c r="I18" s="2" t="s">
        <v>54</v>
      </c>
      <c r="J18" s="2" t="s">
        <v>782</v>
      </c>
      <c r="K18" s="2" t="s">
        <v>792</v>
      </c>
      <c r="L18" s="2" t="s">
        <v>793</v>
      </c>
      <c r="M18" s="2" t="s">
        <v>57</v>
      </c>
      <c r="N18" s="3"/>
      <c r="O18" s="3"/>
      <c r="P18" s="3"/>
      <c r="Q18" s="3"/>
      <c r="R18" s="3"/>
      <c r="S18" s="3"/>
      <c r="T18" s="3"/>
      <c r="U18" s="3"/>
      <c r="V18" s="3"/>
      <c r="W18" s="3"/>
      <c r="X18" s="3"/>
      <c r="Y18" s="3"/>
      <c r="Z18" s="3"/>
    </row>
    <row r="19" spans="1:26" hidden="1" x14ac:dyDescent="0.3">
      <c r="A19" s="2" t="s">
        <v>467</v>
      </c>
      <c r="B19" s="2" t="s">
        <v>271</v>
      </c>
      <c r="C19" s="2" t="s">
        <v>271</v>
      </c>
      <c r="D19" s="2" t="s">
        <v>82</v>
      </c>
      <c r="E19" s="2" t="s">
        <v>82</v>
      </c>
      <c r="F19" s="2" t="s">
        <v>53</v>
      </c>
      <c r="G19" s="2" t="s">
        <v>53</v>
      </c>
      <c r="H19" s="2" t="s">
        <v>767</v>
      </c>
      <c r="I19" s="2" t="s">
        <v>767</v>
      </c>
      <c r="J19" s="2" t="s">
        <v>783</v>
      </c>
      <c r="K19" s="2" t="s">
        <v>792</v>
      </c>
      <c r="L19" s="2" t="s">
        <v>793</v>
      </c>
      <c r="M19" s="2" t="s">
        <v>57</v>
      </c>
      <c r="N19" s="3"/>
      <c r="O19" s="3"/>
      <c r="P19" s="3"/>
      <c r="Q19" s="3"/>
      <c r="R19" s="3"/>
      <c r="S19" s="3"/>
      <c r="T19" s="3"/>
      <c r="U19" s="3"/>
      <c r="V19" s="3"/>
      <c r="W19" s="3"/>
      <c r="X19" s="3"/>
      <c r="Y19" s="3"/>
      <c r="Z19" s="3"/>
    </row>
    <row r="20" spans="1:26" hidden="1" x14ac:dyDescent="0.3">
      <c r="A20" s="2" t="s">
        <v>467</v>
      </c>
      <c r="B20" s="2" t="s">
        <v>271</v>
      </c>
      <c r="C20" s="2" t="s">
        <v>271</v>
      </c>
      <c r="D20" s="2" t="s">
        <v>82</v>
      </c>
      <c r="E20" s="2" t="s">
        <v>82</v>
      </c>
      <c r="F20" s="2" t="s">
        <v>53</v>
      </c>
      <c r="G20" s="2" t="s">
        <v>53</v>
      </c>
      <c r="H20" s="2" t="s">
        <v>54</v>
      </c>
      <c r="I20" s="2" t="s">
        <v>54</v>
      </c>
      <c r="J20" s="2" t="s">
        <v>783</v>
      </c>
      <c r="K20" s="2" t="s">
        <v>792</v>
      </c>
      <c r="L20" s="2" t="s">
        <v>793</v>
      </c>
      <c r="M20" s="2" t="s">
        <v>57</v>
      </c>
      <c r="N20" s="3"/>
      <c r="O20" s="3"/>
      <c r="P20" s="3"/>
      <c r="Q20" s="3"/>
      <c r="R20" s="3"/>
      <c r="S20" s="3"/>
      <c r="T20" s="3"/>
      <c r="U20" s="3"/>
      <c r="V20" s="3"/>
      <c r="W20" s="3"/>
      <c r="X20" s="3"/>
      <c r="Y20" s="3"/>
      <c r="Z20" s="3"/>
    </row>
    <row r="21" spans="1:26" hidden="1" x14ac:dyDescent="0.3">
      <c r="A21" s="2" t="s">
        <v>467</v>
      </c>
      <c r="B21" s="2" t="s">
        <v>417</v>
      </c>
      <c r="C21" s="2" t="s">
        <v>417</v>
      </c>
      <c r="D21" s="2" t="s">
        <v>200</v>
      </c>
      <c r="E21" s="2" t="s">
        <v>200</v>
      </c>
      <c r="F21" s="2" t="s">
        <v>53</v>
      </c>
      <c r="G21" s="2" t="s">
        <v>53</v>
      </c>
      <c r="H21" s="2" t="s">
        <v>767</v>
      </c>
      <c r="I21" s="2" t="s">
        <v>767</v>
      </c>
      <c r="J21" s="2" t="s">
        <v>796</v>
      </c>
      <c r="K21" s="2" t="s">
        <v>792</v>
      </c>
      <c r="L21" s="2" t="s">
        <v>793</v>
      </c>
      <c r="M21" s="2" t="s">
        <v>57</v>
      </c>
      <c r="N21" s="3"/>
      <c r="O21" s="3"/>
      <c r="P21" s="3"/>
      <c r="Q21" s="3"/>
      <c r="R21" s="3"/>
      <c r="S21" s="3"/>
      <c r="T21" s="3"/>
      <c r="U21" s="3"/>
      <c r="V21" s="3"/>
      <c r="W21" s="3"/>
      <c r="X21" s="3"/>
      <c r="Y21" s="3"/>
      <c r="Z21" s="3"/>
    </row>
    <row r="22" spans="1:26" hidden="1" x14ac:dyDescent="0.3">
      <c r="A22" s="2" t="s">
        <v>467</v>
      </c>
      <c r="B22" s="2" t="s">
        <v>417</v>
      </c>
      <c r="C22" s="2" t="s">
        <v>417</v>
      </c>
      <c r="D22" s="2" t="s">
        <v>200</v>
      </c>
      <c r="E22" s="2" t="s">
        <v>200</v>
      </c>
      <c r="F22" s="2" t="s">
        <v>53</v>
      </c>
      <c r="G22" s="2" t="s">
        <v>53</v>
      </c>
      <c r="H22" s="2" t="s">
        <v>54</v>
      </c>
      <c r="I22" s="2" t="s">
        <v>54</v>
      </c>
      <c r="J22" s="2" t="s">
        <v>796</v>
      </c>
      <c r="K22" s="2" t="s">
        <v>792</v>
      </c>
      <c r="L22" s="2" t="s">
        <v>793</v>
      </c>
      <c r="M22" s="2" t="s">
        <v>57</v>
      </c>
      <c r="N22" s="3"/>
      <c r="O22" s="3"/>
      <c r="P22" s="3"/>
      <c r="Q22" s="3"/>
      <c r="R22" s="3"/>
      <c r="S22" s="3"/>
      <c r="T22" s="3"/>
      <c r="U22" s="3"/>
      <c r="V22" s="3"/>
      <c r="W22" s="3"/>
      <c r="X22" s="3"/>
      <c r="Y22" s="3"/>
      <c r="Z22" s="3"/>
    </row>
    <row r="23" spans="1:26" hidden="1" x14ac:dyDescent="0.3">
      <c r="A23" s="2" t="s">
        <v>467</v>
      </c>
      <c r="B23" s="2" t="s">
        <v>396</v>
      </c>
      <c r="C23" s="2" t="s">
        <v>396</v>
      </c>
      <c r="D23" s="2" t="s">
        <v>217</v>
      </c>
      <c r="E23" s="2" t="s">
        <v>217</v>
      </c>
      <c r="F23" s="2" t="s">
        <v>53</v>
      </c>
      <c r="G23" s="2" t="s">
        <v>53</v>
      </c>
      <c r="H23" s="2" t="s">
        <v>767</v>
      </c>
      <c r="I23" s="2" t="s">
        <v>767</v>
      </c>
      <c r="J23" s="2" t="s">
        <v>791</v>
      </c>
      <c r="K23" s="2" t="s">
        <v>792</v>
      </c>
      <c r="L23" s="2" t="s">
        <v>793</v>
      </c>
      <c r="M23" s="2" t="s">
        <v>57</v>
      </c>
      <c r="N23" s="3"/>
      <c r="O23" s="3"/>
      <c r="P23" s="3"/>
      <c r="Q23" s="3"/>
      <c r="R23" s="3"/>
      <c r="S23" s="3"/>
      <c r="T23" s="3"/>
      <c r="U23" s="3"/>
      <c r="V23" s="3"/>
      <c r="W23" s="3"/>
      <c r="X23" s="3"/>
      <c r="Y23" s="3"/>
      <c r="Z23" s="3"/>
    </row>
    <row r="24" spans="1:26" hidden="1" x14ac:dyDescent="0.3">
      <c r="A24" s="2" t="s">
        <v>467</v>
      </c>
      <c r="B24" s="2" t="s">
        <v>396</v>
      </c>
      <c r="C24" s="2" t="s">
        <v>396</v>
      </c>
      <c r="D24" s="2" t="s">
        <v>217</v>
      </c>
      <c r="E24" s="2" t="s">
        <v>217</v>
      </c>
      <c r="F24" s="2" t="s">
        <v>53</v>
      </c>
      <c r="G24" s="2" t="s">
        <v>53</v>
      </c>
      <c r="H24" s="2" t="s">
        <v>54</v>
      </c>
      <c r="I24" s="2" t="s">
        <v>54</v>
      </c>
      <c r="J24" s="2" t="s">
        <v>791</v>
      </c>
      <c r="K24" s="2" t="s">
        <v>792</v>
      </c>
      <c r="L24" s="2" t="s">
        <v>793</v>
      </c>
      <c r="M24" s="2" t="s">
        <v>57</v>
      </c>
      <c r="N24" s="3"/>
      <c r="O24" s="3"/>
      <c r="P24" s="3"/>
      <c r="Q24" s="3"/>
      <c r="R24" s="3"/>
      <c r="S24" s="3"/>
      <c r="T24" s="3"/>
      <c r="U24" s="3"/>
      <c r="V24" s="3"/>
      <c r="W24" s="3"/>
      <c r="X24" s="3"/>
      <c r="Y24" s="3"/>
      <c r="Z24" s="3"/>
    </row>
    <row r="25" spans="1:26" hidden="1" x14ac:dyDescent="0.3">
      <c r="A25" s="2" t="s">
        <v>467</v>
      </c>
      <c r="B25" s="2" t="s">
        <v>68</v>
      </c>
      <c r="C25" s="2" t="s">
        <v>68</v>
      </c>
      <c r="D25" s="2" t="s">
        <v>797</v>
      </c>
      <c r="E25" s="2" t="s">
        <v>797</v>
      </c>
      <c r="F25" s="2" t="s">
        <v>53</v>
      </c>
      <c r="G25" s="2" t="s">
        <v>53</v>
      </c>
      <c r="H25" s="2" t="s">
        <v>54</v>
      </c>
      <c r="I25" s="2" t="s">
        <v>54</v>
      </c>
      <c r="J25" s="2" t="s">
        <v>798</v>
      </c>
      <c r="K25" s="2" t="s">
        <v>71</v>
      </c>
      <c r="L25" s="2" t="s">
        <v>799</v>
      </c>
      <c r="M25" s="2" t="s">
        <v>72</v>
      </c>
      <c r="N25" s="3"/>
      <c r="O25" s="3"/>
      <c r="P25" s="3"/>
      <c r="Q25" s="3"/>
      <c r="R25" s="3"/>
      <c r="S25" s="3"/>
      <c r="T25" s="3"/>
      <c r="U25" s="3"/>
      <c r="V25" s="3"/>
      <c r="W25" s="3"/>
      <c r="X25" s="3"/>
      <c r="Y25" s="3"/>
      <c r="Z25" s="3"/>
    </row>
    <row r="26" spans="1:26" hidden="1" x14ac:dyDescent="0.3">
      <c r="A26" s="2" t="s">
        <v>467</v>
      </c>
      <c r="B26" s="2" t="s">
        <v>110</v>
      </c>
      <c r="C26" s="2" t="s">
        <v>110</v>
      </c>
      <c r="D26" s="2" t="s">
        <v>797</v>
      </c>
      <c r="E26" s="2" t="s">
        <v>797</v>
      </c>
      <c r="F26" s="2" t="s">
        <v>53</v>
      </c>
      <c r="G26" s="2" t="s">
        <v>53</v>
      </c>
      <c r="H26" s="2" t="s">
        <v>54</v>
      </c>
      <c r="I26" s="2" t="s">
        <v>54</v>
      </c>
      <c r="J26" s="2" t="s">
        <v>798</v>
      </c>
      <c r="K26" s="2" t="s">
        <v>71</v>
      </c>
      <c r="L26" s="2" t="s">
        <v>799</v>
      </c>
      <c r="M26" s="2" t="s">
        <v>72</v>
      </c>
      <c r="N26" s="3"/>
      <c r="O26" s="3"/>
      <c r="P26" s="3"/>
      <c r="Q26" s="3"/>
      <c r="R26" s="3"/>
      <c r="S26" s="3"/>
      <c r="T26" s="3"/>
      <c r="U26" s="3"/>
      <c r="V26" s="3"/>
      <c r="W26" s="3"/>
      <c r="X26" s="3"/>
      <c r="Y26" s="3"/>
      <c r="Z26" s="3"/>
    </row>
    <row r="27" spans="1:26" hidden="1" x14ac:dyDescent="0.3">
      <c r="A27" s="2" t="s">
        <v>467</v>
      </c>
      <c r="B27" s="2" t="s">
        <v>239</v>
      </c>
      <c r="C27" s="2" t="s">
        <v>239</v>
      </c>
      <c r="D27" s="2" t="s">
        <v>797</v>
      </c>
      <c r="E27" s="2" t="s">
        <v>797</v>
      </c>
      <c r="F27" s="2" t="s">
        <v>53</v>
      </c>
      <c r="G27" s="2" t="s">
        <v>53</v>
      </c>
      <c r="H27" s="2" t="s">
        <v>54</v>
      </c>
      <c r="I27" s="2" t="s">
        <v>54</v>
      </c>
      <c r="J27" s="2" t="s">
        <v>798</v>
      </c>
      <c r="K27" s="2" t="s">
        <v>71</v>
      </c>
      <c r="L27" s="2" t="s">
        <v>799</v>
      </c>
      <c r="M27" s="2" t="s">
        <v>72</v>
      </c>
      <c r="N27" s="3"/>
      <c r="O27" s="3"/>
      <c r="P27" s="3"/>
      <c r="Q27" s="3"/>
      <c r="R27" s="3"/>
      <c r="S27" s="3"/>
      <c r="T27" s="3"/>
      <c r="U27" s="3"/>
      <c r="V27" s="3"/>
      <c r="W27" s="3"/>
      <c r="X27" s="3"/>
      <c r="Y27" s="3"/>
      <c r="Z27" s="3"/>
    </row>
    <row r="28" spans="1:26" hidden="1" x14ac:dyDescent="0.3">
      <c r="A28" s="2" t="s">
        <v>467</v>
      </c>
      <c r="B28" s="2" t="s">
        <v>274</v>
      </c>
      <c r="C28" s="2" t="s">
        <v>274</v>
      </c>
      <c r="D28" s="2" t="s">
        <v>797</v>
      </c>
      <c r="E28" s="2" t="s">
        <v>797</v>
      </c>
      <c r="F28" s="2" t="s">
        <v>53</v>
      </c>
      <c r="G28" s="2" t="s">
        <v>53</v>
      </c>
      <c r="H28" s="2" t="s">
        <v>54</v>
      </c>
      <c r="I28" s="2" t="s">
        <v>54</v>
      </c>
      <c r="J28" s="2" t="s">
        <v>798</v>
      </c>
      <c r="K28" s="2" t="s">
        <v>71</v>
      </c>
      <c r="L28" s="2" t="s">
        <v>799</v>
      </c>
      <c r="M28" s="2" t="s">
        <v>72</v>
      </c>
      <c r="N28" s="3"/>
      <c r="O28" s="3"/>
      <c r="P28" s="3"/>
      <c r="Q28" s="3"/>
      <c r="R28" s="3"/>
      <c r="S28" s="3"/>
      <c r="T28" s="3"/>
      <c r="U28" s="3"/>
      <c r="V28" s="3"/>
      <c r="W28" s="3"/>
      <c r="X28" s="3"/>
      <c r="Y28" s="3"/>
      <c r="Z28" s="3"/>
    </row>
    <row r="29" spans="1:26" hidden="1" x14ac:dyDescent="0.3">
      <c r="A29" s="2" t="s">
        <v>467</v>
      </c>
      <c r="B29" s="2" t="s">
        <v>324</v>
      </c>
      <c r="C29" s="2" t="s">
        <v>324</v>
      </c>
      <c r="D29" s="2" t="s">
        <v>797</v>
      </c>
      <c r="E29" s="2" t="s">
        <v>797</v>
      </c>
      <c r="F29" s="2" t="s">
        <v>53</v>
      </c>
      <c r="G29" s="2" t="s">
        <v>53</v>
      </c>
      <c r="H29" s="2" t="s">
        <v>54</v>
      </c>
      <c r="I29" s="2" t="s">
        <v>54</v>
      </c>
      <c r="J29" s="2" t="s">
        <v>798</v>
      </c>
      <c r="K29" s="2" t="s">
        <v>71</v>
      </c>
      <c r="L29" s="2" t="s">
        <v>799</v>
      </c>
      <c r="M29" s="2" t="s">
        <v>72</v>
      </c>
      <c r="N29" s="3"/>
      <c r="O29" s="3"/>
      <c r="P29" s="3"/>
      <c r="Q29" s="3"/>
      <c r="R29" s="3"/>
      <c r="S29" s="3"/>
      <c r="T29" s="3"/>
      <c r="U29" s="3"/>
      <c r="V29" s="3"/>
      <c r="W29" s="3"/>
      <c r="X29" s="3"/>
      <c r="Y29" s="3"/>
      <c r="Z29" s="3"/>
    </row>
    <row r="30" spans="1:26" hidden="1" x14ac:dyDescent="0.3">
      <c r="A30" s="2" t="s">
        <v>467</v>
      </c>
      <c r="B30" s="2" t="s">
        <v>341</v>
      </c>
      <c r="C30" s="2" t="s">
        <v>341</v>
      </c>
      <c r="D30" s="2" t="s">
        <v>797</v>
      </c>
      <c r="E30" s="2" t="s">
        <v>797</v>
      </c>
      <c r="F30" s="2" t="s">
        <v>53</v>
      </c>
      <c r="G30" s="2" t="s">
        <v>53</v>
      </c>
      <c r="H30" s="2" t="s">
        <v>54</v>
      </c>
      <c r="I30" s="2" t="s">
        <v>54</v>
      </c>
      <c r="J30" s="2" t="s">
        <v>798</v>
      </c>
      <c r="K30" s="2" t="s">
        <v>71</v>
      </c>
      <c r="L30" s="2" t="s">
        <v>799</v>
      </c>
      <c r="M30" s="2" t="s">
        <v>72</v>
      </c>
      <c r="N30" s="3"/>
      <c r="O30" s="3"/>
      <c r="P30" s="3"/>
      <c r="Q30" s="3"/>
      <c r="R30" s="3"/>
      <c r="S30" s="3"/>
      <c r="T30" s="3"/>
      <c r="U30" s="3"/>
      <c r="V30" s="3"/>
      <c r="W30" s="3"/>
      <c r="X30" s="3"/>
      <c r="Y30" s="3"/>
      <c r="Z30" s="3"/>
    </row>
    <row r="31" spans="1:26" x14ac:dyDescent="0.3">
      <c r="A31" s="2" t="s">
        <v>467</v>
      </c>
      <c r="B31" s="2" t="s">
        <v>359</v>
      </c>
      <c r="C31" s="2" t="s">
        <v>359</v>
      </c>
      <c r="D31" s="2" t="s">
        <v>797</v>
      </c>
      <c r="E31" s="2" t="s">
        <v>797</v>
      </c>
      <c r="F31" s="2" t="s">
        <v>53</v>
      </c>
      <c r="G31" s="2" t="s">
        <v>53</v>
      </c>
      <c r="H31" s="2" t="s">
        <v>54</v>
      </c>
      <c r="I31" s="2" t="s">
        <v>54</v>
      </c>
      <c r="J31" s="2" t="s">
        <v>798</v>
      </c>
      <c r="K31" s="2" t="s">
        <v>71</v>
      </c>
      <c r="L31" s="2" t="s">
        <v>799</v>
      </c>
      <c r="M31" s="2" t="s">
        <v>72</v>
      </c>
      <c r="N31" s="3"/>
      <c r="O31" s="3"/>
      <c r="P31" s="3"/>
      <c r="Q31" s="3"/>
      <c r="R31" s="3"/>
      <c r="S31" s="3"/>
      <c r="T31" s="3"/>
      <c r="U31" s="3"/>
      <c r="V31" s="3"/>
      <c r="W31" s="3"/>
      <c r="X31" s="3"/>
      <c r="Y31" s="3"/>
      <c r="Z31" s="3"/>
    </row>
    <row r="32" spans="1:26" hidden="1" x14ac:dyDescent="0.3">
      <c r="A32" s="2" t="s">
        <v>467</v>
      </c>
      <c r="B32" s="2" t="s">
        <v>800</v>
      </c>
      <c r="C32" s="2" t="s">
        <v>800</v>
      </c>
      <c r="D32" s="2" t="s">
        <v>797</v>
      </c>
      <c r="E32" s="2" t="s">
        <v>797</v>
      </c>
      <c r="F32" s="2" t="s">
        <v>53</v>
      </c>
      <c r="G32" s="2" t="s">
        <v>53</v>
      </c>
      <c r="H32" s="2" t="s">
        <v>54</v>
      </c>
      <c r="I32" s="2" t="s">
        <v>54</v>
      </c>
      <c r="J32" s="2" t="s">
        <v>798</v>
      </c>
      <c r="K32" s="2" t="s">
        <v>71</v>
      </c>
      <c r="L32" s="2" t="s">
        <v>799</v>
      </c>
      <c r="M32" s="2" t="s">
        <v>72</v>
      </c>
      <c r="N32" s="3"/>
      <c r="O32" s="3"/>
      <c r="P32" s="3"/>
      <c r="Q32" s="3"/>
      <c r="R32" s="3"/>
      <c r="S32" s="3"/>
      <c r="T32" s="3"/>
      <c r="U32" s="3"/>
      <c r="V32" s="3"/>
      <c r="W32" s="3"/>
      <c r="X32" s="3"/>
      <c r="Y32" s="3"/>
      <c r="Z32" s="3"/>
    </row>
    <row r="33" spans="1:26" hidden="1" x14ac:dyDescent="0.3">
      <c r="A33" s="2" t="s">
        <v>467</v>
      </c>
      <c r="B33" s="2" t="s">
        <v>51</v>
      </c>
      <c r="C33" s="2" t="s">
        <v>51</v>
      </c>
      <c r="D33" s="2" t="s">
        <v>82</v>
      </c>
      <c r="E33" s="2" t="s">
        <v>82</v>
      </c>
      <c r="F33" s="2" t="s">
        <v>53</v>
      </c>
      <c r="G33" s="2" t="s">
        <v>53</v>
      </c>
      <c r="H33" s="2" t="s">
        <v>759</v>
      </c>
      <c r="I33" s="2" t="s">
        <v>759</v>
      </c>
      <c r="J33" s="2" t="s">
        <v>760</v>
      </c>
      <c r="K33" s="2"/>
      <c r="L33" s="2" t="s">
        <v>761</v>
      </c>
      <c r="M33" s="2" t="s">
        <v>57</v>
      </c>
      <c r="N33" s="3">
        <v>4583.3333329999996</v>
      </c>
      <c r="O33" s="3">
        <v>4583.3333329999996</v>
      </c>
      <c r="P33" s="3">
        <v>4583.3333329999996</v>
      </c>
      <c r="Q33" s="3">
        <v>4583.3333329999996</v>
      </c>
      <c r="R33" s="3">
        <v>4583.3333329999996</v>
      </c>
      <c r="S33" s="3">
        <v>4583.3333329999996</v>
      </c>
      <c r="T33" s="3">
        <v>4583.3333329999996</v>
      </c>
      <c r="U33" s="3">
        <v>4583.3333329999996</v>
      </c>
      <c r="V33" s="3">
        <v>4583.3333329999996</v>
      </c>
      <c r="W33" s="3">
        <v>4583.3333329999996</v>
      </c>
      <c r="X33" s="3">
        <v>4583.3333329999996</v>
      </c>
      <c r="Y33" s="3">
        <v>4583.3333329999996</v>
      </c>
      <c r="Z33" s="3">
        <v>54999.999996000006</v>
      </c>
    </row>
    <row r="34" spans="1:26" hidden="1" x14ac:dyDescent="0.3">
      <c r="A34" s="2" t="s">
        <v>467</v>
      </c>
      <c r="B34" s="2" t="s">
        <v>51</v>
      </c>
      <c r="C34" s="2" t="s">
        <v>51</v>
      </c>
      <c r="D34" s="2" t="s">
        <v>217</v>
      </c>
      <c r="E34" s="2" t="s">
        <v>217</v>
      </c>
      <c r="F34" s="2" t="s">
        <v>53</v>
      </c>
      <c r="G34" s="2" t="s">
        <v>53</v>
      </c>
      <c r="H34" s="2" t="s">
        <v>759</v>
      </c>
      <c r="I34" s="2" t="s">
        <v>759</v>
      </c>
      <c r="J34" s="2" t="s">
        <v>762</v>
      </c>
      <c r="K34" s="2"/>
      <c r="L34" s="2" t="s">
        <v>761</v>
      </c>
      <c r="M34" s="2" t="s">
        <v>57</v>
      </c>
      <c r="N34" s="3">
        <v>2083.333333</v>
      </c>
      <c r="O34" s="3">
        <v>2083.333333</v>
      </c>
      <c r="P34" s="3">
        <v>2083.333333</v>
      </c>
      <c r="Q34" s="3">
        <v>2083.333333</v>
      </c>
      <c r="R34" s="3">
        <v>2083.333333</v>
      </c>
      <c r="S34" s="3">
        <v>2083.333333</v>
      </c>
      <c r="T34" s="3">
        <v>2083.333333</v>
      </c>
      <c r="U34" s="3">
        <v>2083.333333</v>
      </c>
      <c r="V34" s="3">
        <v>2083.333333</v>
      </c>
      <c r="W34" s="3">
        <v>2083.333333</v>
      </c>
      <c r="X34" s="3">
        <v>2083.333333</v>
      </c>
      <c r="Y34" s="3">
        <v>2083.333333</v>
      </c>
      <c r="Z34" s="3">
        <v>24999.999995999995</v>
      </c>
    </row>
    <row r="35" spans="1:26" hidden="1" x14ac:dyDescent="0.3">
      <c r="A35" s="2" t="s">
        <v>467</v>
      </c>
      <c r="B35" s="2" t="s">
        <v>51</v>
      </c>
      <c r="C35" s="2" t="s">
        <v>51</v>
      </c>
      <c r="D35" s="2" t="s">
        <v>135</v>
      </c>
      <c r="E35" s="2" t="s">
        <v>135</v>
      </c>
      <c r="F35" s="2" t="s">
        <v>53</v>
      </c>
      <c r="G35" s="2" t="s">
        <v>53</v>
      </c>
      <c r="H35" s="2" t="s">
        <v>759</v>
      </c>
      <c r="I35" s="2" t="s">
        <v>759</v>
      </c>
      <c r="J35" s="2" t="s">
        <v>801</v>
      </c>
      <c r="K35" s="2"/>
      <c r="L35" s="2" t="s">
        <v>761</v>
      </c>
      <c r="M35" s="2" t="s">
        <v>57</v>
      </c>
      <c r="N35" s="3">
        <v>0</v>
      </c>
      <c r="O35" s="3">
        <v>0</v>
      </c>
      <c r="P35" s="3">
        <v>0</v>
      </c>
      <c r="Q35" s="3">
        <v>0</v>
      </c>
      <c r="R35" s="3">
        <v>0</v>
      </c>
      <c r="S35" s="3">
        <v>0</v>
      </c>
      <c r="T35" s="3">
        <v>0</v>
      </c>
      <c r="U35" s="3">
        <v>0</v>
      </c>
      <c r="V35" s="3">
        <v>0</v>
      </c>
      <c r="W35" s="3">
        <v>0</v>
      </c>
      <c r="X35" s="3">
        <v>0</v>
      </c>
      <c r="Y35" s="3">
        <v>0</v>
      </c>
      <c r="Z35" s="3">
        <v>0</v>
      </c>
    </row>
    <row r="36" spans="1:26" hidden="1" x14ac:dyDescent="0.3">
      <c r="A36" s="2" t="s">
        <v>467</v>
      </c>
      <c r="B36" s="2" t="s">
        <v>51</v>
      </c>
      <c r="C36" s="2" t="s">
        <v>51</v>
      </c>
      <c r="D36" s="2" t="s">
        <v>200</v>
      </c>
      <c r="E36" s="2" t="s">
        <v>200</v>
      </c>
      <c r="F36" s="2" t="s">
        <v>53</v>
      </c>
      <c r="G36" s="2" t="s">
        <v>53</v>
      </c>
      <c r="H36" s="2" t="s">
        <v>759</v>
      </c>
      <c r="I36" s="2" t="s">
        <v>759</v>
      </c>
      <c r="J36" s="2" t="s">
        <v>763</v>
      </c>
      <c r="K36" s="2"/>
      <c r="L36" s="2" t="s">
        <v>761</v>
      </c>
      <c r="M36" s="2" t="s">
        <v>57</v>
      </c>
      <c r="N36" s="3">
        <v>15958.333329999999</v>
      </c>
      <c r="O36" s="3">
        <v>15958.333329999999</v>
      </c>
      <c r="P36" s="3">
        <v>15958.333329999999</v>
      </c>
      <c r="Q36" s="3">
        <v>15958.333329999999</v>
      </c>
      <c r="R36" s="3">
        <v>15958.333329999999</v>
      </c>
      <c r="S36" s="3">
        <v>15958.333329999999</v>
      </c>
      <c r="T36" s="3">
        <v>15958.333329999999</v>
      </c>
      <c r="U36" s="3">
        <v>15958.333329999999</v>
      </c>
      <c r="V36" s="3">
        <v>15958.333329999999</v>
      </c>
      <c r="W36" s="3">
        <v>15958.333329999999</v>
      </c>
      <c r="X36" s="3">
        <v>15958.333329999999</v>
      </c>
      <c r="Y36" s="3">
        <v>15958.333329999999</v>
      </c>
      <c r="Z36" s="3">
        <v>191499.99995999996</v>
      </c>
    </row>
    <row r="37" spans="1:26" hidden="1" x14ac:dyDescent="0.3">
      <c r="A37" s="2" t="s">
        <v>467</v>
      </c>
      <c r="B37" s="2" t="s">
        <v>51</v>
      </c>
      <c r="C37" s="2" t="s">
        <v>51</v>
      </c>
      <c r="D37" s="2" t="s">
        <v>82</v>
      </c>
      <c r="E37" s="2" t="s">
        <v>82</v>
      </c>
      <c r="F37" s="2" t="s">
        <v>53</v>
      </c>
      <c r="G37" s="2" t="s">
        <v>53</v>
      </c>
      <c r="H37" s="2" t="s">
        <v>759</v>
      </c>
      <c r="I37" s="2" t="s">
        <v>759</v>
      </c>
      <c r="J37" s="2" t="s">
        <v>764</v>
      </c>
      <c r="K37" s="2"/>
      <c r="L37" s="2" t="s">
        <v>761</v>
      </c>
      <c r="M37" s="2" t="s">
        <v>57</v>
      </c>
      <c r="N37" s="3">
        <v>5833.3333329999996</v>
      </c>
      <c r="O37" s="3">
        <v>5833.3333329999996</v>
      </c>
      <c r="P37" s="3">
        <v>5833.3333329999996</v>
      </c>
      <c r="Q37" s="3">
        <v>5833.3333329999996</v>
      </c>
      <c r="R37" s="3">
        <v>5833.3333329999996</v>
      </c>
      <c r="S37" s="3">
        <v>5833.3333329999996</v>
      </c>
      <c r="T37" s="3">
        <v>5833.3333329999996</v>
      </c>
      <c r="U37" s="3">
        <v>5833.3333329999996</v>
      </c>
      <c r="V37" s="3">
        <v>5833.3333329999996</v>
      </c>
      <c r="W37" s="3">
        <v>5833.3333329999996</v>
      </c>
      <c r="X37" s="3">
        <v>5833.3333329999996</v>
      </c>
      <c r="Y37" s="3">
        <v>5833.3333329999996</v>
      </c>
      <c r="Z37" s="3">
        <v>69999.999996000013</v>
      </c>
    </row>
    <row r="38" spans="1:26" hidden="1" x14ac:dyDescent="0.3">
      <c r="A38" s="2" t="s">
        <v>467</v>
      </c>
      <c r="B38" s="2" t="s">
        <v>51</v>
      </c>
      <c r="C38" s="2" t="s">
        <v>51</v>
      </c>
      <c r="D38" s="2" t="s">
        <v>82</v>
      </c>
      <c r="E38" s="2" t="s">
        <v>82</v>
      </c>
      <c r="F38" s="2" t="s">
        <v>53</v>
      </c>
      <c r="G38" s="2" t="s">
        <v>53</v>
      </c>
      <c r="H38" s="2" t="s">
        <v>759</v>
      </c>
      <c r="I38" s="2" t="s">
        <v>759</v>
      </c>
      <c r="J38" s="2" t="s">
        <v>765</v>
      </c>
      <c r="K38" s="2"/>
      <c r="L38" s="2" t="s">
        <v>761</v>
      </c>
      <c r="M38" s="2" t="s">
        <v>57</v>
      </c>
      <c r="N38" s="3">
        <v>10416.666670000001</v>
      </c>
      <c r="O38" s="3">
        <v>10416.666670000001</v>
      </c>
      <c r="P38" s="3">
        <v>10416.666670000001</v>
      </c>
      <c r="Q38" s="3">
        <v>10416.666670000001</v>
      </c>
      <c r="R38" s="3">
        <v>10416.666670000001</v>
      </c>
      <c r="S38" s="3">
        <v>10416.666670000001</v>
      </c>
      <c r="T38" s="3">
        <v>10416.666670000001</v>
      </c>
      <c r="U38" s="3">
        <v>10416.666670000001</v>
      </c>
      <c r="V38" s="3">
        <v>10416.666670000001</v>
      </c>
      <c r="W38" s="3">
        <v>10416.666670000001</v>
      </c>
      <c r="X38" s="3">
        <v>10416.666670000001</v>
      </c>
      <c r="Y38" s="3">
        <v>10416.666670000001</v>
      </c>
      <c r="Z38" s="3">
        <v>125000.00004000003</v>
      </c>
    </row>
    <row r="39" spans="1:26" hidden="1" x14ac:dyDescent="0.3">
      <c r="A39" s="2" t="s">
        <v>467</v>
      </c>
      <c r="B39" s="2" t="s">
        <v>51</v>
      </c>
      <c r="C39" s="2" t="s">
        <v>51</v>
      </c>
      <c r="D39" s="2" t="s">
        <v>52</v>
      </c>
      <c r="E39" s="2" t="s">
        <v>52</v>
      </c>
      <c r="F39" s="2" t="s">
        <v>53</v>
      </c>
      <c r="G39" s="2" t="s">
        <v>53</v>
      </c>
      <c r="H39" s="2" t="s">
        <v>54</v>
      </c>
      <c r="I39" s="2" t="s">
        <v>54</v>
      </c>
      <c r="J39" s="2" t="s">
        <v>55</v>
      </c>
      <c r="K39" s="2"/>
      <c r="L39" s="2" t="s">
        <v>56</v>
      </c>
      <c r="M39" s="2" t="s">
        <v>57</v>
      </c>
      <c r="N39" s="3">
        <v>12907.33</v>
      </c>
      <c r="O39" s="3">
        <v>12907.33</v>
      </c>
      <c r="P39" s="3">
        <v>12907.33</v>
      </c>
      <c r="Q39" s="3">
        <v>12907.33</v>
      </c>
      <c r="R39" s="3">
        <v>12907.33</v>
      </c>
      <c r="S39" s="3">
        <v>12907.33</v>
      </c>
      <c r="T39" s="3">
        <v>12907.33</v>
      </c>
      <c r="U39" s="3">
        <v>12907.33</v>
      </c>
      <c r="V39" s="3">
        <v>12907.33</v>
      </c>
      <c r="W39" s="3">
        <v>12907.33</v>
      </c>
      <c r="X39" s="3">
        <v>12907.33</v>
      </c>
      <c r="Y39" s="3">
        <v>12907.33</v>
      </c>
      <c r="Z39" s="3">
        <v>154887.96</v>
      </c>
    </row>
    <row r="40" spans="1:26" hidden="1" x14ac:dyDescent="0.3">
      <c r="A40" s="2" t="s">
        <v>467</v>
      </c>
      <c r="B40" s="2" t="s">
        <v>51</v>
      </c>
      <c r="C40" s="2" t="s">
        <v>51</v>
      </c>
      <c r="D40" s="2" t="s">
        <v>58</v>
      </c>
      <c r="E40" s="2" t="s">
        <v>58</v>
      </c>
      <c r="F40" s="2" t="s">
        <v>53</v>
      </c>
      <c r="G40" s="2" t="s">
        <v>53</v>
      </c>
      <c r="H40" s="2" t="s">
        <v>54</v>
      </c>
      <c r="I40" s="2" t="s">
        <v>54</v>
      </c>
      <c r="J40" s="2" t="s">
        <v>59</v>
      </c>
      <c r="K40" s="2"/>
      <c r="L40" s="2" t="s">
        <v>56</v>
      </c>
      <c r="M40" s="2" t="s">
        <v>57</v>
      </c>
      <c r="N40" s="3">
        <v>173.83</v>
      </c>
      <c r="O40" s="3">
        <v>173.83</v>
      </c>
      <c r="P40" s="3">
        <v>173.83</v>
      </c>
      <c r="Q40" s="3">
        <v>173.83</v>
      </c>
      <c r="R40" s="3">
        <v>173.83</v>
      </c>
      <c r="S40" s="3">
        <v>173.83</v>
      </c>
      <c r="T40" s="3">
        <v>173.83</v>
      </c>
      <c r="U40" s="3">
        <v>173.83</v>
      </c>
      <c r="V40" s="3">
        <v>173.83</v>
      </c>
      <c r="W40" s="3">
        <v>173.83</v>
      </c>
      <c r="X40" s="3">
        <v>173.83</v>
      </c>
      <c r="Y40" s="3">
        <v>173.83</v>
      </c>
      <c r="Z40" s="3">
        <v>2085.9599999999996</v>
      </c>
    </row>
    <row r="41" spans="1:26" hidden="1" x14ac:dyDescent="0.3">
      <c r="A41" s="2" t="s">
        <v>467</v>
      </c>
      <c r="B41" s="2" t="s">
        <v>51</v>
      </c>
      <c r="C41" s="2" t="s">
        <v>51</v>
      </c>
      <c r="D41" s="2" t="s">
        <v>60</v>
      </c>
      <c r="E41" s="2" t="s">
        <v>60</v>
      </c>
      <c r="F41" s="2" t="s">
        <v>53</v>
      </c>
      <c r="G41" s="2" t="s">
        <v>53</v>
      </c>
      <c r="H41" s="2" t="s">
        <v>54</v>
      </c>
      <c r="I41" s="2" t="s">
        <v>54</v>
      </c>
      <c r="J41" s="2" t="s">
        <v>61</v>
      </c>
      <c r="K41" s="2"/>
      <c r="L41" s="2" t="s">
        <v>56</v>
      </c>
      <c r="M41" s="2" t="s">
        <v>57</v>
      </c>
      <c r="N41" s="3">
        <v>127.16</v>
      </c>
      <c r="O41" s="3">
        <v>127.16</v>
      </c>
      <c r="P41" s="3">
        <v>127.16</v>
      </c>
      <c r="Q41" s="3">
        <v>127.16</v>
      </c>
      <c r="R41" s="3">
        <v>127.16</v>
      </c>
      <c r="S41" s="3">
        <v>127.16</v>
      </c>
      <c r="T41" s="3">
        <v>127.16</v>
      </c>
      <c r="U41" s="3">
        <v>127.16</v>
      </c>
      <c r="V41" s="3">
        <v>127.16</v>
      </c>
      <c r="W41" s="3">
        <v>127.16</v>
      </c>
      <c r="X41" s="3">
        <v>127.16</v>
      </c>
      <c r="Y41" s="3">
        <v>127.16</v>
      </c>
      <c r="Z41" s="3">
        <v>1525.92</v>
      </c>
    </row>
    <row r="42" spans="1:26" hidden="1" x14ac:dyDescent="0.3">
      <c r="A42" s="2" t="s">
        <v>467</v>
      </c>
      <c r="B42" s="2" t="s">
        <v>51</v>
      </c>
      <c r="C42" s="2" t="s">
        <v>51</v>
      </c>
      <c r="D42" s="2" t="s">
        <v>62</v>
      </c>
      <c r="E42" s="2" t="s">
        <v>62</v>
      </c>
      <c r="F42" s="2" t="s">
        <v>53</v>
      </c>
      <c r="G42" s="2" t="s">
        <v>53</v>
      </c>
      <c r="H42" s="2" t="s">
        <v>54</v>
      </c>
      <c r="I42" s="2" t="s">
        <v>54</v>
      </c>
      <c r="J42" s="2" t="s">
        <v>63</v>
      </c>
      <c r="K42" s="2"/>
      <c r="L42" s="2" t="s">
        <v>56</v>
      </c>
      <c r="M42" s="2" t="s">
        <v>57</v>
      </c>
      <c r="N42" s="3">
        <v>8443.06</v>
      </c>
      <c r="O42" s="3">
        <v>8443.06</v>
      </c>
      <c r="P42" s="3">
        <v>8443.06</v>
      </c>
      <c r="Q42" s="3">
        <v>8443.06</v>
      </c>
      <c r="R42" s="3">
        <v>8443.06</v>
      </c>
      <c r="S42" s="3">
        <v>8443.06</v>
      </c>
      <c r="T42" s="3">
        <v>8443.06</v>
      </c>
      <c r="U42" s="3">
        <v>8443.06</v>
      </c>
      <c r="V42" s="3">
        <v>8443.06</v>
      </c>
      <c r="W42" s="3">
        <v>8443.06</v>
      </c>
      <c r="X42" s="3">
        <v>8443.06</v>
      </c>
      <c r="Y42" s="3">
        <v>8443.06</v>
      </c>
      <c r="Z42" s="3">
        <v>101316.71999999999</v>
      </c>
    </row>
    <row r="43" spans="1:26" hidden="1" x14ac:dyDescent="0.3">
      <c r="A43" s="2" t="s">
        <v>467</v>
      </c>
      <c r="B43" s="2" t="s">
        <v>51</v>
      </c>
      <c r="C43" s="2" t="s">
        <v>51</v>
      </c>
      <c r="D43" s="2" t="s">
        <v>64</v>
      </c>
      <c r="E43" s="2" t="s">
        <v>64</v>
      </c>
      <c r="F43" s="2" t="s">
        <v>53</v>
      </c>
      <c r="G43" s="2" t="s">
        <v>53</v>
      </c>
      <c r="H43" s="2" t="s">
        <v>767</v>
      </c>
      <c r="I43" s="2" t="s">
        <v>767</v>
      </c>
      <c r="J43" s="2" t="s">
        <v>65</v>
      </c>
      <c r="K43" s="2"/>
      <c r="L43" s="2" t="s">
        <v>56</v>
      </c>
      <c r="M43" s="2" t="s">
        <v>57</v>
      </c>
      <c r="N43" s="3">
        <v>-8750</v>
      </c>
      <c r="O43" s="3">
        <v>-8750</v>
      </c>
      <c r="P43" s="3">
        <v>-8750</v>
      </c>
      <c r="Q43" s="3">
        <v>-8750</v>
      </c>
      <c r="R43" s="3">
        <v>-8750</v>
      </c>
      <c r="S43" s="3">
        <v>-8750</v>
      </c>
      <c r="T43" s="3">
        <v>-8750</v>
      </c>
      <c r="U43" s="3">
        <v>-8750</v>
      </c>
      <c r="V43" s="3">
        <v>-8750</v>
      </c>
      <c r="W43" s="3">
        <v>-8750</v>
      </c>
      <c r="X43" s="3">
        <v>-8750</v>
      </c>
      <c r="Y43" s="3">
        <v>-8750</v>
      </c>
      <c r="Z43" s="3">
        <v>-105000</v>
      </c>
    </row>
    <row r="44" spans="1:26" hidden="1" x14ac:dyDescent="0.3">
      <c r="A44" s="2" t="s">
        <v>467</v>
      </c>
      <c r="B44" s="2" t="s">
        <v>51</v>
      </c>
      <c r="C44" s="2" t="s">
        <v>51</v>
      </c>
      <c r="D44" s="2" t="s">
        <v>64</v>
      </c>
      <c r="E44" s="2" t="s">
        <v>64</v>
      </c>
      <c r="F44" s="2" t="s">
        <v>53</v>
      </c>
      <c r="G44" s="2" t="s">
        <v>53</v>
      </c>
      <c r="H44" s="2" t="s">
        <v>54</v>
      </c>
      <c r="I44" s="2" t="s">
        <v>54</v>
      </c>
      <c r="J44" s="2" t="s">
        <v>65</v>
      </c>
      <c r="K44" s="2"/>
      <c r="L44" s="2" t="s">
        <v>56</v>
      </c>
      <c r="M44" s="2" t="s">
        <v>57</v>
      </c>
      <c r="N44" s="3">
        <v>3851.67</v>
      </c>
      <c r="O44" s="3">
        <v>3851.67</v>
      </c>
      <c r="P44" s="3">
        <v>3851.67</v>
      </c>
      <c r="Q44" s="3">
        <v>3851.67</v>
      </c>
      <c r="R44" s="3">
        <v>3851.67</v>
      </c>
      <c r="S44" s="3">
        <v>3851.67</v>
      </c>
      <c r="T44" s="3">
        <v>3851.67</v>
      </c>
      <c r="U44" s="3">
        <v>3851.67</v>
      </c>
      <c r="V44" s="3">
        <v>3851.67</v>
      </c>
      <c r="W44" s="3">
        <v>3851.67</v>
      </c>
      <c r="X44" s="3">
        <v>3851.67</v>
      </c>
      <c r="Y44" s="3">
        <v>3851.67</v>
      </c>
      <c r="Z44" s="3">
        <v>46220.039999999986</v>
      </c>
    </row>
    <row r="45" spans="1:26" hidden="1" x14ac:dyDescent="0.3">
      <c r="A45" s="2" t="s">
        <v>467</v>
      </c>
      <c r="B45" s="2" t="s">
        <v>51</v>
      </c>
      <c r="C45" s="2" t="s">
        <v>51</v>
      </c>
      <c r="D45" s="2" t="s">
        <v>66</v>
      </c>
      <c r="E45" s="2" t="s">
        <v>66</v>
      </c>
      <c r="F45" s="2" t="s">
        <v>53</v>
      </c>
      <c r="G45" s="2" t="s">
        <v>53</v>
      </c>
      <c r="H45" s="2" t="s">
        <v>54</v>
      </c>
      <c r="I45" s="2" t="s">
        <v>54</v>
      </c>
      <c r="J45" s="2" t="s">
        <v>67</v>
      </c>
      <c r="K45" s="2"/>
      <c r="L45" s="2" t="s">
        <v>56</v>
      </c>
      <c r="M45" s="2" t="s">
        <v>57</v>
      </c>
      <c r="N45" s="3">
        <v>13944.67</v>
      </c>
      <c r="O45" s="3">
        <v>13944.67</v>
      </c>
      <c r="P45" s="3">
        <v>13944.67</v>
      </c>
      <c r="Q45" s="3">
        <v>13944.67</v>
      </c>
      <c r="R45" s="3">
        <v>13944.67</v>
      </c>
      <c r="S45" s="3">
        <v>13944.67</v>
      </c>
      <c r="T45" s="3">
        <v>13944.67</v>
      </c>
      <c r="U45" s="3">
        <v>13944.67</v>
      </c>
      <c r="V45" s="3">
        <v>13944.67</v>
      </c>
      <c r="W45" s="3">
        <v>13944.67</v>
      </c>
      <c r="X45" s="3">
        <v>13944.67</v>
      </c>
      <c r="Y45" s="3">
        <v>13944.67</v>
      </c>
      <c r="Z45" s="3">
        <v>167336.04000000004</v>
      </c>
    </row>
    <row r="46" spans="1:26" hidden="1" x14ac:dyDescent="0.3">
      <c r="A46" s="2" t="s">
        <v>467</v>
      </c>
      <c r="B46" s="2" t="s">
        <v>68</v>
      </c>
      <c r="C46" s="2" t="s">
        <v>68</v>
      </c>
      <c r="D46" s="2" t="s">
        <v>69</v>
      </c>
      <c r="E46" s="2" t="s">
        <v>69</v>
      </c>
      <c r="F46" s="2" t="s">
        <v>53</v>
      </c>
      <c r="G46" s="2" t="s">
        <v>53</v>
      </c>
      <c r="H46" s="2" t="s">
        <v>54</v>
      </c>
      <c r="I46" s="2" t="s">
        <v>54</v>
      </c>
      <c r="J46" s="2" t="s">
        <v>70</v>
      </c>
      <c r="K46" s="2" t="s">
        <v>71</v>
      </c>
      <c r="L46" s="2" t="s">
        <v>56</v>
      </c>
      <c r="M46" s="2" t="s">
        <v>72</v>
      </c>
      <c r="N46" s="3">
        <v>3062</v>
      </c>
      <c r="O46" s="3">
        <v>3062</v>
      </c>
      <c r="P46" s="3">
        <v>3169</v>
      </c>
      <c r="Q46" s="3">
        <v>3169</v>
      </c>
      <c r="R46" s="3">
        <v>3169</v>
      </c>
      <c r="S46" s="3">
        <v>3169</v>
      </c>
      <c r="T46" s="3">
        <v>3169</v>
      </c>
      <c r="U46" s="3">
        <v>3169</v>
      </c>
      <c r="V46" s="3">
        <v>3169</v>
      </c>
      <c r="W46" s="3">
        <v>3169</v>
      </c>
      <c r="X46" s="3">
        <v>3169</v>
      </c>
      <c r="Y46" s="3">
        <v>3169</v>
      </c>
      <c r="Z46" s="3">
        <v>37814</v>
      </c>
    </row>
    <row r="47" spans="1:26" hidden="1" x14ac:dyDescent="0.3">
      <c r="A47" s="2" t="s">
        <v>467</v>
      </c>
      <c r="B47" s="2" t="s">
        <v>68</v>
      </c>
      <c r="C47" s="2" t="s">
        <v>68</v>
      </c>
      <c r="D47" s="2" t="s">
        <v>768</v>
      </c>
      <c r="E47" s="2" t="s">
        <v>768</v>
      </c>
      <c r="F47" s="2" t="s">
        <v>53</v>
      </c>
      <c r="G47" s="2" t="s">
        <v>53</v>
      </c>
      <c r="H47" s="2" t="s">
        <v>767</v>
      </c>
      <c r="I47" s="2" t="s">
        <v>767</v>
      </c>
      <c r="J47" s="2" t="s">
        <v>769</v>
      </c>
      <c r="K47" s="2" t="s">
        <v>71</v>
      </c>
      <c r="L47" s="2" t="s">
        <v>56</v>
      </c>
      <c r="M47" s="2" t="s">
        <v>72</v>
      </c>
      <c r="N47" s="3">
        <v>-6167</v>
      </c>
      <c r="O47" s="3">
        <v>-6167</v>
      </c>
      <c r="P47" s="3">
        <v>-6167</v>
      </c>
      <c r="Q47" s="3">
        <v>-6167</v>
      </c>
      <c r="R47" s="3">
        <v>-6167</v>
      </c>
      <c r="S47" s="3">
        <v>-6167</v>
      </c>
      <c r="T47" s="3">
        <v>-6167</v>
      </c>
      <c r="U47" s="3">
        <v>-6167</v>
      </c>
      <c r="V47" s="3">
        <v>-6167</v>
      </c>
      <c r="W47" s="3">
        <v>-6167</v>
      </c>
      <c r="X47" s="3">
        <v>-6167</v>
      </c>
      <c r="Y47" s="3">
        <v>-6167</v>
      </c>
      <c r="Z47" s="3">
        <v>-74004</v>
      </c>
    </row>
    <row r="48" spans="1:26" hidden="1" x14ac:dyDescent="0.3">
      <c r="A48" s="2" t="s">
        <v>467</v>
      </c>
      <c r="B48" s="2" t="s">
        <v>68</v>
      </c>
      <c r="C48" s="2" t="s">
        <v>68</v>
      </c>
      <c r="D48" s="2" t="s">
        <v>52</v>
      </c>
      <c r="E48" s="2" t="s">
        <v>52</v>
      </c>
      <c r="F48" s="2" t="s">
        <v>53</v>
      </c>
      <c r="G48" s="2" t="s">
        <v>53</v>
      </c>
      <c r="H48" s="2" t="s">
        <v>54</v>
      </c>
      <c r="I48" s="2" t="s">
        <v>54</v>
      </c>
      <c r="J48" s="2" t="s">
        <v>73</v>
      </c>
      <c r="K48" s="2" t="s">
        <v>74</v>
      </c>
      <c r="L48" s="2" t="s">
        <v>56</v>
      </c>
      <c r="M48" s="2" t="s">
        <v>72</v>
      </c>
      <c r="N48" s="3">
        <v>11574.95</v>
      </c>
      <c r="O48" s="3">
        <v>11574.95</v>
      </c>
      <c r="P48" s="3">
        <v>11574.95</v>
      </c>
      <c r="Q48" s="3">
        <v>11574.95</v>
      </c>
      <c r="R48" s="3">
        <v>11574.95</v>
      </c>
      <c r="S48" s="3">
        <v>11574.95</v>
      </c>
      <c r="T48" s="3">
        <v>11574.95</v>
      </c>
      <c r="U48" s="3">
        <v>11574.95</v>
      </c>
      <c r="V48" s="3">
        <v>11574.95</v>
      </c>
      <c r="W48" s="3">
        <v>11574.95</v>
      </c>
      <c r="X48" s="3">
        <v>11574.95</v>
      </c>
      <c r="Y48" s="3">
        <v>11574.95</v>
      </c>
      <c r="Z48" s="3">
        <v>138899.4</v>
      </c>
    </row>
    <row r="49" spans="1:26" hidden="1" x14ac:dyDescent="0.3">
      <c r="A49" s="2" t="s">
        <v>467</v>
      </c>
      <c r="B49" s="2" t="s">
        <v>75</v>
      </c>
      <c r="C49" s="2" t="s">
        <v>75</v>
      </c>
      <c r="D49" s="2" t="s">
        <v>98</v>
      </c>
      <c r="E49" s="2" t="s">
        <v>98</v>
      </c>
      <c r="F49" s="2" t="s">
        <v>53</v>
      </c>
      <c r="G49" s="2" t="s">
        <v>53</v>
      </c>
      <c r="H49" s="2" t="s">
        <v>767</v>
      </c>
      <c r="I49" s="2" t="s">
        <v>767</v>
      </c>
      <c r="J49" s="2" t="s">
        <v>128</v>
      </c>
      <c r="K49" s="2" t="s">
        <v>129</v>
      </c>
      <c r="L49" s="2" t="s">
        <v>56</v>
      </c>
      <c r="M49" s="2" t="s">
        <v>57</v>
      </c>
      <c r="N49" s="3"/>
      <c r="O49" s="3"/>
      <c r="P49" s="3"/>
      <c r="Q49" s="3">
        <v>-3141.68</v>
      </c>
      <c r="R49" s="3">
        <v>-3141.68</v>
      </c>
      <c r="S49" s="3">
        <v>-3141.68</v>
      </c>
      <c r="T49" s="3">
        <v>-3141.68</v>
      </c>
      <c r="U49" s="3">
        <v>-3141.68</v>
      </c>
      <c r="V49" s="3">
        <v>-3141.68</v>
      </c>
      <c r="W49" s="3">
        <v>-3141.68</v>
      </c>
      <c r="X49" s="3">
        <v>-3141.68</v>
      </c>
      <c r="Y49" s="3">
        <v>-3141.68</v>
      </c>
      <c r="Z49" s="3">
        <v>-28275.119999999999</v>
      </c>
    </row>
    <row r="50" spans="1:26" hidden="1" x14ac:dyDescent="0.3">
      <c r="A50" s="2" t="s">
        <v>467</v>
      </c>
      <c r="B50" s="2" t="s">
        <v>75</v>
      </c>
      <c r="C50" s="2" t="s">
        <v>75</v>
      </c>
      <c r="D50" s="2" t="s">
        <v>76</v>
      </c>
      <c r="E50" s="2" t="s">
        <v>76</v>
      </c>
      <c r="F50" s="2" t="s">
        <v>53</v>
      </c>
      <c r="G50" s="2" t="s">
        <v>53</v>
      </c>
      <c r="H50" s="2" t="s">
        <v>77</v>
      </c>
      <c r="I50" s="2" t="s">
        <v>77</v>
      </c>
      <c r="J50" s="2" t="s">
        <v>78</v>
      </c>
      <c r="K50" s="2" t="s">
        <v>79</v>
      </c>
      <c r="L50" s="2" t="s">
        <v>56</v>
      </c>
      <c r="M50" s="2" t="s">
        <v>57</v>
      </c>
      <c r="N50" s="3">
        <v>292</v>
      </c>
      <c r="O50" s="3">
        <v>292</v>
      </c>
      <c r="P50" s="3">
        <v>292</v>
      </c>
      <c r="Q50" s="3">
        <v>292</v>
      </c>
      <c r="R50" s="3">
        <v>292</v>
      </c>
      <c r="S50" s="3">
        <v>292</v>
      </c>
      <c r="T50" s="3">
        <v>292</v>
      </c>
      <c r="U50" s="3">
        <v>292</v>
      </c>
      <c r="V50" s="3">
        <v>292</v>
      </c>
      <c r="W50" s="3">
        <v>292</v>
      </c>
      <c r="X50" s="3">
        <v>292</v>
      </c>
      <c r="Y50" s="3">
        <v>292</v>
      </c>
      <c r="Z50" s="3">
        <v>3504</v>
      </c>
    </row>
    <row r="51" spans="1:26" hidden="1" x14ac:dyDescent="0.3">
      <c r="A51" s="2" t="s">
        <v>467</v>
      </c>
      <c r="B51" s="2" t="s">
        <v>75</v>
      </c>
      <c r="C51" s="2" t="s">
        <v>75</v>
      </c>
      <c r="D51" s="2" t="s">
        <v>76</v>
      </c>
      <c r="E51" s="2" t="s">
        <v>76</v>
      </c>
      <c r="F51" s="2" t="s">
        <v>53</v>
      </c>
      <c r="G51" s="2" t="s">
        <v>53</v>
      </c>
      <c r="H51" s="2" t="s">
        <v>54</v>
      </c>
      <c r="I51" s="2" t="s">
        <v>54</v>
      </c>
      <c r="J51" s="2" t="s">
        <v>80</v>
      </c>
      <c r="K51" s="2" t="s">
        <v>81</v>
      </c>
      <c r="L51" s="2" t="s">
        <v>56</v>
      </c>
      <c r="M51" s="2" t="s">
        <v>57</v>
      </c>
      <c r="N51" s="3">
        <v>100</v>
      </c>
      <c r="O51" s="3">
        <v>100</v>
      </c>
      <c r="P51" s="3">
        <v>100</v>
      </c>
      <c r="Q51" s="3">
        <v>100</v>
      </c>
      <c r="R51" s="3">
        <v>100</v>
      </c>
      <c r="S51" s="3">
        <v>100</v>
      </c>
      <c r="T51" s="3">
        <v>100</v>
      </c>
      <c r="U51" s="3">
        <v>100</v>
      </c>
      <c r="V51" s="3">
        <v>100</v>
      </c>
      <c r="W51" s="3">
        <v>100</v>
      </c>
      <c r="X51" s="3">
        <v>100</v>
      </c>
      <c r="Y51" s="3">
        <v>100</v>
      </c>
      <c r="Z51" s="3">
        <v>1200</v>
      </c>
    </row>
    <row r="52" spans="1:26" hidden="1" x14ac:dyDescent="0.3">
      <c r="A52" s="2" t="s">
        <v>467</v>
      </c>
      <c r="B52" s="2" t="s">
        <v>75</v>
      </c>
      <c r="C52" s="2" t="s">
        <v>75</v>
      </c>
      <c r="D52" s="2" t="s">
        <v>82</v>
      </c>
      <c r="E52" s="2" t="s">
        <v>82</v>
      </c>
      <c r="F52" s="2" t="s">
        <v>53</v>
      </c>
      <c r="G52" s="2" t="s">
        <v>53</v>
      </c>
      <c r="H52" s="2" t="s">
        <v>54</v>
      </c>
      <c r="I52" s="2" t="s">
        <v>54</v>
      </c>
      <c r="J52" s="2" t="s">
        <v>83</v>
      </c>
      <c r="K52" s="2" t="s">
        <v>84</v>
      </c>
      <c r="L52" s="2" t="s">
        <v>56</v>
      </c>
      <c r="M52" s="2" t="s">
        <v>57</v>
      </c>
      <c r="N52" s="3">
        <v>58598.5</v>
      </c>
      <c r="O52" s="3">
        <v>58598.5</v>
      </c>
      <c r="P52" s="3">
        <v>58598.5</v>
      </c>
      <c r="Q52" s="3">
        <v>58598.5</v>
      </c>
      <c r="R52" s="3">
        <v>58598.5</v>
      </c>
      <c r="S52" s="3">
        <v>58598.5</v>
      </c>
      <c r="T52" s="3">
        <v>58598.5</v>
      </c>
      <c r="U52" s="3">
        <v>58598.5</v>
      </c>
      <c r="V52" s="3">
        <v>58598.5</v>
      </c>
      <c r="W52" s="3">
        <v>58598.5</v>
      </c>
      <c r="X52" s="3">
        <v>58598.5</v>
      </c>
      <c r="Y52" s="3">
        <v>58598.5</v>
      </c>
      <c r="Z52" s="3">
        <v>703182</v>
      </c>
    </row>
    <row r="53" spans="1:26" hidden="1" x14ac:dyDescent="0.3">
      <c r="A53" s="2" t="s">
        <v>467</v>
      </c>
      <c r="B53" s="2" t="s">
        <v>75</v>
      </c>
      <c r="C53" s="2" t="s">
        <v>75</v>
      </c>
      <c r="D53" s="2" t="s">
        <v>85</v>
      </c>
      <c r="E53" s="2" t="s">
        <v>85</v>
      </c>
      <c r="F53" s="2" t="s">
        <v>53</v>
      </c>
      <c r="G53" s="2" t="s">
        <v>53</v>
      </c>
      <c r="H53" s="2" t="s">
        <v>54</v>
      </c>
      <c r="I53" s="2" t="s">
        <v>54</v>
      </c>
      <c r="J53" s="2" t="s">
        <v>86</v>
      </c>
      <c r="K53" s="2" t="s">
        <v>87</v>
      </c>
      <c r="L53" s="2" t="s">
        <v>56</v>
      </c>
      <c r="M53" s="2" t="s">
        <v>57</v>
      </c>
      <c r="N53" s="3">
        <v>2083.33</v>
      </c>
      <c r="O53" s="3">
        <v>2083.33</v>
      </c>
      <c r="P53" s="3">
        <v>2083.33</v>
      </c>
      <c r="Q53" s="3">
        <v>2083.33</v>
      </c>
      <c r="R53" s="3">
        <v>2083.33</v>
      </c>
      <c r="S53" s="3">
        <v>2083.33</v>
      </c>
      <c r="T53" s="3">
        <v>2083.33</v>
      </c>
      <c r="U53" s="3">
        <v>2083.33</v>
      </c>
      <c r="V53" s="3">
        <v>2083.33</v>
      </c>
      <c r="W53" s="3">
        <v>2083.33</v>
      </c>
      <c r="X53" s="3">
        <v>2083.33</v>
      </c>
      <c r="Y53" s="3">
        <v>2083.33</v>
      </c>
      <c r="Z53" s="3">
        <v>24999.960000000006</v>
      </c>
    </row>
    <row r="54" spans="1:26" hidden="1" x14ac:dyDescent="0.3">
      <c r="A54" s="2" t="s">
        <v>467</v>
      </c>
      <c r="B54" s="2" t="s">
        <v>75</v>
      </c>
      <c r="C54" s="2" t="s">
        <v>75</v>
      </c>
      <c r="D54" s="2" t="s">
        <v>85</v>
      </c>
      <c r="E54" s="2" t="s">
        <v>85</v>
      </c>
      <c r="F54" s="2" t="s">
        <v>53</v>
      </c>
      <c r="G54" s="2" t="s">
        <v>53</v>
      </c>
      <c r="H54" s="2" t="s">
        <v>767</v>
      </c>
      <c r="I54" s="2" t="s">
        <v>767</v>
      </c>
      <c r="J54" s="2" t="s">
        <v>88</v>
      </c>
      <c r="K54" s="2" t="s">
        <v>89</v>
      </c>
      <c r="L54" s="2" t="s">
        <v>56</v>
      </c>
      <c r="M54" s="2" t="s">
        <v>57</v>
      </c>
      <c r="N54" s="3">
        <v>-834</v>
      </c>
      <c r="O54" s="3">
        <v>-834</v>
      </c>
      <c r="P54" s="3">
        <v>-834</v>
      </c>
      <c r="Q54" s="3">
        <v>-834</v>
      </c>
      <c r="R54" s="3">
        <v>-834</v>
      </c>
      <c r="S54" s="3">
        <v>-834</v>
      </c>
      <c r="T54" s="3">
        <v>-834</v>
      </c>
      <c r="U54" s="3">
        <v>-834</v>
      </c>
      <c r="V54" s="3">
        <v>-834</v>
      </c>
      <c r="W54" s="3">
        <v>-834</v>
      </c>
      <c r="X54" s="3">
        <v>-834</v>
      </c>
      <c r="Y54" s="3">
        <v>-834</v>
      </c>
      <c r="Z54" s="3">
        <v>-10008</v>
      </c>
    </row>
    <row r="55" spans="1:26" hidden="1" x14ac:dyDescent="0.3">
      <c r="A55" s="2" t="s">
        <v>467</v>
      </c>
      <c r="B55" s="2" t="s">
        <v>75</v>
      </c>
      <c r="C55" s="2" t="s">
        <v>75</v>
      </c>
      <c r="D55" s="2" t="s">
        <v>85</v>
      </c>
      <c r="E55" s="2" t="s">
        <v>85</v>
      </c>
      <c r="F55" s="2" t="s">
        <v>53</v>
      </c>
      <c r="G55" s="2" t="s">
        <v>53</v>
      </c>
      <c r="H55" s="2" t="s">
        <v>54</v>
      </c>
      <c r="I55" s="2" t="s">
        <v>54</v>
      </c>
      <c r="J55" s="2" t="s">
        <v>88</v>
      </c>
      <c r="K55" s="2" t="s">
        <v>89</v>
      </c>
      <c r="L55" s="2" t="s">
        <v>56</v>
      </c>
      <c r="M55" s="2" t="s">
        <v>57</v>
      </c>
      <c r="N55" s="3">
        <v>1316.67</v>
      </c>
      <c r="O55" s="3">
        <v>1316.67</v>
      </c>
      <c r="P55" s="3">
        <v>1316.67</v>
      </c>
      <c r="Q55" s="3">
        <v>1316.67</v>
      </c>
      <c r="R55" s="3">
        <v>1316.67</v>
      </c>
      <c r="S55" s="3">
        <v>1316.67</v>
      </c>
      <c r="T55" s="3">
        <v>1316.67</v>
      </c>
      <c r="U55" s="3">
        <v>1316.67</v>
      </c>
      <c r="V55" s="3">
        <v>1316.67</v>
      </c>
      <c r="W55" s="3">
        <v>1316.67</v>
      </c>
      <c r="X55" s="3">
        <v>1316.67</v>
      </c>
      <c r="Y55" s="3">
        <v>1316.67</v>
      </c>
      <c r="Z55" s="3">
        <v>15800.04</v>
      </c>
    </row>
    <row r="56" spans="1:26" hidden="1" x14ac:dyDescent="0.3">
      <c r="A56" s="2" t="s">
        <v>467</v>
      </c>
      <c r="B56" s="2" t="s">
        <v>75</v>
      </c>
      <c r="C56" s="2" t="s">
        <v>75</v>
      </c>
      <c r="D56" s="2" t="s">
        <v>76</v>
      </c>
      <c r="E56" s="2" t="s">
        <v>76</v>
      </c>
      <c r="F56" s="2" t="s">
        <v>53</v>
      </c>
      <c r="G56" s="2" t="s">
        <v>53</v>
      </c>
      <c r="H56" s="2" t="s">
        <v>90</v>
      </c>
      <c r="I56" s="2" t="s">
        <v>90</v>
      </c>
      <c r="J56" s="2" t="s">
        <v>91</v>
      </c>
      <c r="K56" s="2" t="s">
        <v>92</v>
      </c>
      <c r="L56" s="2" t="s">
        <v>56</v>
      </c>
      <c r="M56" s="2" t="s">
        <v>57</v>
      </c>
      <c r="N56" s="3">
        <v>1333.33</v>
      </c>
      <c r="O56" s="3">
        <v>1333.33</v>
      </c>
      <c r="P56" s="3">
        <v>1333.33</v>
      </c>
      <c r="Q56" s="3">
        <v>1333.33</v>
      </c>
      <c r="R56" s="3">
        <v>1333.33</v>
      </c>
      <c r="S56" s="3">
        <v>1333.33</v>
      </c>
      <c r="T56" s="3">
        <v>1333.33</v>
      </c>
      <c r="U56" s="3">
        <v>1333.33</v>
      </c>
      <c r="V56" s="3">
        <v>1333.33</v>
      </c>
      <c r="W56" s="3">
        <v>1333.33</v>
      </c>
      <c r="X56" s="3">
        <v>1333.33</v>
      </c>
      <c r="Y56" s="3">
        <v>1333.33</v>
      </c>
      <c r="Z56" s="3">
        <v>15999.96</v>
      </c>
    </row>
    <row r="57" spans="1:26" hidden="1" x14ac:dyDescent="0.3">
      <c r="A57" s="2" t="s">
        <v>467</v>
      </c>
      <c r="B57" s="2" t="s">
        <v>75</v>
      </c>
      <c r="C57" s="2" t="s">
        <v>75</v>
      </c>
      <c r="D57" s="2" t="s">
        <v>93</v>
      </c>
      <c r="E57" s="2" t="s">
        <v>93</v>
      </c>
      <c r="F57" s="2" t="s">
        <v>53</v>
      </c>
      <c r="G57" s="2" t="s">
        <v>53</v>
      </c>
      <c r="H57" s="2" t="s">
        <v>767</v>
      </c>
      <c r="I57" s="2" t="s">
        <v>767</v>
      </c>
      <c r="J57" s="2" t="s">
        <v>770</v>
      </c>
      <c r="K57" s="2" t="s">
        <v>771</v>
      </c>
      <c r="L57" s="2" t="s">
        <v>56</v>
      </c>
      <c r="M57" s="2" t="s">
        <v>57</v>
      </c>
      <c r="N57" s="3">
        <v>-124.85</v>
      </c>
      <c r="O57" s="3">
        <v>-124.85</v>
      </c>
      <c r="P57" s="3">
        <v>-124.85</v>
      </c>
      <c r="Q57" s="3">
        <v>-124.85</v>
      </c>
      <c r="R57" s="3">
        <v>-124.85</v>
      </c>
      <c r="S57" s="3">
        <v>-124.85</v>
      </c>
      <c r="T57" s="3">
        <v>-124.85</v>
      </c>
      <c r="U57" s="3">
        <v>-124.85</v>
      </c>
      <c r="V57" s="3">
        <v>-124.85</v>
      </c>
      <c r="W57" s="3">
        <v>-124.85</v>
      </c>
      <c r="X57" s="3">
        <v>-124.85</v>
      </c>
      <c r="Y57" s="3">
        <v>-124.85</v>
      </c>
      <c r="Z57" s="3">
        <v>-1498.1999999999998</v>
      </c>
    </row>
    <row r="58" spans="1:26" hidden="1" x14ac:dyDescent="0.3">
      <c r="A58" s="2" t="s">
        <v>467</v>
      </c>
      <c r="B58" s="2" t="s">
        <v>75</v>
      </c>
      <c r="C58" s="2" t="s">
        <v>75</v>
      </c>
      <c r="D58" s="2" t="s">
        <v>93</v>
      </c>
      <c r="E58" s="2" t="s">
        <v>93</v>
      </c>
      <c r="F58" s="2" t="s">
        <v>53</v>
      </c>
      <c r="G58" s="2" t="s">
        <v>53</v>
      </c>
      <c r="H58" s="2" t="s">
        <v>90</v>
      </c>
      <c r="I58" s="2" t="s">
        <v>90</v>
      </c>
      <c r="J58" s="2" t="s">
        <v>94</v>
      </c>
      <c r="K58" s="2" t="s">
        <v>95</v>
      </c>
      <c r="L58" s="2" t="s">
        <v>56</v>
      </c>
      <c r="M58" s="2" t="s">
        <v>57</v>
      </c>
      <c r="N58" s="3">
        <v>3000</v>
      </c>
      <c r="O58" s="3">
        <v>3000</v>
      </c>
      <c r="P58" s="3">
        <v>3000</v>
      </c>
      <c r="Q58" s="3">
        <v>3000</v>
      </c>
      <c r="R58" s="3">
        <v>3000</v>
      </c>
      <c r="S58" s="3">
        <v>3000</v>
      </c>
      <c r="T58" s="3">
        <v>3000</v>
      </c>
      <c r="U58" s="3">
        <v>3000</v>
      </c>
      <c r="V58" s="3">
        <v>3000</v>
      </c>
      <c r="W58" s="3">
        <v>3000</v>
      </c>
      <c r="X58" s="3">
        <v>3000</v>
      </c>
      <c r="Y58" s="3">
        <v>3000</v>
      </c>
      <c r="Z58" s="3">
        <v>36000</v>
      </c>
    </row>
    <row r="59" spans="1:26" hidden="1" x14ac:dyDescent="0.3">
      <c r="A59" s="2" t="s">
        <v>467</v>
      </c>
      <c r="B59" s="2" t="s">
        <v>75</v>
      </c>
      <c r="C59" s="2" t="s">
        <v>75</v>
      </c>
      <c r="D59" s="2" t="s">
        <v>93</v>
      </c>
      <c r="E59" s="2" t="s">
        <v>93</v>
      </c>
      <c r="F59" s="2" t="s">
        <v>53</v>
      </c>
      <c r="G59" s="2" t="s">
        <v>53</v>
      </c>
      <c r="H59" s="2" t="s">
        <v>77</v>
      </c>
      <c r="I59" s="2" t="s">
        <v>77</v>
      </c>
      <c r="J59" s="2" t="s">
        <v>96</v>
      </c>
      <c r="K59" s="2" t="s">
        <v>97</v>
      </c>
      <c r="L59" s="2" t="s">
        <v>56</v>
      </c>
      <c r="M59" s="2" t="s">
        <v>57</v>
      </c>
      <c r="N59" s="3">
        <v>4500</v>
      </c>
      <c r="O59" s="3">
        <v>4500</v>
      </c>
      <c r="P59" s="3">
        <v>4500</v>
      </c>
      <c r="Q59" s="3">
        <v>4500</v>
      </c>
      <c r="R59" s="3">
        <v>4500</v>
      </c>
      <c r="S59" s="3">
        <v>4500</v>
      </c>
      <c r="T59" s="3">
        <v>4500</v>
      </c>
      <c r="U59" s="3">
        <v>4500</v>
      </c>
      <c r="V59" s="3">
        <v>4500</v>
      </c>
      <c r="W59" s="3">
        <v>4500</v>
      </c>
      <c r="X59" s="3">
        <v>4500</v>
      </c>
      <c r="Y59" s="3">
        <v>4500</v>
      </c>
      <c r="Z59" s="3">
        <v>54000</v>
      </c>
    </row>
    <row r="60" spans="1:26" hidden="1" x14ac:dyDescent="0.3">
      <c r="A60" s="2" t="s">
        <v>467</v>
      </c>
      <c r="B60" s="2" t="s">
        <v>75</v>
      </c>
      <c r="C60" s="2" t="s">
        <v>75</v>
      </c>
      <c r="D60" s="2" t="s">
        <v>98</v>
      </c>
      <c r="E60" s="2" t="s">
        <v>98</v>
      </c>
      <c r="F60" s="2" t="s">
        <v>53</v>
      </c>
      <c r="G60" s="2" t="s">
        <v>53</v>
      </c>
      <c r="H60" s="2" t="s">
        <v>99</v>
      </c>
      <c r="I60" s="2" t="s">
        <v>99</v>
      </c>
      <c r="J60" s="2" t="s">
        <v>100</v>
      </c>
      <c r="K60" s="2" t="s">
        <v>97</v>
      </c>
      <c r="L60" s="2" t="s">
        <v>56</v>
      </c>
      <c r="M60" s="2" t="s">
        <v>57</v>
      </c>
      <c r="N60" s="3">
        <v>617</v>
      </c>
      <c r="O60" s="3">
        <v>617</v>
      </c>
      <c r="P60" s="3">
        <v>617</v>
      </c>
      <c r="Q60" s="3">
        <v>617</v>
      </c>
      <c r="R60" s="3">
        <v>617</v>
      </c>
      <c r="S60" s="3">
        <v>617</v>
      </c>
      <c r="T60" s="3">
        <v>617</v>
      </c>
      <c r="U60" s="3">
        <v>617</v>
      </c>
      <c r="V60" s="3">
        <v>617</v>
      </c>
      <c r="W60" s="3">
        <v>617</v>
      </c>
      <c r="X60" s="3">
        <v>617</v>
      </c>
      <c r="Y60" s="3">
        <v>617</v>
      </c>
      <c r="Z60" s="3">
        <v>7404</v>
      </c>
    </row>
    <row r="61" spans="1:26" hidden="1" x14ac:dyDescent="0.3">
      <c r="A61" s="2" t="s">
        <v>467</v>
      </c>
      <c r="B61" s="2" t="s">
        <v>75</v>
      </c>
      <c r="C61" s="2" t="s">
        <v>75</v>
      </c>
      <c r="D61" s="2" t="s">
        <v>76</v>
      </c>
      <c r="E61" s="2" t="s">
        <v>76</v>
      </c>
      <c r="F61" s="2" t="s">
        <v>53</v>
      </c>
      <c r="G61" s="2" t="s">
        <v>53</v>
      </c>
      <c r="H61" s="2" t="s">
        <v>77</v>
      </c>
      <c r="I61" s="2" t="s">
        <v>77</v>
      </c>
      <c r="J61" s="2" t="s">
        <v>101</v>
      </c>
      <c r="K61" s="2" t="s">
        <v>97</v>
      </c>
      <c r="L61" s="2" t="s">
        <v>56</v>
      </c>
      <c r="M61" s="2" t="s">
        <v>57</v>
      </c>
      <c r="N61" s="3">
        <v>6000</v>
      </c>
      <c r="O61" s="3">
        <v>6000</v>
      </c>
      <c r="P61" s="3">
        <v>6000</v>
      </c>
      <c r="Q61" s="3">
        <v>6000</v>
      </c>
      <c r="R61" s="3">
        <v>6000</v>
      </c>
      <c r="S61" s="3">
        <v>6000</v>
      </c>
      <c r="T61" s="3">
        <v>6000</v>
      </c>
      <c r="U61" s="3">
        <v>6000</v>
      </c>
      <c r="V61" s="3">
        <v>6000</v>
      </c>
      <c r="W61" s="3">
        <v>6000</v>
      </c>
      <c r="X61" s="3">
        <v>6000</v>
      </c>
      <c r="Y61" s="3">
        <v>6000</v>
      </c>
      <c r="Z61" s="3">
        <v>72000</v>
      </c>
    </row>
    <row r="62" spans="1:26" hidden="1" x14ac:dyDescent="0.3">
      <c r="A62" s="2" t="s">
        <v>467</v>
      </c>
      <c r="B62" s="2" t="s">
        <v>75</v>
      </c>
      <c r="C62" s="2" t="s">
        <v>75</v>
      </c>
      <c r="D62" s="2" t="s">
        <v>98</v>
      </c>
      <c r="E62" s="2" t="s">
        <v>98</v>
      </c>
      <c r="F62" s="2" t="s">
        <v>53</v>
      </c>
      <c r="G62" s="2" t="s">
        <v>53</v>
      </c>
      <c r="H62" s="2" t="s">
        <v>767</v>
      </c>
      <c r="I62" s="2" t="s">
        <v>767</v>
      </c>
      <c r="J62" s="2" t="s">
        <v>102</v>
      </c>
      <c r="K62" s="2" t="s">
        <v>103</v>
      </c>
      <c r="L62" s="2" t="s">
        <v>56</v>
      </c>
      <c r="M62" s="2" t="s">
        <v>57</v>
      </c>
      <c r="N62" s="3">
        <v>-20537</v>
      </c>
      <c r="O62" s="3">
        <v>-20537</v>
      </c>
      <c r="P62" s="3">
        <v>-20537</v>
      </c>
      <c r="Q62" s="3">
        <v>-20537</v>
      </c>
      <c r="R62" s="3">
        <v>-20537</v>
      </c>
      <c r="S62" s="3">
        <v>-20537</v>
      </c>
      <c r="T62" s="3">
        <v>-20537</v>
      </c>
      <c r="U62" s="3">
        <v>-20537</v>
      </c>
      <c r="V62" s="3">
        <v>-20537</v>
      </c>
      <c r="W62" s="3">
        <v>-20537</v>
      </c>
      <c r="X62" s="3">
        <v>-20537</v>
      </c>
      <c r="Y62" s="3">
        <v>-20537</v>
      </c>
      <c r="Z62" s="3">
        <v>-246444</v>
      </c>
    </row>
    <row r="63" spans="1:26" hidden="1" x14ac:dyDescent="0.3">
      <c r="A63" s="2" t="s">
        <v>467</v>
      </c>
      <c r="B63" s="2" t="s">
        <v>75</v>
      </c>
      <c r="C63" s="2" t="s">
        <v>75</v>
      </c>
      <c r="D63" s="2" t="s">
        <v>98</v>
      </c>
      <c r="E63" s="2" t="s">
        <v>98</v>
      </c>
      <c r="F63" s="2" t="s">
        <v>53</v>
      </c>
      <c r="G63" s="2" t="s">
        <v>53</v>
      </c>
      <c r="H63" s="2" t="s">
        <v>99</v>
      </c>
      <c r="I63" s="2" t="s">
        <v>99</v>
      </c>
      <c r="J63" s="2" t="s">
        <v>102</v>
      </c>
      <c r="K63" s="2" t="s">
        <v>103</v>
      </c>
      <c r="L63" s="2" t="s">
        <v>56</v>
      </c>
      <c r="M63" s="2" t="s">
        <v>57</v>
      </c>
      <c r="N63" s="3">
        <v>145537</v>
      </c>
      <c r="O63" s="3">
        <v>145537</v>
      </c>
      <c r="P63" s="3">
        <v>145537</v>
      </c>
      <c r="Q63" s="3">
        <v>145537</v>
      </c>
      <c r="R63" s="3">
        <v>145537</v>
      </c>
      <c r="S63" s="3">
        <v>145537</v>
      </c>
      <c r="T63" s="3">
        <v>145537</v>
      </c>
      <c r="U63" s="3">
        <v>145537</v>
      </c>
      <c r="V63" s="3">
        <v>145537</v>
      </c>
      <c r="W63" s="3">
        <v>145537</v>
      </c>
      <c r="X63" s="3">
        <v>145537</v>
      </c>
      <c r="Y63" s="3">
        <v>145537</v>
      </c>
      <c r="Z63" s="3">
        <v>1746444</v>
      </c>
    </row>
    <row r="64" spans="1:26" hidden="1" x14ac:dyDescent="0.3">
      <c r="A64" s="2" t="s">
        <v>467</v>
      </c>
      <c r="B64" s="2" t="s">
        <v>75</v>
      </c>
      <c r="C64" s="2" t="s">
        <v>75</v>
      </c>
      <c r="D64" s="2" t="s">
        <v>82</v>
      </c>
      <c r="E64" s="2" t="s">
        <v>82</v>
      </c>
      <c r="F64" s="2" t="s">
        <v>53</v>
      </c>
      <c r="G64" s="2" t="s">
        <v>53</v>
      </c>
      <c r="H64" s="2" t="s">
        <v>54</v>
      </c>
      <c r="I64" s="2" t="s">
        <v>54</v>
      </c>
      <c r="J64" s="2" t="s">
        <v>83</v>
      </c>
      <c r="K64" s="2" t="s">
        <v>802</v>
      </c>
      <c r="L64" s="2" t="s">
        <v>56</v>
      </c>
      <c r="M64" s="2" t="s">
        <v>57</v>
      </c>
      <c r="N64" s="3"/>
      <c r="O64" s="3"/>
      <c r="P64" s="3"/>
      <c r="Q64" s="3"/>
      <c r="R64" s="3"/>
      <c r="S64" s="3"/>
      <c r="T64" s="3"/>
      <c r="U64" s="3"/>
      <c r="V64" s="3"/>
      <c r="W64" s="3"/>
      <c r="X64" s="3"/>
      <c r="Y64" s="3"/>
      <c r="Z64" s="3"/>
    </row>
    <row r="65" spans="1:26" hidden="1" x14ac:dyDescent="0.3">
      <c r="A65" s="2" t="s">
        <v>467</v>
      </c>
      <c r="B65" s="2" t="s">
        <v>75</v>
      </c>
      <c r="C65" s="2" t="s">
        <v>75</v>
      </c>
      <c r="D65" s="2" t="s">
        <v>104</v>
      </c>
      <c r="E65" s="2" t="s">
        <v>104</v>
      </c>
      <c r="F65" s="2" t="s">
        <v>53</v>
      </c>
      <c r="G65" s="2" t="s">
        <v>53</v>
      </c>
      <c r="H65" s="2" t="s">
        <v>767</v>
      </c>
      <c r="I65" s="2" t="s">
        <v>767</v>
      </c>
      <c r="J65" s="2" t="s">
        <v>156</v>
      </c>
      <c r="K65" s="2" t="s">
        <v>157</v>
      </c>
      <c r="L65" s="2" t="s">
        <v>56</v>
      </c>
      <c r="M65" s="2" t="s">
        <v>57</v>
      </c>
      <c r="N65" s="3"/>
      <c r="O65" s="3"/>
      <c r="P65" s="3"/>
      <c r="Q65" s="3"/>
      <c r="R65" s="3"/>
      <c r="S65" s="3"/>
      <c r="T65" s="3">
        <v>-48237.5</v>
      </c>
      <c r="U65" s="3">
        <v>-48237.5</v>
      </c>
      <c r="V65" s="3">
        <v>-48237.5</v>
      </c>
      <c r="W65" s="3">
        <v>-48237.5</v>
      </c>
      <c r="X65" s="3">
        <v>-48237.5</v>
      </c>
      <c r="Y65" s="3">
        <v>-48237.5</v>
      </c>
      <c r="Z65" s="3">
        <v>-289425</v>
      </c>
    </row>
    <row r="66" spans="1:26" hidden="1" x14ac:dyDescent="0.3">
      <c r="A66" s="2" t="s">
        <v>467</v>
      </c>
      <c r="B66" s="2" t="s">
        <v>75</v>
      </c>
      <c r="C66" s="2" t="s">
        <v>75</v>
      </c>
      <c r="D66" s="2" t="s">
        <v>168</v>
      </c>
      <c r="E66" s="2" t="s">
        <v>168</v>
      </c>
      <c r="F66" s="2" t="s">
        <v>53</v>
      </c>
      <c r="G66" s="2" t="s">
        <v>53</v>
      </c>
      <c r="H66" s="2" t="s">
        <v>767</v>
      </c>
      <c r="I66" s="2" t="s">
        <v>767</v>
      </c>
      <c r="J66" s="2" t="s">
        <v>756</v>
      </c>
      <c r="K66" s="2" t="s">
        <v>170</v>
      </c>
      <c r="L66" s="2" t="s">
        <v>56</v>
      </c>
      <c r="M66" s="2" t="s">
        <v>57</v>
      </c>
      <c r="N66" s="3">
        <v>-11313.11</v>
      </c>
      <c r="O66" s="3">
        <v>-11313.11</v>
      </c>
      <c r="P66" s="3">
        <v>-11313.11</v>
      </c>
      <c r="Q66" s="3">
        <v>-11313.11</v>
      </c>
      <c r="R66" s="3">
        <v>-11313.11</v>
      </c>
      <c r="S66" s="3">
        <v>-11313.11</v>
      </c>
      <c r="T66" s="3">
        <v>-11313.11</v>
      </c>
      <c r="U66" s="3">
        <v>-11313.11</v>
      </c>
      <c r="V66" s="3">
        <v>-11313.11</v>
      </c>
      <c r="W66" s="3">
        <v>-11313.11</v>
      </c>
      <c r="X66" s="3">
        <v>-11313.11</v>
      </c>
      <c r="Y66" s="3">
        <v>-11313.11</v>
      </c>
      <c r="Z66" s="3">
        <v>-135757.32</v>
      </c>
    </row>
    <row r="67" spans="1:26" hidden="1" x14ac:dyDescent="0.3">
      <c r="A67" s="2" t="s">
        <v>467</v>
      </c>
      <c r="B67" s="2" t="s">
        <v>75</v>
      </c>
      <c r="C67" s="2" t="s">
        <v>75</v>
      </c>
      <c r="D67" s="2" t="s">
        <v>104</v>
      </c>
      <c r="E67" s="2" t="s">
        <v>104</v>
      </c>
      <c r="F67" s="2" t="s">
        <v>53</v>
      </c>
      <c r="G67" s="2" t="s">
        <v>53</v>
      </c>
      <c r="H67" s="2" t="s">
        <v>54</v>
      </c>
      <c r="I67" s="2" t="s">
        <v>54</v>
      </c>
      <c r="J67" s="2" t="s">
        <v>105</v>
      </c>
      <c r="K67" s="2" t="s">
        <v>106</v>
      </c>
      <c r="L67" s="2" t="s">
        <v>56</v>
      </c>
      <c r="M67" s="2" t="s">
        <v>57</v>
      </c>
      <c r="N67" s="3">
        <v>4356.25</v>
      </c>
      <c r="O67" s="3">
        <v>4356.25</v>
      </c>
      <c r="P67" s="3">
        <v>4356.25</v>
      </c>
      <c r="Q67" s="3">
        <v>4356.25</v>
      </c>
      <c r="R67" s="3">
        <v>4356.25</v>
      </c>
      <c r="S67" s="3">
        <v>4356.25</v>
      </c>
      <c r="T67" s="3">
        <v>4356.25</v>
      </c>
      <c r="U67" s="3">
        <v>4356.25</v>
      </c>
      <c r="V67" s="3">
        <v>4356.25</v>
      </c>
      <c r="W67" s="3">
        <v>4356.25</v>
      </c>
      <c r="X67" s="3">
        <v>4356.25</v>
      </c>
      <c r="Y67" s="3">
        <v>4356.25</v>
      </c>
      <c r="Z67" s="3">
        <v>52275</v>
      </c>
    </row>
    <row r="68" spans="1:26" hidden="1" x14ac:dyDescent="0.3">
      <c r="A68" s="2" t="s">
        <v>467</v>
      </c>
      <c r="B68" s="2" t="s">
        <v>75</v>
      </c>
      <c r="C68" s="2" t="s">
        <v>75</v>
      </c>
      <c r="D68" s="2" t="s">
        <v>82</v>
      </c>
      <c r="E68" s="2" t="s">
        <v>82</v>
      </c>
      <c r="F68" s="2" t="s">
        <v>53</v>
      </c>
      <c r="G68" s="2" t="s">
        <v>53</v>
      </c>
      <c r="H68" s="2" t="s">
        <v>767</v>
      </c>
      <c r="I68" s="2" t="s">
        <v>767</v>
      </c>
      <c r="J68" s="2" t="s">
        <v>772</v>
      </c>
      <c r="K68" s="2" t="s">
        <v>176</v>
      </c>
      <c r="L68" s="2" t="s">
        <v>56</v>
      </c>
      <c r="M68" s="2" t="s">
        <v>57</v>
      </c>
      <c r="N68" s="3">
        <v>-283.75</v>
      </c>
      <c r="O68" s="3">
        <v>-283.75</v>
      </c>
      <c r="P68" s="3">
        <v>-283.75</v>
      </c>
      <c r="Q68" s="3">
        <v>-283.75</v>
      </c>
      <c r="R68" s="3">
        <v>-283.75</v>
      </c>
      <c r="S68" s="3">
        <v>-283.75</v>
      </c>
      <c r="T68" s="3">
        <v>-283.75</v>
      </c>
      <c r="U68" s="3">
        <v>-283.75</v>
      </c>
      <c r="V68" s="3">
        <v>-283.75</v>
      </c>
      <c r="W68" s="3">
        <v>-283.75</v>
      </c>
      <c r="X68" s="3">
        <v>-283.75</v>
      </c>
      <c r="Y68" s="3">
        <v>-283.75</v>
      </c>
      <c r="Z68" s="3">
        <v>-3405</v>
      </c>
    </row>
    <row r="69" spans="1:26" hidden="1" x14ac:dyDescent="0.3">
      <c r="A69" s="2" t="s">
        <v>467</v>
      </c>
      <c r="B69" s="2" t="s">
        <v>75</v>
      </c>
      <c r="C69" s="2" t="s">
        <v>75</v>
      </c>
      <c r="D69" s="2" t="s">
        <v>107</v>
      </c>
      <c r="E69" s="2" t="s">
        <v>107</v>
      </c>
      <c r="F69" s="2" t="s">
        <v>53</v>
      </c>
      <c r="G69" s="2" t="s">
        <v>53</v>
      </c>
      <c r="H69" s="2" t="s">
        <v>767</v>
      </c>
      <c r="I69" s="2" t="s">
        <v>767</v>
      </c>
      <c r="J69" s="2" t="s">
        <v>108</v>
      </c>
      <c r="K69" s="2" t="s">
        <v>109</v>
      </c>
      <c r="L69" s="2" t="s">
        <v>56</v>
      </c>
      <c r="M69" s="2" t="s">
        <v>57</v>
      </c>
      <c r="N69" s="3"/>
      <c r="O69" s="3"/>
      <c r="P69" s="3"/>
      <c r="Q69" s="3"/>
      <c r="R69" s="3"/>
      <c r="S69" s="3"/>
      <c r="T69" s="3">
        <v>-385</v>
      </c>
      <c r="U69" s="3">
        <v>-385</v>
      </c>
      <c r="V69" s="3">
        <v>-385</v>
      </c>
      <c r="W69" s="3">
        <v>-385</v>
      </c>
      <c r="X69" s="3">
        <v>-385</v>
      </c>
      <c r="Y69" s="3">
        <v>-385</v>
      </c>
      <c r="Z69" s="3">
        <v>-2310</v>
      </c>
    </row>
    <row r="70" spans="1:26" hidden="1" x14ac:dyDescent="0.3">
      <c r="A70" s="2" t="s">
        <v>467</v>
      </c>
      <c r="B70" s="2" t="s">
        <v>75</v>
      </c>
      <c r="C70" s="2" t="s">
        <v>75</v>
      </c>
      <c r="D70" s="2" t="s">
        <v>107</v>
      </c>
      <c r="E70" s="2" t="s">
        <v>107</v>
      </c>
      <c r="F70" s="2" t="s">
        <v>53</v>
      </c>
      <c r="G70" s="2" t="s">
        <v>53</v>
      </c>
      <c r="H70" s="2" t="s">
        <v>54</v>
      </c>
      <c r="I70" s="2" t="s">
        <v>54</v>
      </c>
      <c r="J70" s="2" t="s">
        <v>108</v>
      </c>
      <c r="K70" s="2" t="s">
        <v>109</v>
      </c>
      <c r="L70" s="2" t="s">
        <v>56</v>
      </c>
      <c r="M70" s="2" t="s">
        <v>57</v>
      </c>
      <c r="N70" s="3">
        <v>385</v>
      </c>
      <c r="O70" s="3">
        <v>385</v>
      </c>
      <c r="P70" s="3">
        <v>385</v>
      </c>
      <c r="Q70" s="3">
        <v>385</v>
      </c>
      <c r="R70" s="3">
        <v>385</v>
      </c>
      <c r="S70" s="3">
        <v>385</v>
      </c>
      <c r="T70" s="3">
        <v>385</v>
      </c>
      <c r="U70" s="3">
        <v>385</v>
      </c>
      <c r="V70" s="3">
        <v>385</v>
      </c>
      <c r="W70" s="3">
        <v>385</v>
      </c>
      <c r="X70" s="3">
        <v>385</v>
      </c>
      <c r="Y70" s="3">
        <v>385</v>
      </c>
      <c r="Z70" s="3">
        <v>4620</v>
      </c>
    </row>
    <row r="71" spans="1:26" hidden="1" x14ac:dyDescent="0.3">
      <c r="A71" s="2" t="s">
        <v>467</v>
      </c>
      <c r="B71" s="2" t="s">
        <v>75</v>
      </c>
      <c r="C71" s="2" t="s">
        <v>75</v>
      </c>
      <c r="D71" s="2" t="s">
        <v>82</v>
      </c>
      <c r="E71" s="2" t="s">
        <v>82</v>
      </c>
      <c r="F71" s="2" t="s">
        <v>53</v>
      </c>
      <c r="G71" s="2" t="s">
        <v>53</v>
      </c>
      <c r="H71" s="2" t="s">
        <v>767</v>
      </c>
      <c r="I71" s="2" t="s">
        <v>767</v>
      </c>
      <c r="J71" s="2" t="s">
        <v>773</v>
      </c>
      <c r="K71" s="2" t="s">
        <v>212</v>
      </c>
      <c r="L71" s="2" t="s">
        <v>56</v>
      </c>
      <c r="M71" s="2" t="s">
        <v>57</v>
      </c>
      <c r="N71" s="3">
        <v>-2150</v>
      </c>
      <c r="O71" s="3">
        <v>-2150</v>
      </c>
      <c r="P71" s="3">
        <v>-2150</v>
      </c>
      <c r="Q71" s="3">
        <v>-2150</v>
      </c>
      <c r="R71" s="3">
        <v>-2150</v>
      </c>
      <c r="S71" s="3">
        <v>-2150</v>
      </c>
      <c r="T71" s="3">
        <v>-2150</v>
      </c>
      <c r="U71" s="3">
        <v>-2150</v>
      </c>
      <c r="V71" s="3">
        <v>-2150</v>
      </c>
      <c r="W71" s="3">
        <v>-2150</v>
      </c>
      <c r="X71" s="3">
        <v>-2150</v>
      </c>
      <c r="Y71" s="3">
        <v>-2150</v>
      </c>
      <c r="Z71" s="3">
        <v>-25800</v>
      </c>
    </row>
    <row r="72" spans="1:26" hidden="1" x14ac:dyDescent="0.3">
      <c r="A72" s="2" t="s">
        <v>467</v>
      </c>
      <c r="B72" s="2" t="s">
        <v>75</v>
      </c>
      <c r="C72" s="2" t="s">
        <v>75</v>
      </c>
      <c r="D72" s="2" t="s">
        <v>76</v>
      </c>
      <c r="E72" s="2" t="s">
        <v>76</v>
      </c>
      <c r="F72" s="2" t="s">
        <v>53</v>
      </c>
      <c r="G72" s="2" t="s">
        <v>53</v>
      </c>
      <c r="H72" s="2" t="s">
        <v>767</v>
      </c>
      <c r="I72" s="2" t="s">
        <v>767</v>
      </c>
      <c r="J72" s="2" t="s">
        <v>774</v>
      </c>
      <c r="K72" s="2" t="s">
        <v>775</v>
      </c>
      <c r="L72" s="2" t="s">
        <v>56</v>
      </c>
      <c r="M72" s="2" t="s">
        <v>57</v>
      </c>
      <c r="N72" s="3">
        <v>-170.25</v>
      </c>
      <c r="O72" s="3">
        <v>-170.25</v>
      </c>
      <c r="P72" s="3">
        <v>-170.25</v>
      </c>
      <c r="Q72" s="3">
        <v>-170.25</v>
      </c>
      <c r="R72" s="3">
        <v>-170.25</v>
      </c>
      <c r="S72" s="3">
        <v>-170.25</v>
      </c>
      <c r="T72" s="3">
        <v>-170.25</v>
      </c>
      <c r="U72" s="3">
        <v>-170.25</v>
      </c>
      <c r="V72" s="3">
        <v>-170.25</v>
      </c>
      <c r="W72" s="3">
        <v>-170.25</v>
      </c>
      <c r="X72" s="3">
        <v>-170.25</v>
      </c>
      <c r="Y72" s="3">
        <v>-170.25</v>
      </c>
      <c r="Z72" s="3">
        <v>-2043</v>
      </c>
    </row>
    <row r="73" spans="1:26" hidden="1" x14ac:dyDescent="0.3">
      <c r="A73" s="2" t="s">
        <v>467</v>
      </c>
      <c r="B73" s="2" t="s">
        <v>75</v>
      </c>
      <c r="C73" s="2" t="s">
        <v>75</v>
      </c>
      <c r="D73" s="2" t="s">
        <v>76</v>
      </c>
      <c r="E73" s="2" t="s">
        <v>76</v>
      </c>
      <c r="F73" s="2" t="s">
        <v>53</v>
      </c>
      <c r="G73" s="2" t="s">
        <v>53</v>
      </c>
      <c r="H73" s="2" t="s">
        <v>767</v>
      </c>
      <c r="I73" s="2" t="s">
        <v>767</v>
      </c>
      <c r="J73" s="2" t="s">
        <v>193</v>
      </c>
      <c r="K73" s="2" t="s">
        <v>194</v>
      </c>
      <c r="L73" s="2" t="s">
        <v>56</v>
      </c>
      <c r="M73" s="2" t="s">
        <v>57</v>
      </c>
      <c r="N73" s="3">
        <v>-3405</v>
      </c>
      <c r="O73" s="3">
        <v>-3405</v>
      </c>
      <c r="P73" s="3">
        <v>-3405</v>
      </c>
      <c r="Q73" s="3">
        <v>-3405</v>
      </c>
      <c r="R73" s="3">
        <v>-3405</v>
      </c>
      <c r="S73" s="3">
        <v>-3405</v>
      </c>
      <c r="T73" s="3">
        <v>-3405</v>
      </c>
      <c r="U73" s="3">
        <v>-3405</v>
      </c>
      <c r="V73" s="3">
        <v>-3405</v>
      </c>
      <c r="W73" s="3">
        <v>-3405</v>
      </c>
      <c r="X73" s="3">
        <v>-3405</v>
      </c>
      <c r="Y73" s="3">
        <v>-3405</v>
      </c>
      <c r="Z73" s="3">
        <v>-40860</v>
      </c>
    </row>
    <row r="74" spans="1:26" hidden="1" x14ac:dyDescent="0.3">
      <c r="A74" s="2" t="s">
        <v>467</v>
      </c>
      <c r="B74" s="2" t="s">
        <v>75</v>
      </c>
      <c r="C74" s="2" t="s">
        <v>75</v>
      </c>
      <c r="D74" s="2" t="s">
        <v>107</v>
      </c>
      <c r="E74" s="2" t="s">
        <v>107</v>
      </c>
      <c r="F74" s="2" t="s">
        <v>53</v>
      </c>
      <c r="G74" s="2" t="s">
        <v>53</v>
      </c>
      <c r="H74" s="2" t="s">
        <v>767</v>
      </c>
      <c r="I74" s="2" t="s">
        <v>767</v>
      </c>
      <c r="J74" s="2" t="s">
        <v>204</v>
      </c>
      <c r="K74" s="2" t="s">
        <v>199</v>
      </c>
      <c r="L74" s="2" t="s">
        <v>56</v>
      </c>
      <c r="M74" s="2" t="s">
        <v>57</v>
      </c>
      <c r="N74" s="3"/>
      <c r="O74" s="3"/>
      <c r="P74" s="3"/>
      <c r="Q74" s="3">
        <v>-1055.55</v>
      </c>
      <c r="R74" s="3">
        <v>-1055.55</v>
      </c>
      <c r="S74" s="3">
        <v>-1055.55</v>
      </c>
      <c r="T74" s="3">
        <v>-1055.55</v>
      </c>
      <c r="U74" s="3">
        <v>-1055.55</v>
      </c>
      <c r="V74" s="3">
        <v>-1055.55</v>
      </c>
      <c r="W74" s="3">
        <v>-1055.55</v>
      </c>
      <c r="X74" s="3">
        <v>-1055.55</v>
      </c>
      <c r="Y74" s="3">
        <v>-1055.55</v>
      </c>
      <c r="Z74" s="3">
        <v>-9499.9499999999989</v>
      </c>
    </row>
    <row r="75" spans="1:26" hidden="1" x14ac:dyDescent="0.3">
      <c r="A75" s="2" t="s">
        <v>467</v>
      </c>
      <c r="B75" s="2" t="s">
        <v>75</v>
      </c>
      <c r="C75" s="2" t="s">
        <v>75</v>
      </c>
      <c r="D75" s="2" t="s">
        <v>114</v>
      </c>
      <c r="E75" s="2" t="s">
        <v>114</v>
      </c>
      <c r="F75" s="2" t="s">
        <v>53</v>
      </c>
      <c r="G75" s="2" t="s">
        <v>53</v>
      </c>
      <c r="H75" s="2" t="s">
        <v>767</v>
      </c>
      <c r="I75" s="2" t="s">
        <v>767</v>
      </c>
      <c r="J75" s="2" t="s">
        <v>205</v>
      </c>
      <c r="K75" s="2" t="s">
        <v>206</v>
      </c>
      <c r="L75" s="2" t="s">
        <v>56</v>
      </c>
      <c r="M75" s="2" t="s">
        <v>57</v>
      </c>
      <c r="N75" s="3">
        <v>-2270</v>
      </c>
      <c r="O75" s="3">
        <v>-2270</v>
      </c>
      <c r="P75" s="3">
        <v>-2270</v>
      </c>
      <c r="Q75" s="3">
        <v>-2270</v>
      </c>
      <c r="R75" s="3">
        <v>-2270</v>
      </c>
      <c r="S75" s="3">
        <v>-2270</v>
      </c>
      <c r="T75" s="3">
        <v>-2270</v>
      </c>
      <c r="U75" s="3">
        <v>-2270</v>
      </c>
      <c r="V75" s="3">
        <v>-2270</v>
      </c>
      <c r="W75" s="3">
        <v>-2270</v>
      </c>
      <c r="X75" s="3">
        <v>-2270</v>
      </c>
      <c r="Y75" s="3">
        <v>-2270</v>
      </c>
      <c r="Z75" s="3">
        <v>-27240</v>
      </c>
    </row>
    <row r="76" spans="1:26" hidden="1" x14ac:dyDescent="0.3">
      <c r="A76" s="2" t="s">
        <v>467</v>
      </c>
      <c r="B76" s="2" t="s">
        <v>75</v>
      </c>
      <c r="C76" s="2" t="s">
        <v>75</v>
      </c>
      <c r="D76" s="2" t="s">
        <v>217</v>
      </c>
      <c r="E76" s="2" t="s">
        <v>217</v>
      </c>
      <c r="F76" s="2" t="s">
        <v>53</v>
      </c>
      <c r="G76" s="2" t="s">
        <v>53</v>
      </c>
      <c r="H76" s="2" t="s">
        <v>767</v>
      </c>
      <c r="I76" s="2" t="s">
        <v>767</v>
      </c>
      <c r="J76" s="2" t="s">
        <v>776</v>
      </c>
      <c r="K76" s="2" t="s">
        <v>219</v>
      </c>
      <c r="L76" s="2" t="s">
        <v>56</v>
      </c>
      <c r="M76" s="2" t="s">
        <v>57</v>
      </c>
      <c r="N76" s="3">
        <v>-5160</v>
      </c>
      <c r="O76" s="3">
        <v>-5160</v>
      </c>
      <c r="P76" s="3">
        <v>-5160</v>
      </c>
      <c r="Q76" s="3">
        <v>-5160</v>
      </c>
      <c r="R76" s="3">
        <v>-5160</v>
      </c>
      <c r="S76" s="3">
        <v>-5160</v>
      </c>
      <c r="T76" s="3">
        <v>-5160</v>
      </c>
      <c r="U76" s="3">
        <v>-5160</v>
      </c>
      <c r="V76" s="3">
        <v>-5160</v>
      </c>
      <c r="W76" s="3">
        <v>-5160</v>
      </c>
      <c r="X76" s="3">
        <v>-5160</v>
      </c>
      <c r="Y76" s="3">
        <v>-5160</v>
      </c>
      <c r="Z76" s="3">
        <v>-61920</v>
      </c>
    </row>
    <row r="77" spans="1:26" hidden="1" x14ac:dyDescent="0.3">
      <c r="A77" s="2" t="s">
        <v>467</v>
      </c>
      <c r="B77" s="2" t="s">
        <v>75</v>
      </c>
      <c r="C77" s="2" t="s">
        <v>75</v>
      </c>
      <c r="D77" s="2" t="s">
        <v>217</v>
      </c>
      <c r="E77" s="2" t="s">
        <v>217</v>
      </c>
      <c r="F77" s="2" t="s">
        <v>53</v>
      </c>
      <c r="G77" s="2" t="s">
        <v>53</v>
      </c>
      <c r="H77" s="2" t="s">
        <v>767</v>
      </c>
      <c r="I77" s="2" t="s">
        <v>767</v>
      </c>
      <c r="J77" s="2" t="s">
        <v>777</v>
      </c>
      <c r="K77" s="2" t="s">
        <v>221</v>
      </c>
      <c r="L77" s="2" t="s">
        <v>56</v>
      </c>
      <c r="M77" s="2" t="s">
        <v>57</v>
      </c>
      <c r="N77" s="3">
        <v>-5504</v>
      </c>
      <c r="O77" s="3">
        <v>-5504</v>
      </c>
      <c r="P77" s="3">
        <v>-5504</v>
      </c>
      <c r="Q77" s="3">
        <v>-5504</v>
      </c>
      <c r="R77" s="3">
        <v>-5504</v>
      </c>
      <c r="S77" s="3">
        <v>-5504</v>
      </c>
      <c r="T77" s="3">
        <v>-5504</v>
      </c>
      <c r="U77" s="3">
        <v>-5504</v>
      </c>
      <c r="V77" s="3">
        <v>-5504</v>
      </c>
      <c r="W77" s="3">
        <v>-5504</v>
      </c>
      <c r="X77" s="3">
        <v>-5504</v>
      </c>
      <c r="Y77" s="3">
        <v>-5504</v>
      </c>
      <c r="Z77" s="3">
        <v>-66048</v>
      </c>
    </row>
    <row r="78" spans="1:26" hidden="1" x14ac:dyDescent="0.3">
      <c r="A78" s="2" t="s">
        <v>467</v>
      </c>
      <c r="B78" s="2" t="s">
        <v>110</v>
      </c>
      <c r="C78" s="2" t="s">
        <v>110</v>
      </c>
      <c r="D78" s="2" t="s">
        <v>111</v>
      </c>
      <c r="E78" s="2" t="s">
        <v>111</v>
      </c>
      <c r="F78" s="2" t="s">
        <v>53</v>
      </c>
      <c r="G78" s="2" t="s">
        <v>53</v>
      </c>
      <c r="H78" s="2" t="s">
        <v>54</v>
      </c>
      <c r="I78" s="2" t="s">
        <v>54</v>
      </c>
      <c r="J78" s="2" t="s">
        <v>112</v>
      </c>
      <c r="K78" s="2" t="s">
        <v>113</v>
      </c>
      <c r="L78" s="2" t="s">
        <v>56</v>
      </c>
      <c r="M78" s="2" t="s">
        <v>72</v>
      </c>
      <c r="N78" s="3">
        <v>500</v>
      </c>
      <c r="O78" s="3">
        <v>500</v>
      </c>
      <c r="P78" s="3">
        <v>500</v>
      </c>
      <c r="Q78" s="3">
        <v>500</v>
      </c>
      <c r="R78" s="3">
        <v>500</v>
      </c>
      <c r="S78" s="3">
        <v>500</v>
      </c>
      <c r="T78" s="3">
        <v>500</v>
      </c>
      <c r="U78" s="3">
        <v>500</v>
      </c>
      <c r="V78" s="3">
        <v>500</v>
      </c>
      <c r="W78" s="3">
        <v>500</v>
      </c>
      <c r="X78" s="3">
        <v>500</v>
      </c>
      <c r="Y78" s="3">
        <v>500</v>
      </c>
      <c r="Z78" s="3">
        <v>6000</v>
      </c>
    </row>
    <row r="79" spans="1:26" hidden="1" x14ac:dyDescent="0.3">
      <c r="A79" s="2" t="s">
        <v>467</v>
      </c>
      <c r="B79" s="2" t="s">
        <v>110</v>
      </c>
      <c r="C79" s="2" t="s">
        <v>110</v>
      </c>
      <c r="D79" s="2" t="s">
        <v>114</v>
      </c>
      <c r="E79" s="2" t="s">
        <v>114</v>
      </c>
      <c r="F79" s="2" t="s">
        <v>53</v>
      </c>
      <c r="G79" s="2" t="s">
        <v>53</v>
      </c>
      <c r="H79" s="2" t="s">
        <v>54</v>
      </c>
      <c r="I79" s="2" t="s">
        <v>54</v>
      </c>
      <c r="J79" s="2" t="s">
        <v>115</v>
      </c>
      <c r="K79" s="2" t="s">
        <v>116</v>
      </c>
      <c r="L79" s="2" t="s">
        <v>56</v>
      </c>
      <c r="M79" s="2" t="s">
        <v>72</v>
      </c>
      <c r="N79" s="3">
        <v>2175</v>
      </c>
      <c r="O79" s="3">
        <v>2175</v>
      </c>
      <c r="P79" s="3">
        <v>2175</v>
      </c>
      <c r="Q79" s="3">
        <v>2175</v>
      </c>
      <c r="R79" s="3">
        <v>2175</v>
      </c>
      <c r="S79" s="3">
        <v>2175</v>
      </c>
      <c r="T79" s="3">
        <v>2175</v>
      </c>
      <c r="U79" s="3">
        <v>2175</v>
      </c>
      <c r="V79" s="3">
        <v>2175</v>
      </c>
      <c r="W79" s="3">
        <v>2175</v>
      </c>
      <c r="X79" s="3">
        <v>2175</v>
      </c>
      <c r="Y79" s="3">
        <v>2175</v>
      </c>
      <c r="Z79" s="3">
        <v>26100</v>
      </c>
    </row>
    <row r="80" spans="1:26" hidden="1" x14ac:dyDescent="0.3">
      <c r="A80" s="2" t="s">
        <v>467</v>
      </c>
      <c r="B80" s="2" t="s">
        <v>110</v>
      </c>
      <c r="C80" s="2" t="s">
        <v>110</v>
      </c>
      <c r="D80" s="2" t="s">
        <v>82</v>
      </c>
      <c r="E80" s="2" t="s">
        <v>82</v>
      </c>
      <c r="F80" s="2" t="s">
        <v>53</v>
      </c>
      <c r="G80" s="2" t="s">
        <v>53</v>
      </c>
      <c r="H80" s="2" t="s">
        <v>54</v>
      </c>
      <c r="I80" s="2" t="s">
        <v>54</v>
      </c>
      <c r="J80" s="2" t="s">
        <v>117</v>
      </c>
      <c r="K80" s="2" t="s">
        <v>118</v>
      </c>
      <c r="L80" s="2" t="s">
        <v>56</v>
      </c>
      <c r="M80" s="2" t="s">
        <v>72</v>
      </c>
      <c r="N80" s="3">
        <v>8116</v>
      </c>
      <c r="O80" s="3">
        <v>8116</v>
      </c>
      <c r="P80" s="3">
        <v>8116</v>
      </c>
      <c r="Q80" s="3">
        <v>8116</v>
      </c>
      <c r="R80" s="3">
        <v>8117</v>
      </c>
      <c r="S80" s="3">
        <v>8117</v>
      </c>
      <c r="T80" s="3">
        <v>8117</v>
      </c>
      <c r="U80" s="3">
        <v>8117</v>
      </c>
      <c r="V80" s="3">
        <v>8117</v>
      </c>
      <c r="W80" s="3">
        <v>8117</v>
      </c>
      <c r="X80" s="3">
        <v>8117</v>
      </c>
      <c r="Y80" s="3">
        <v>8117</v>
      </c>
      <c r="Z80" s="3">
        <v>97400</v>
      </c>
    </row>
    <row r="81" spans="1:26" hidden="1" x14ac:dyDescent="0.3">
      <c r="A81" s="2" t="s">
        <v>467</v>
      </c>
      <c r="B81" s="2" t="s">
        <v>110</v>
      </c>
      <c r="C81" s="2" t="s">
        <v>110</v>
      </c>
      <c r="D81" s="2" t="s">
        <v>119</v>
      </c>
      <c r="E81" s="2" t="s">
        <v>119</v>
      </c>
      <c r="F81" s="2" t="s">
        <v>53</v>
      </c>
      <c r="G81" s="2" t="s">
        <v>53</v>
      </c>
      <c r="H81" s="2" t="s">
        <v>54</v>
      </c>
      <c r="I81" s="2" t="s">
        <v>54</v>
      </c>
      <c r="J81" s="2" t="s">
        <v>120</v>
      </c>
      <c r="K81" s="2" t="s">
        <v>121</v>
      </c>
      <c r="L81" s="2" t="s">
        <v>56</v>
      </c>
      <c r="M81" s="2" t="s">
        <v>72</v>
      </c>
      <c r="N81" s="3">
        <v>150</v>
      </c>
      <c r="O81" s="3">
        <v>150</v>
      </c>
      <c r="P81" s="3">
        <v>150</v>
      </c>
      <c r="Q81" s="3">
        <v>150</v>
      </c>
      <c r="R81" s="3">
        <v>150</v>
      </c>
      <c r="S81" s="3">
        <v>150</v>
      </c>
      <c r="T81" s="3">
        <v>150</v>
      </c>
      <c r="U81" s="3">
        <v>150</v>
      </c>
      <c r="V81" s="3">
        <v>150</v>
      </c>
      <c r="W81" s="3">
        <v>150</v>
      </c>
      <c r="X81" s="3">
        <v>150</v>
      </c>
      <c r="Y81" s="3">
        <v>150</v>
      </c>
      <c r="Z81" s="3">
        <v>1800</v>
      </c>
    </row>
    <row r="82" spans="1:26" hidden="1" x14ac:dyDescent="0.3">
      <c r="A82" s="2" t="s">
        <v>467</v>
      </c>
      <c r="B82" s="2" t="s">
        <v>110</v>
      </c>
      <c r="C82" s="2" t="s">
        <v>110</v>
      </c>
      <c r="D82" s="2" t="s">
        <v>122</v>
      </c>
      <c r="E82" s="2" t="s">
        <v>122</v>
      </c>
      <c r="F82" s="2" t="s">
        <v>53</v>
      </c>
      <c r="G82" s="2" t="s">
        <v>53</v>
      </c>
      <c r="H82" s="2" t="s">
        <v>54</v>
      </c>
      <c r="I82" s="2" t="s">
        <v>54</v>
      </c>
      <c r="J82" s="2" t="s">
        <v>123</v>
      </c>
      <c r="K82" s="2" t="s">
        <v>121</v>
      </c>
      <c r="L82" s="2" t="s">
        <v>56</v>
      </c>
      <c r="M82" s="2" t="s">
        <v>72</v>
      </c>
      <c r="N82" s="3">
        <v>9000</v>
      </c>
      <c r="O82" s="3">
        <v>9000</v>
      </c>
      <c r="P82" s="3">
        <v>9000</v>
      </c>
      <c r="Q82" s="3">
        <v>9000</v>
      </c>
      <c r="R82" s="3">
        <v>9000</v>
      </c>
      <c r="S82" s="3">
        <v>9000</v>
      </c>
      <c r="T82" s="3">
        <v>9000</v>
      </c>
      <c r="U82" s="3">
        <v>9000</v>
      </c>
      <c r="V82" s="3">
        <v>9000</v>
      </c>
      <c r="W82" s="3">
        <v>9000</v>
      </c>
      <c r="X82" s="3">
        <v>9000</v>
      </c>
      <c r="Y82" s="3">
        <v>9000</v>
      </c>
      <c r="Z82" s="3">
        <v>108000</v>
      </c>
    </row>
    <row r="83" spans="1:26" hidden="1" x14ac:dyDescent="0.3">
      <c r="A83" s="2" t="s">
        <v>467</v>
      </c>
      <c r="B83" s="2" t="s">
        <v>110</v>
      </c>
      <c r="C83" s="2" t="s">
        <v>110</v>
      </c>
      <c r="D83" s="2" t="s">
        <v>64</v>
      </c>
      <c r="E83" s="2" t="s">
        <v>64</v>
      </c>
      <c r="F83" s="2" t="s">
        <v>53</v>
      </c>
      <c r="G83" s="2" t="s">
        <v>53</v>
      </c>
      <c r="H83" s="2" t="s">
        <v>54</v>
      </c>
      <c r="I83" s="2" t="s">
        <v>54</v>
      </c>
      <c r="J83" s="2" t="s">
        <v>124</v>
      </c>
      <c r="K83" s="2" t="s">
        <v>121</v>
      </c>
      <c r="L83" s="2" t="s">
        <v>56</v>
      </c>
      <c r="M83" s="2" t="s">
        <v>72</v>
      </c>
      <c r="N83" s="3">
        <v>1000</v>
      </c>
      <c r="O83" s="3">
        <v>1000</v>
      </c>
      <c r="P83" s="3">
        <v>1000</v>
      </c>
      <c r="Q83" s="3">
        <v>1000</v>
      </c>
      <c r="R83" s="3">
        <v>1000</v>
      </c>
      <c r="S83" s="3">
        <v>1000</v>
      </c>
      <c r="T83" s="3">
        <v>1000</v>
      </c>
      <c r="U83" s="3">
        <v>1000</v>
      </c>
      <c r="V83" s="3">
        <v>1000</v>
      </c>
      <c r="W83" s="3">
        <v>1000</v>
      </c>
      <c r="X83" s="3">
        <v>1000</v>
      </c>
      <c r="Y83" s="3">
        <v>1000</v>
      </c>
      <c r="Z83" s="3">
        <v>12000</v>
      </c>
    </row>
    <row r="84" spans="1:26" hidden="1" x14ac:dyDescent="0.3">
      <c r="A84" s="2" t="s">
        <v>467</v>
      </c>
      <c r="B84" s="2" t="s">
        <v>110</v>
      </c>
      <c r="C84" s="2" t="s">
        <v>110</v>
      </c>
      <c r="D84" s="2" t="s">
        <v>62</v>
      </c>
      <c r="E84" s="2" t="s">
        <v>62</v>
      </c>
      <c r="F84" s="2" t="s">
        <v>53</v>
      </c>
      <c r="G84" s="2" t="s">
        <v>53</v>
      </c>
      <c r="H84" s="2" t="s">
        <v>54</v>
      </c>
      <c r="I84" s="2" t="s">
        <v>54</v>
      </c>
      <c r="J84" s="2" t="s">
        <v>63</v>
      </c>
      <c r="K84" s="2" t="s">
        <v>121</v>
      </c>
      <c r="L84" s="2" t="s">
        <v>56</v>
      </c>
      <c r="M84" s="2" t="s">
        <v>72</v>
      </c>
      <c r="N84" s="3">
        <v>1000</v>
      </c>
      <c r="O84" s="3">
        <v>1000</v>
      </c>
      <c r="P84" s="3">
        <v>1000</v>
      </c>
      <c r="Q84" s="3">
        <v>1000</v>
      </c>
      <c r="R84" s="3">
        <v>1000</v>
      </c>
      <c r="S84" s="3">
        <v>1000</v>
      </c>
      <c r="T84" s="3">
        <v>1000</v>
      </c>
      <c r="U84" s="3">
        <v>1000</v>
      </c>
      <c r="V84" s="3">
        <v>1000</v>
      </c>
      <c r="W84" s="3">
        <v>1000</v>
      </c>
      <c r="X84" s="3">
        <v>1000</v>
      </c>
      <c r="Y84" s="3">
        <v>1000</v>
      </c>
      <c r="Z84" s="3">
        <v>12000</v>
      </c>
    </row>
    <row r="85" spans="1:26" hidden="1" x14ac:dyDescent="0.3">
      <c r="A85" s="2" t="s">
        <v>467</v>
      </c>
      <c r="B85" s="2" t="s">
        <v>110</v>
      </c>
      <c r="C85" s="2" t="s">
        <v>110</v>
      </c>
      <c r="D85" s="2" t="s">
        <v>69</v>
      </c>
      <c r="E85" s="2" t="s">
        <v>69</v>
      </c>
      <c r="F85" s="2" t="s">
        <v>53</v>
      </c>
      <c r="G85" s="2" t="s">
        <v>53</v>
      </c>
      <c r="H85" s="2" t="s">
        <v>54</v>
      </c>
      <c r="I85" s="2" t="s">
        <v>54</v>
      </c>
      <c r="J85" s="2" t="s">
        <v>70</v>
      </c>
      <c r="K85" s="2" t="s">
        <v>71</v>
      </c>
      <c r="L85" s="2" t="s">
        <v>56</v>
      </c>
      <c r="M85" s="2" t="s">
        <v>72</v>
      </c>
      <c r="N85" s="3">
        <v>1534</v>
      </c>
      <c r="O85" s="3">
        <v>1546</v>
      </c>
      <c r="P85" s="3">
        <v>1598</v>
      </c>
      <c r="Q85" s="3">
        <v>1597</v>
      </c>
      <c r="R85" s="3">
        <v>1595</v>
      </c>
      <c r="S85" s="3">
        <v>1595</v>
      </c>
      <c r="T85" s="3">
        <v>1595</v>
      </c>
      <c r="U85" s="3">
        <v>1595</v>
      </c>
      <c r="V85" s="3">
        <v>1596</v>
      </c>
      <c r="W85" s="3">
        <v>1596</v>
      </c>
      <c r="X85" s="3">
        <v>1596</v>
      </c>
      <c r="Y85" s="3">
        <v>1595</v>
      </c>
      <c r="Z85" s="3">
        <v>19038</v>
      </c>
    </row>
    <row r="86" spans="1:26" hidden="1" x14ac:dyDescent="0.3">
      <c r="A86" s="2" t="s">
        <v>467</v>
      </c>
      <c r="B86" s="2" t="s">
        <v>110</v>
      </c>
      <c r="C86" s="2" t="s">
        <v>110</v>
      </c>
      <c r="D86" s="2" t="s">
        <v>69</v>
      </c>
      <c r="E86" s="2" t="s">
        <v>69</v>
      </c>
      <c r="F86" s="2" t="s">
        <v>53</v>
      </c>
      <c r="G86" s="2" t="s">
        <v>53</v>
      </c>
      <c r="H86" s="2" t="s">
        <v>54</v>
      </c>
      <c r="I86" s="2" t="s">
        <v>54</v>
      </c>
      <c r="J86" s="2" t="s">
        <v>125</v>
      </c>
      <c r="K86" s="2" t="s">
        <v>71</v>
      </c>
      <c r="L86" s="2" t="s">
        <v>56</v>
      </c>
      <c r="M86" s="2" t="s">
        <v>72</v>
      </c>
      <c r="N86" s="3">
        <v>1994</v>
      </c>
      <c r="O86" s="3">
        <v>1994</v>
      </c>
      <c r="P86" s="3">
        <v>1994</v>
      </c>
      <c r="Q86" s="3">
        <v>1994</v>
      </c>
      <c r="R86" s="3">
        <v>1994</v>
      </c>
      <c r="S86" s="3">
        <v>1994</v>
      </c>
      <c r="T86" s="3">
        <v>1994</v>
      </c>
      <c r="U86" s="3">
        <v>1994</v>
      </c>
      <c r="V86" s="3">
        <v>1994</v>
      </c>
      <c r="W86" s="3">
        <v>1994</v>
      </c>
      <c r="X86" s="3">
        <v>1994</v>
      </c>
      <c r="Y86" s="3">
        <v>1994</v>
      </c>
      <c r="Z86" s="3">
        <v>23928</v>
      </c>
    </row>
    <row r="87" spans="1:26" hidden="1" x14ac:dyDescent="0.3">
      <c r="A87" s="2" t="s">
        <v>467</v>
      </c>
      <c r="B87" s="2" t="s">
        <v>110</v>
      </c>
      <c r="C87" s="2" t="s">
        <v>110</v>
      </c>
      <c r="D87" s="2" t="s">
        <v>111</v>
      </c>
      <c r="E87" s="2" t="s">
        <v>111</v>
      </c>
      <c r="F87" s="2" t="s">
        <v>53</v>
      </c>
      <c r="G87" s="2" t="s">
        <v>53</v>
      </c>
      <c r="H87" s="2" t="s">
        <v>54</v>
      </c>
      <c r="I87" s="2" t="s">
        <v>54</v>
      </c>
      <c r="J87" s="2" t="s">
        <v>126</v>
      </c>
      <c r="K87" s="2" t="s">
        <v>127</v>
      </c>
      <c r="L87" s="2" t="s">
        <v>56</v>
      </c>
      <c r="M87" s="2" t="s">
        <v>72</v>
      </c>
      <c r="N87" s="3">
        <v>2083.33</v>
      </c>
      <c r="O87" s="3">
        <v>2083.33</v>
      </c>
      <c r="P87" s="3">
        <v>2083.33</v>
      </c>
      <c r="Q87" s="3">
        <v>2083.33</v>
      </c>
      <c r="R87" s="3">
        <v>2083.33</v>
      </c>
      <c r="S87" s="3">
        <v>2083.33</v>
      </c>
      <c r="T87" s="3">
        <v>2083.33</v>
      </c>
      <c r="U87" s="3">
        <v>2083.33</v>
      </c>
      <c r="V87" s="3">
        <v>2083.33</v>
      </c>
      <c r="W87" s="3">
        <v>2083.33</v>
      </c>
      <c r="X87" s="3">
        <v>2083.33</v>
      </c>
      <c r="Y87" s="3">
        <v>2083.33</v>
      </c>
      <c r="Z87" s="3">
        <v>24999.960000000006</v>
      </c>
    </row>
    <row r="88" spans="1:26" hidden="1" x14ac:dyDescent="0.3">
      <c r="A88" s="2" t="s">
        <v>467</v>
      </c>
      <c r="B88" s="2" t="s">
        <v>110</v>
      </c>
      <c r="C88" s="2" t="s">
        <v>110</v>
      </c>
      <c r="D88" s="2" t="s">
        <v>98</v>
      </c>
      <c r="E88" s="2" t="s">
        <v>98</v>
      </c>
      <c r="F88" s="2" t="s">
        <v>53</v>
      </c>
      <c r="G88" s="2" t="s">
        <v>53</v>
      </c>
      <c r="H88" s="2" t="s">
        <v>54</v>
      </c>
      <c r="I88" s="2" t="s">
        <v>54</v>
      </c>
      <c r="J88" s="2" t="s">
        <v>128</v>
      </c>
      <c r="K88" s="2" t="s">
        <v>129</v>
      </c>
      <c r="L88" s="2" t="s">
        <v>56</v>
      </c>
      <c r="M88" s="2" t="s">
        <v>72</v>
      </c>
      <c r="N88" s="3">
        <v>2768</v>
      </c>
      <c r="O88" s="3">
        <v>2768</v>
      </c>
      <c r="P88" s="3">
        <v>2768</v>
      </c>
      <c r="Q88" s="3">
        <v>2768</v>
      </c>
      <c r="R88" s="3">
        <v>2768</v>
      </c>
      <c r="S88" s="3">
        <v>2768</v>
      </c>
      <c r="T88" s="3">
        <v>2768</v>
      </c>
      <c r="U88" s="3">
        <v>2768</v>
      </c>
      <c r="V88" s="3">
        <v>2768</v>
      </c>
      <c r="W88" s="3">
        <v>2768</v>
      </c>
      <c r="X88" s="3">
        <v>2768</v>
      </c>
      <c r="Y88" s="3">
        <v>2768</v>
      </c>
      <c r="Z88" s="3">
        <v>33216</v>
      </c>
    </row>
    <row r="89" spans="1:26" hidden="1" x14ac:dyDescent="0.3">
      <c r="A89" s="2" t="s">
        <v>467</v>
      </c>
      <c r="B89" s="2" t="s">
        <v>110</v>
      </c>
      <c r="C89" s="2" t="s">
        <v>110</v>
      </c>
      <c r="D89" s="2" t="s">
        <v>98</v>
      </c>
      <c r="E89" s="2" t="s">
        <v>98</v>
      </c>
      <c r="F89" s="2" t="s">
        <v>53</v>
      </c>
      <c r="G89" s="2" t="s">
        <v>53</v>
      </c>
      <c r="H89" s="2" t="s">
        <v>99</v>
      </c>
      <c r="I89" s="2" t="s">
        <v>99</v>
      </c>
      <c r="J89" s="2" t="s">
        <v>130</v>
      </c>
      <c r="K89" s="2" t="s">
        <v>131</v>
      </c>
      <c r="L89" s="2" t="s">
        <v>56</v>
      </c>
      <c r="M89" s="2" t="s">
        <v>72</v>
      </c>
      <c r="N89" s="3">
        <v>5416.67</v>
      </c>
      <c r="O89" s="3">
        <v>5416.67</v>
      </c>
      <c r="P89" s="3">
        <v>5416.67</v>
      </c>
      <c r="Q89" s="3">
        <v>5416.67</v>
      </c>
      <c r="R89" s="3">
        <v>5416.67</v>
      </c>
      <c r="S89" s="3">
        <v>5416.67</v>
      </c>
      <c r="T89" s="3">
        <v>5416.67</v>
      </c>
      <c r="U89" s="3">
        <v>5416.67</v>
      </c>
      <c r="V89" s="3">
        <v>5416.67</v>
      </c>
      <c r="W89" s="3">
        <v>5416.67</v>
      </c>
      <c r="X89" s="3">
        <v>5416.67</v>
      </c>
      <c r="Y89" s="3">
        <v>5416.67</v>
      </c>
      <c r="Z89" s="3">
        <v>65000.039999999986</v>
      </c>
    </row>
    <row r="90" spans="1:26" hidden="1" x14ac:dyDescent="0.3">
      <c r="A90" s="2" t="s">
        <v>467</v>
      </c>
      <c r="B90" s="2" t="s">
        <v>110</v>
      </c>
      <c r="C90" s="2" t="s">
        <v>110</v>
      </c>
      <c r="D90" s="2" t="s">
        <v>132</v>
      </c>
      <c r="E90" s="2" t="s">
        <v>132</v>
      </c>
      <c r="F90" s="2" t="s">
        <v>53</v>
      </c>
      <c r="G90" s="2" t="s">
        <v>53</v>
      </c>
      <c r="H90" s="2" t="s">
        <v>54</v>
      </c>
      <c r="I90" s="2" t="s">
        <v>54</v>
      </c>
      <c r="J90" s="2" t="s">
        <v>133</v>
      </c>
      <c r="K90" s="2" t="s">
        <v>134</v>
      </c>
      <c r="L90" s="2" t="s">
        <v>56</v>
      </c>
      <c r="M90" s="2" t="s">
        <v>72</v>
      </c>
      <c r="N90" s="3">
        <v>8333.33</v>
      </c>
      <c r="O90" s="3">
        <v>8333.33</v>
      </c>
      <c r="P90" s="3">
        <v>8333.33</v>
      </c>
      <c r="Q90" s="3">
        <v>8333.33</v>
      </c>
      <c r="R90" s="3">
        <v>8333.33</v>
      </c>
      <c r="S90" s="3">
        <v>8333.33</v>
      </c>
      <c r="T90" s="3">
        <v>8333.33</v>
      </c>
      <c r="U90" s="3">
        <v>8333.33</v>
      </c>
      <c r="V90" s="3">
        <v>8333.33</v>
      </c>
      <c r="W90" s="3">
        <v>8333.33</v>
      </c>
      <c r="X90" s="3">
        <v>8333.33</v>
      </c>
      <c r="Y90" s="3">
        <v>8333.33</v>
      </c>
      <c r="Z90" s="3">
        <v>99999.96</v>
      </c>
    </row>
    <row r="91" spans="1:26" hidden="1" x14ac:dyDescent="0.3">
      <c r="A91" s="2" t="s">
        <v>467</v>
      </c>
      <c r="B91" s="2" t="s">
        <v>110</v>
      </c>
      <c r="C91" s="2" t="s">
        <v>110</v>
      </c>
      <c r="D91" s="2" t="s">
        <v>135</v>
      </c>
      <c r="E91" s="2" t="s">
        <v>135</v>
      </c>
      <c r="F91" s="2" t="s">
        <v>53</v>
      </c>
      <c r="G91" s="2" t="s">
        <v>53</v>
      </c>
      <c r="H91" s="2" t="s">
        <v>54</v>
      </c>
      <c r="I91" s="2" t="s">
        <v>54</v>
      </c>
      <c r="J91" s="2" t="s">
        <v>136</v>
      </c>
      <c r="K91" s="2" t="s">
        <v>137</v>
      </c>
      <c r="L91" s="2" t="s">
        <v>56</v>
      </c>
      <c r="M91" s="2" t="s">
        <v>72</v>
      </c>
      <c r="N91" s="3">
        <v>3230</v>
      </c>
      <c r="O91" s="3">
        <v>3230</v>
      </c>
      <c r="P91" s="3">
        <v>3230</v>
      </c>
      <c r="Q91" s="3">
        <v>3230</v>
      </c>
      <c r="R91" s="3">
        <v>3230</v>
      </c>
      <c r="S91" s="3">
        <v>3230</v>
      </c>
      <c r="T91" s="3">
        <v>3230</v>
      </c>
      <c r="U91" s="3">
        <v>3230</v>
      </c>
      <c r="V91" s="3">
        <v>3230</v>
      </c>
      <c r="W91" s="3">
        <v>3230</v>
      </c>
      <c r="X91" s="3">
        <v>3230</v>
      </c>
      <c r="Y91" s="3">
        <v>3230</v>
      </c>
      <c r="Z91" s="3">
        <v>38760</v>
      </c>
    </row>
    <row r="92" spans="1:26" hidden="1" x14ac:dyDescent="0.3">
      <c r="A92" s="2" t="s">
        <v>467</v>
      </c>
      <c r="B92" s="2" t="s">
        <v>110</v>
      </c>
      <c r="C92" s="2" t="s">
        <v>110</v>
      </c>
      <c r="D92" s="2" t="s">
        <v>82</v>
      </c>
      <c r="E92" s="2" t="s">
        <v>82</v>
      </c>
      <c r="F92" s="2" t="s">
        <v>53</v>
      </c>
      <c r="G92" s="2" t="s">
        <v>53</v>
      </c>
      <c r="H92" s="2" t="s">
        <v>54</v>
      </c>
      <c r="I92" s="2" t="s">
        <v>54</v>
      </c>
      <c r="J92" s="2" t="s">
        <v>138</v>
      </c>
      <c r="K92" s="2" t="s">
        <v>137</v>
      </c>
      <c r="L92" s="2" t="s">
        <v>56</v>
      </c>
      <c r="M92" s="2" t="s">
        <v>72</v>
      </c>
      <c r="N92" s="3">
        <v>880</v>
      </c>
      <c r="O92" s="3">
        <v>880</v>
      </c>
      <c r="P92" s="3">
        <v>880</v>
      </c>
      <c r="Q92" s="3">
        <v>880</v>
      </c>
      <c r="R92" s="3">
        <v>880</v>
      </c>
      <c r="S92" s="3">
        <v>880</v>
      </c>
      <c r="T92" s="3">
        <v>880</v>
      </c>
      <c r="U92" s="3">
        <v>880</v>
      </c>
      <c r="V92" s="3">
        <v>880</v>
      </c>
      <c r="W92" s="3">
        <v>880</v>
      </c>
      <c r="X92" s="3">
        <v>880</v>
      </c>
      <c r="Y92" s="3">
        <v>880</v>
      </c>
      <c r="Z92" s="3">
        <v>10560</v>
      </c>
    </row>
    <row r="93" spans="1:26" hidden="1" x14ac:dyDescent="0.3">
      <c r="A93" s="2" t="s">
        <v>467</v>
      </c>
      <c r="B93" s="2" t="s">
        <v>110</v>
      </c>
      <c r="C93" s="2" t="s">
        <v>110</v>
      </c>
      <c r="D93" s="2" t="s">
        <v>139</v>
      </c>
      <c r="E93" s="2" t="s">
        <v>139</v>
      </c>
      <c r="F93" s="2" t="s">
        <v>53</v>
      </c>
      <c r="G93" s="2" t="s">
        <v>53</v>
      </c>
      <c r="H93" s="2" t="s">
        <v>54</v>
      </c>
      <c r="I93" s="2" t="s">
        <v>54</v>
      </c>
      <c r="J93" s="2" t="s">
        <v>140</v>
      </c>
      <c r="K93" s="2" t="s">
        <v>141</v>
      </c>
      <c r="L93" s="2" t="s">
        <v>56</v>
      </c>
      <c r="M93" s="2" t="s">
        <v>72</v>
      </c>
      <c r="N93" s="3">
        <v>2500</v>
      </c>
      <c r="O93" s="3">
        <v>2500</v>
      </c>
      <c r="P93" s="3">
        <v>2500</v>
      </c>
      <c r="Q93" s="3">
        <v>2500</v>
      </c>
      <c r="R93" s="3">
        <v>2500</v>
      </c>
      <c r="S93" s="3">
        <v>2500</v>
      </c>
      <c r="T93" s="3">
        <v>2500</v>
      </c>
      <c r="U93" s="3">
        <v>2500</v>
      </c>
      <c r="V93" s="3">
        <v>2500</v>
      </c>
      <c r="W93" s="3">
        <v>2500</v>
      </c>
      <c r="X93" s="3">
        <v>2500</v>
      </c>
      <c r="Y93" s="3">
        <v>2500</v>
      </c>
      <c r="Z93" s="3">
        <v>30000</v>
      </c>
    </row>
    <row r="94" spans="1:26" hidden="1" x14ac:dyDescent="0.3">
      <c r="A94" s="2" t="s">
        <v>467</v>
      </c>
      <c r="B94" s="2" t="s">
        <v>110</v>
      </c>
      <c r="C94" s="2" t="s">
        <v>110</v>
      </c>
      <c r="D94" s="2" t="s">
        <v>82</v>
      </c>
      <c r="E94" s="2" t="s">
        <v>82</v>
      </c>
      <c r="F94" s="2" t="s">
        <v>53</v>
      </c>
      <c r="G94" s="2" t="s">
        <v>53</v>
      </c>
      <c r="H94" s="2" t="s">
        <v>54</v>
      </c>
      <c r="I94" s="2" t="s">
        <v>54</v>
      </c>
      <c r="J94" s="2" t="s">
        <v>142</v>
      </c>
      <c r="K94" s="2" t="s">
        <v>143</v>
      </c>
      <c r="L94" s="2" t="s">
        <v>56</v>
      </c>
      <c r="M94" s="2" t="s">
        <v>72</v>
      </c>
      <c r="N94" s="3">
        <v>667</v>
      </c>
      <c r="O94" s="3">
        <v>667</v>
      </c>
      <c r="P94" s="3">
        <v>667</v>
      </c>
      <c r="Q94" s="3">
        <v>667</v>
      </c>
      <c r="R94" s="3">
        <v>667</v>
      </c>
      <c r="S94" s="3">
        <v>667</v>
      </c>
      <c r="T94" s="3">
        <v>667</v>
      </c>
      <c r="U94" s="3">
        <v>667</v>
      </c>
      <c r="V94" s="3">
        <v>667</v>
      </c>
      <c r="W94" s="3">
        <v>667</v>
      </c>
      <c r="X94" s="3">
        <v>667</v>
      </c>
      <c r="Y94" s="3">
        <v>667</v>
      </c>
      <c r="Z94" s="3">
        <v>8004</v>
      </c>
    </row>
    <row r="95" spans="1:26" hidden="1" x14ac:dyDescent="0.3">
      <c r="A95" s="2" t="s">
        <v>467</v>
      </c>
      <c r="B95" s="2" t="s">
        <v>110</v>
      </c>
      <c r="C95" s="2" t="s">
        <v>110</v>
      </c>
      <c r="D95" s="2" t="s">
        <v>85</v>
      </c>
      <c r="E95" s="2" t="s">
        <v>85</v>
      </c>
      <c r="F95" s="2" t="s">
        <v>53</v>
      </c>
      <c r="G95" s="2" t="s">
        <v>53</v>
      </c>
      <c r="H95" s="2" t="s">
        <v>54</v>
      </c>
      <c r="I95" s="2" t="s">
        <v>54</v>
      </c>
      <c r="J95" s="2" t="s">
        <v>144</v>
      </c>
      <c r="K95" s="2" t="s">
        <v>89</v>
      </c>
      <c r="L95" s="2" t="s">
        <v>56</v>
      </c>
      <c r="M95" s="2" t="s">
        <v>72</v>
      </c>
      <c r="N95" s="3">
        <v>7916.67</v>
      </c>
      <c r="O95" s="3">
        <v>7916.67</v>
      </c>
      <c r="P95" s="3">
        <v>7916.67</v>
      </c>
      <c r="Q95" s="3">
        <v>7916.67</v>
      </c>
      <c r="R95" s="3">
        <v>7916.67</v>
      </c>
      <c r="S95" s="3">
        <v>7916.67</v>
      </c>
      <c r="T95" s="3">
        <v>7916.67</v>
      </c>
      <c r="U95" s="3">
        <v>7916.67</v>
      </c>
      <c r="V95" s="3">
        <v>7916.67</v>
      </c>
      <c r="W95" s="3">
        <v>7916.67</v>
      </c>
      <c r="X95" s="3">
        <v>7916.67</v>
      </c>
      <c r="Y95" s="3">
        <v>7916.67</v>
      </c>
      <c r="Z95" s="3">
        <v>95000.04</v>
      </c>
    </row>
    <row r="96" spans="1:26" hidden="1" x14ac:dyDescent="0.3">
      <c r="A96" s="2" t="s">
        <v>467</v>
      </c>
      <c r="B96" s="2" t="s">
        <v>110</v>
      </c>
      <c r="C96" s="2" t="s">
        <v>110</v>
      </c>
      <c r="D96" s="2" t="s">
        <v>111</v>
      </c>
      <c r="E96" s="2" t="s">
        <v>111</v>
      </c>
      <c r="F96" s="2" t="s">
        <v>53</v>
      </c>
      <c r="G96" s="2" t="s">
        <v>53</v>
      </c>
      <c r="H96" s="2" t="s">
        <v>54</v>
      </c>
      <c r="I96" s="2" t="s">
        <v>54</v>
      </c>
      <c r="J96" s="2" t="s">
        <v>145</v>
      </c>
      <c r="K96" s="2" t="s">
        <v>146</v>
      </c>
      <c r="L96" s="2" t="s">
        <v>56</v>
      </c>
      <c r="M96" s="2" t="s">
        <v>72</v>
      </c>
      <c r="N96" s="3">
        <v>208.33</v>
      </c>
      <c r="O96" s="3">
        <v>208.33</v>
      </c>
      <c r="P96" s="3">
        <v>208.33</v>
      </c>
      <c r="Q96" s="3">
        <v>208.33</v>
      </c>
      <c r="R96" s="3">
        <v>208.33</v>
      </c>
      <c r="S96" s="3">
        <v>208.33</v>
      </c>
      <c r="T96" s="3">
        <v>208.33</v>
      </c>
      <c r="U96" s="3">
        <v>208.33</v>
      </c>
      <c r="V96" s="3">
        <v>208.33</v>
      </c>
      <c r="W96" s="3">
        <v>208.33</v>
      </c>
      <c r="X96" s="3">
        <v>208.33</v>
      </c>
      <c r="Y96" s="3">
        <v>208.33</v>
      </c>
      <c r="Z96" s="3">
        <v>2499.9599999999996</v>
      </c>
    </row>
    <row r="97" spans="1:26" hidden="1" x14ac:dyDescent="0.3">
      <c r="A97" s="2" t="s">
        <v>467</v>
      </c>
      <c r="B97" s="2" t="s">
        <v>110</v>
      </c>
      <c r="C97" s="2" t="s">
        <v>110</v>
      </c>
      <c r="D97" s="2" t="s">
        <v>135</v>
      </c>
      <c r="E97" s="2" t="s">
        <v>135</v>
      </c>
      <c r="F97" s="2" t="s">
        <v>53</v>
      </c>
      <c r="G97" s="2" t="s">
        <v>53</v>
      </c>
      <c r="H97" s="2" t="s">
        <v>54</v>
      </c>
      <c r="I97" s="2" t="s">
        <v>54</v>
      </c>
      <c r="J97" s="2" t="s">
        <v>147</v>
      </c>
      <c r="K97" s="2" t="s">
        <v>148</v>
      </c>
      <c r="L97" s="2" t="s">
        <v>56</v>
      </c>
      <c r="M97" s="2" t="s">
        <v>72</v>
      </c>
      <c r="N97" s="3">
        <v>495.42</v>
      </c>
      <c r="O97" s="3">
        <v>495.42</v>
      </c>
      <c r="P97" s="3">
        <v>495.42</v>
      </c>
      <c r="Q97" s="3">
        <v>495.42</v>
      </c>
      <c r="R97" s="3">
        <v>495.42</v>
      </c>
      <c r="S97" s="3">
        <v>495.42</v>
      </c>
      <c r="T97" s="3">
        <v>495.42</v>
      </c>
      <c r="U97" s="3">
        <v>495.42</v>
      </c>
      <c r="V97" s="3">
        <v>495.42</v>
      </c>
      <c r="W97" s="3">
        <v>495.42</v>
      </c>
      <c r="X97" s="3">
        <v>495.42</v>
      </c>
      <c r="Y97" s="3">
        <v>495.42</v>
      </c>
      <c r="Z97" s="3">
        <v>5945.04</v>
      </c>
    </row>
    <row r="98" spans="1:26" hidden="1" x14ac:dyDescent="0.3">
      <c r="A98" s="2" t="s">
        <v>467</v>
      </c>
      <c r="B98" s="2" t="s">
        <v>110</v>
      </c>
      <c r="C98" s="2" t="s">
        <v>110</v>
      </c>
      <c r="D98" s="2" t="s">
        <v>114</v>
      </c>
      <c r="E98" s="2" t="s">
        <v>114</v>
      </c>
      <c r="F98" s="2" t="s">
        <v>53</v>
      </c>
      <c r="G98" s="2" t="s">
        <v>53</v>
      </c>
      <c r="H98" s="2" t="s">
        <v>54</v>
      </c>
      <c r="I98" s="2" t="s">
        <v>54</v>
      </c>
      <c r="J98" s="2" t="s">
        <v>149</v>
      </c>
      <c r="K98" s="2" t="s">
        <v>150</v>
      </c>
      <c r="L98" s="2" t="s">
        <v>56</v>
      </c>
      <c r="M98" s="2" t="s">
        <v>72</v>
      </c>
      <c r="N98" s="3">
        <v>670</v>
      </c>
      <c r="O98" s="3">
        <v>670</v>
      </c>
      <c r="P98" s="3">
        <v>670</v>
      </c>
      <c r="Q98" s="3">
        <v>670</v>
      </c>
      <c r="R98" s="3">
        <v>670</v>
      </c>
      <c r="S98" s="3">
        <v>670</v>
      </c>
      <c r="T98" s="3">
        <v>670</v>
      </c>
      <c r="U98" s="3">
        <v>670</v>
      </c>
      <c r="V98" s="3">
        <v>670</v>
      </c>
      <c r="W98" s="3">
        <v>670</v>
      </c>
      <c r="X98" s="3">
        <v>670</v>
      </c>
      <c r="Y98" s="3">
        <v>670</v>
      </c>
      <c r="Z98" s="3">
        <v>8040</v>
      </c>
    </row>
    <row r="99" spans="1:26" hidden="1" x14ac:dyDescent="0.3">
      <c r="A99" s="2" t="s">
        <v>467</v>
      </c>
      <c r="B99" s="2" t="s">
        <v>110</v>
      </c>
      <c r="C99" s="2" t="s">
        <v>110</v>
      </c>
      <c r="D99" s="2" t="s">
        <v>151</v>
      </c>
      <c r="E99" s="2" t="s">
        <v>151</v>
      </c>
      <c r="F99" s="2" t="s">
        <v>53</v>
      </c>
      <c r="G99" s="2" t="s">
        <v>53</v>
      </c>
      <c r="H99" s="2" t="s">
        <v>54</v>
      </c>
      <c r="I99" s="2" t="s">
        <v>54</v>
      </c>
      <c r="J99" s="2" t="s">
        <v>152</v>
      </c>
      <c r="K99" s="2" t="s">
        <v>153</v>
      </c>
      <c r="L99" s="2" t="s">
        <v>56</v>
      </c>
      <c r="M99" s="2" t="s">
        <v>72</v>
      </c>
      <c r="N99" s="3">
        <v>3750</v>
      </c>
      <c r="O99" s="3">
        <v>3750</v>
      </c>
      <c r="P99" s="3">
        <v>3750</v>
      </c>
      <c r="Q99" s="3">
        <v>3750</v>
      </c>
      <c r="R99" s="3">
        <v>3750</v>
      </c>
      <c r="S99" s="3">
        <v>3750</v>
      </c>
      <c r="T99" s="3">
        <v>3750</v>
      </c>
      <c r="U99" s="3">
        <v>3750</v>
      </c>
      <c r="V99" s="3">
        <v>3750</v>
      </c>
      <c r="W99" s="3">
        <v>3750</v>
      </c>
      <c r="X99" s="3">
        <v>3750</v>
      </c>
      <c r="Y99" s="3">
        <v>3750</v>
      </c>
      <c r="Z99" s="3">
        <v>45000</v>
      </c>
    </row>
    <row r="100" spans="1:26" hidden="1" x14ac:dyDescent="0.3">
      <c r="A100" s="2" t="s">
        <v>467</v>
      </c>
      <c r="B100" s="2" t="s">
        <v>110</v>
      </c>
      <c r="C100" s="2" t="s">
        <v>110</v>
      </c>
      <c r="D100" s="2" t="s">
        <v>114</v>
      </c>
      <c r="E100" s="2" t="s">
        <v>114</v>
      </c>
      <c r="F100" s="2" t="s">
        <v>53</v>
      </c>
      <c r="G100" s="2" t="s">
        <v>53</v>
      </c>
      <c r="H100" s="2" t="s">
        <v>54</v>
      </c>
      <c r="I100" s="2" t="s">
        <v>54</v>
      </c>
      <c r="J100" s="2" t="s">
        <v>154</v>
      </c>
      <c r="K100" s="2" t="s">
        <v>155</v>
      </c>
      <c r="L100" s="2" t="s">
        <v>56</v>
      </c>
      <c r="M100" s="2" t="s">
        <v>72</v>
      </c>
      <c r="N100" s="3">
        <v>6350</v>
      </c>
      <c r="O100" s="3">
        <v>6350</v>
      </c>
      <c r="P100" s="3">
        <v>6350</v>
      </c>
      <c r="Q100" s="3">
        <v>6350</v>
      </c>
      <c r="R100" s="3">
        <v>6350</v>
      </c>
      <c r="S100" s="3">
        <v>6350</v>
      </c>
      <c r="T100" s="3">
        <v>6350</v>
      </c>
      <c r="U100" s="3">
        <v>6350</v>
      </c>
      <c r="V100" s="3">
        <v>6350</v>
      </c>
      <c r="W100" s="3">
        <v>6350</v>
      </c>
      <c r="X100" s="3">
        <v>6350</v>
      </c>
      <c r="Y100" s="3">
        <v>6350</v>
      </c>
      <c r="Z100" s="3">
        <v>76200</v>
      </c>
    </row>
    <row r="101" spans="1:26" hidden="1" x14ac:dyDescent="0.3">
      <c r="A101" s="2" t="s">
        <v>467</v>
      </c>
      <c r="B101" s="2" t="s">
        <v>110</v>
      </c>
      <c r="C101" s="2" t="s">
        <v>110</v>
      </c>
      <c r="D101" s="2" t="s">
        <v>104</v>
      </c>
      <c r="E101" s="2" t="s">
        <v>104</v>
      </c>
      <c r="F101" s="2" t="s">
        <v>53</v>
      </c>
      <c r="G101" s="2" t="s">
        <v>53</v>
      </c>
      <c r="H101" s="2" t="s">
        <v>54</v>
      </c>
      <c r="I101" s="2" t="s">
        <v>54</v>
      </c>
      <c r="J101" s="2" t="s">
        <v>156</v>
      </c>
      <c r="K101" s="2" t="s">
        <v>157</v>
      </c>
      <c r="L101" s="2" t="s">
        <v>56</v>
      </c>
      <c r="M101" s="2" t="s">
        <v>72</v>
      </c>
      <c r="N101" s="3">
        <v>48085</v>
      </c>
      <c r="O101" s="3">
        <v>48085</v>
      </c>
      <c r="P101" s="3">
        <v>48085</v>
      </c>
      <c r="Q101" s="3">
        <v>48085</v>
      </c>
      <c r="R101" s="3">
        <v>48085</v>
      </c>
      <c r="S101" s="3">
        <v>48085</v>
      </c>
      <c r="T101" s="3">
        <v>48085</v>
      </c>
      <c r="U101" s="3">
        <v>48085</v>
      </c>
      <c r="V101" s="3">
        <v>48085</v>
      </c>
      <c r="W101" s="3">
        <v>48085</v>
      </c>
      <c r="X101" s="3">
        <v>48085</v>
      </c>
      <c r="Y101" s="3">
        <v>48085</v>
      </c>
      <c r="Z101" s="3">
        <v>577020</v>
      </c>
    </row>
    <row r="102" spans="1:26" hidden="1" x14ac:dyDescent="0.3">
      <c r="A102" s="2" t="s">
        <v>467</v>
      </c>
      <c r="B102" s="2" t="s">
        <v>110</v>
      </c>
      <c r="C102" s="2" t="s">
        <v>110</v>
      </c>
      <c r="D102" s="2" t="s">
        <v>111</v>
      </c>
      <c r="E102" s="2" t="s">
        <v>111</v>
      </c>
      <c r="F102" s="2" t="s">
        <v>53</v>
      </c>
      <c r="G102" s="2" t="s">
        <v>53</v>
      </c>
      <c r="H102" s="2" t="s">
        <v>54</v>
      </c>
      <c r="I102" s="2" t="s">
        <v>54</v>
      </c>
      <c r="J102" s="2" t="s">
        <v>158</v>
      </c>
      <c r="K102" s="2" t="s">
        <v>159</v>
      </c>
      <c r="L102" s="2" t="s">
        <v>56</v>
      </c>
      <c r="M102" s="2" t="s">
        <v>72</v>
      </c>
      <c r="N102" s="3">
        <v>1000</v>
      </c>
      <c r="O102" s="3">
        <v>1000</v>
      </c>
      <c r="P102" s="3">
        <v>1000</v>
      </c>
      <c r="Q102" s="3">
        <v>1000</v>
      </c>
      <c r="R102" s="3">
        <v>1000</v>
      </c>
      <c r="S102" s="3">
        <v>1000</v>
      </c>
      <c r="T102" s="3">
        <v>1000</v>
      </c>
      <c r="U102" s="3">
        <v>1000</v>
      </c>
      <c r="V102" s="3">
        <v>1000</v>
      </c>
      <c r="W102" s="3">
        <v>1000</v>
      </c>
      <c r="X102" s="3">
        <v>1000</v>
      </c>
      <c r="Y102" s="3">
        <v>1000</v>
      </c>
      <c r="Z102" s="3">
        <v>12000</v>
      </c>
    </row>
    <row r="103" spans="1:26" hidden="1" x14ac:dyDescent="0.3">
      <c r="A103" s="2" t="s">
        <v>467</v>
      </c>
      <c r="B103" s="2" t="s">
        <v>110</v>
      </c>
      <c r="C103" s="2" t="s">
        <v>110</v>
      </c>
      <c r="D103" s="2" t="s">
        <v>151</v>
      </c>
      <c r="E103" s="2" t="s">
        <v>151</v>
      </c>
      <c r="F103" s="2" t="s">
        <v>53</v>
      </c>
      <c r="G103" s="2" t="s">
        <v>53</v>
      </c>
      <c r="H103" s="2" t="s">
        <v>54</v>
      </c>
      <c r="I103" s="2" t="s">
        <v>54</v>
      </c>
      <c r="J103" s="2" t="s">
        <v>160</v>
      </c>
      <c r="K103" s="2" t="s">
        <v>161</v>
      </c>
      <c r="L103" s="2" t="s">
        <v>56</v>
      </c>
      <c r="M103" s="2" t="s">
        <v>72</v>
      </c>
      <c r="N103" s="3">
        <v>7708.33</v>
      </c>
      <c r="O103" s="3">
        <v>7708.33</v>
      </c>
      <c r="P103" s="3">
        <v>7708.33</v>
      </c>
      <c r="Q103" s="3">
        <v>7708.33</v>
      </c>
      <c r="R103" s="3">
        <v>7708.33</v>
      </c>
      <c r="S103" s="3">
        <v>7708.33</v>
      </c>
      <c r="T103" s="3">
        <v>7708.33</v>
      </c>
      <c r="U103" s="3">
        <v>7708.33</v>
      </c>
      <c r="V103" s="3">
        <v>7708.33</v>
      </c>
      <c r="W103" s="3">
        <v>7708.33</v>
      </c>
      <c r="X103" s="3">
        <v>7708.33</v>
      </c>
      <c r="Y103" s="3">
        <v>7708.33</v>
      </c>
      <c r="Z103" s="3">
        <v>92499.96</v>
      </c>
    </row>
    <row r="104" spans="1:26" hidden="1" x14ac:dyDescent="0.3">
      <c r="A104" s="2" t="s">
        <v>467</v>
      </c>
      <c r="B104" s="2" t="s">
        <v>110</v>
      </c>
      <c r="C104" s="2" t="s">
        <v>110</v>
      </c>
      <c r="D104" s="2" t="s">
        <v>76</v>
      </c>
      <c r="E104" s="2" t="s">
        <v>76</v>
      </c>
      <c r="F104" s="2" t="s">
        <v>53</v>
      </c>
      <c r="G104" s="2" t="s">
        <v>53</v>
      </c>
      <c r="H104" s="2" t="s">
        <v>54</v>
      </c>
      <c r="I104" s="2" t="s">
        <v>54</v>
      </c>
      <c r="J104" s="2" t="s">
        <v>162</v>
      </c>
      <c r="K104" s="2" t="s">
        <v>163</v>
      </c>
      <c r="L104" s="2" t="s">
        <v>56</v>
      </c>
      <c r="M104" s="2" t="s">
        <v>72</v>
      </c>
      <c r="N104" s="3">
        <v>250</v>
      </c>
      <c r="O104" s="3">
        <v>250</v>
      </c>
      <c r="P104" s="3">
        <v>250</v>
      </c>
      <c r="Q104" s="3">
        <v>250</v>
      </c>
      <c r="R104" s="3">
        <v>250</v>
      </c>
      <c r="S104" s="3">
        <v>250</v>
      </c>
      <c r="T104" s="3">
        <v>250</v>
      </c>
      <c r="U104" s="3">
        <v>250</v>
      </c>
      <c r="V104" s="3">
        <v>250</v>
      </c>
      <c r="W104" s="3">
        <v>250</v>
      </c>
      <c r="X104" s="3">
        <v>250</v>
      </c>
      <c r="Y104" s="3">
        <v>250</v>
      </c>
      <c r="Z104" s="3">
        <v>3000</v>
      </c>
    </row>
    <row r="105" spans="1:26" hidden="1" x14ac:dyDescent="0.3">
      <c r="A105" s="2" t="s">
        <v>467</v>
      </c>
      <c r="B105" s="2" t="s">
        <v>110</v>
      </c>
      <c r="C105" s="2" t="s">
        <v>110</v>
      </c>
      <c r="D105" s="2" t="s">
        <v>82</v>
      </c>
      <c r="E105" s="2" t="s">
        <v>82</v>
      </c>
      <c r="F105" s="2" t="s">
        <v>53</v>
      </c>
      <c r="G105" s="2" t="s">
        <v>53</v>
      </c>
      <c r="H105" s="2" t="s">
        <v>54</v>
      </c>
      <c r="I105" s="2" t="s">
        <v>54</v>
      </c>
      <c r="J105" s="2" t="s">
        <v>164</v>
      </c>
      <c r="K105" s="2" t="s">
        <v>165</v>
      </c>
      <c r="L105" s="2" t="s">
        <v>56</v>
      </c>
      <c r="M105" s="2" t="s">
        <v>72</v>
      </c>
      <c r="N105" s="3">
        <v>2666.67</v>
      </c>
      <c r="O105" s="3">
        <v>2666.67</v>
      </c>
      <c r="P105" s="3">
        <v>2666.67</v>
      </c>
      <c r="Q105" s="3">
        <v>2666.67</v>
      </c>
      <c r="R105" s="3">
        <v>2666.67</v>
      </c>
      <c r="S105" s="3">
        <v>2666.67</v>
      </c>
      <c r="T105" s="3">
        <v>2666.67</v>
      </c>
      <c r="U105" s="3">
        <v>2666.67</v>
      </c>
      <c r="V105" s="3">
        <v>2666.67</v>
      </c>
      <c r="W105" s="3">
        <v>2666.67</v>
      </c>
      <c r="X105" s="3">
        <v>2666.67</v>
      </c>
      <c r="Y105" s="3">
        <v>2666.67</v>
      </c>
      <c r="Z105" s="3">
        <v>32000.039999999994</v>
      </c>
    </row>
    <row r="106" spans="1:26" hidden="1" x14ac:dyDescent="0.3">
      <c r="A106" s="2" t="s">
        <v>467</v>
      </c>
      <c r="B106" s="2" t="s">
        <v>110</v>
      </c>
      <c r="C106" s="2" t="s">
        <v>110</v>
      </c>
      <c r="D106" s="2" t="s">
        <v>82</v>
      </c>
      <c r="E106" s="2" t="s">
        <v>82</v>
      </c>
      <c r="F106" s="2" t="s">
        <v>53</v>
      </c>
      <c r="G106" s="2" t="s">
        <v>53</v>
      </c>
      <c r="H106" s="2" t="s">
        <v>54</v>
      </c>
      <c r="I106" s="2" t="s">
        <v>54</v>
      </c>
      <c r="J106" s="2"/>
      <c r="K106" s="2" t="s">
        <v>166</v>
      </c>
      <c r="L106" s="2" t="s">
        <v>56</v>
      </c>
      <c r="M106" s="2" t="s">
        <v>72</v>
      </c>
      <c r="N106" s="3">
        <v>10416.67</v>
      </c>
      <c r="O106" s="3">
        <v>10416.67</v>
      </c>
      <c r="P106" s="3">
        <v>10416.67</v>
      </c>
      <c r="Q106" s="3">
        <v>10416.67</v>
      </c>
      <c r="R106" s="3">
        <v>10416.67</v>
      </c>
      <c r="S106" s="3">
        <v>10416.67</v>
      </c>
      <c r="T106" s="3">
        <v>10416.67</v>
      </c>
      <c r="U106" s="3">
        <v>10416.67</v>
      </c>
      <c r="V106" s="3">
        <v>10416.67</v>
      </c>
      <c r="W106" s="3">
        <v>10416.67</v>
      </c>
      <c r="X106" s="3">
        <v>10416.67</v>
      </c>
      <c r="Y106" s="3">
        <v>10416.67</v>
      </c>
      <c r="Z106" s="3">
        <v>125000.04</v>
      </c>
    </row>
    <row r="107" spans="1:26" hidden="1" x14ac:dyDescent="0.3">
      <c r="A107" s="2" t="s">
        <v>467</v>
      </c>
      <c r="B107" s="2" t="s">
        <v>110</v>
      </c>
      <c r="C107" s="2" t="s">
        <v>110</v>
      </c>
      <c r="D107" s="2" t="s">
        <v>76</v>
      </c>
      <c r="E107" s="2" t="s">
        <v>76</v>
      </c>
      <c r="F107" s="2" t="s">
        <v>53</v>
      </c>
      <c r="G107" s="2" t="s">
        <v>53</v>
      </c>
      <c r="H107" s="2" t="s">
        <v>54</v>
      </c>
      <c r="I107" s="2" t="s">
        <v>54</v>
      </c>
      <c r="J107" s="2"/>
      <c r="K107" s="2" t="s">
        <v>167</v>
      </c>
      <c r="L107" s="2" t="s">
        <v>56</v>
      </c>
      <c r="M107" s="2" t="s">
        <v>72</v>
      </c>
      <c r="N107" s="3">
        <v>4166.67</v>
      </c>
      <c r="O107" s="3">
        <v>4166.67</v>
      </c>
      <c r="P107" s="3">
        <v>4166.67</v>
      </c>
      <c r="Q107" s="3">
        <v>4166.67</v>
      </c>
      <c r="R107" s="3">
        <v>4166.67</v>
      </c>
      <c r="S107" s="3">
        <v>4166.67</v>
      </c>
      <c r="T107" s="3">
        <v>4166.67</v>
      </c>
      <c r="U107" s="3">
        <v>4166.67</v>
      </c>
      <c r="V107" s="3">
        <v>4166.67</v>
      </c>
      <c r="W107" s="3">
        <v>4166.67</v>
      </c>
      <c r="X107" s="3">
        <v>4166.67</v>
      </c>
      <c r="Y107" s="3">
        <v>4166.67</v>
      </c>
      <c r="Z107" s="3">
        <v>50000.039999999986</v>
      </c>
    </row>
    <row r="108" spans="1:26" hidden="1" x14ac:dyDescent="0.3">
      <c r="A108" s="2" t="s">
        <v>467</v>
      </c>
      <c r="B108" s="2" t="s">
        <v>110</v>
      </c>
      <c r="C108" s="2" t="s">
        <v>110</v>
      </c>
      <c r="D108" s="2" t="s">
        <v>168</v>
      </c>
      <c r="E108" s="2" t="s">
        <v>168</v>
      </c>
      <c r="F108" s="2" t="s">
        <v>53</v>
      </c>
      <c r="G108" s="2" t="s">
        <v>53</v>
      </c>
      <c r="H108" s="2" t="s">
        <v>54</v>
      </c>
      <c r="I108" s="2" t="s">
        <v>54</v>
      </c>
      <c r="J108" s="2" t="s">
        <v>169</v>
      </c>
      <c r="K108" s="2" t="s">
        <v>170</v>
      </c>
      <c r="L108" s="2" t="s">
        <v>56</v>
      </c>
      <c r="M108" s="2" t="s">
        <v>72</v>
      </c>
      <c r="N108" s="3">
        <v>5416.67</v>
      </c>
      <c r="O108" s="3">
        <v>5416.67</v>
      </c>
      <c r="P108" s="3">
        <v>5416.67</v>
      </c>
      <c r="Q108" s="3">
        <v>5416.67</v>
      </c>
      <c r="R108" s="3">
        <v>5416.67</v>
      </c>
      <c r="S108" s="3">
        <v>5416.67</v>
      </c>
      <c r="T108" s="3">
        <v>5416.67</v>
      </c>
      <c r="U108" s="3">
        <v>5416.67</v>
      </c>
      <c r="V108" s="3">
        <v>5416.67</v>
      </c>
      <c r="W108" s="3">
        <v>5416.67</v>
      </c>
      <c r="X108" s="3">
        <v>5416.67</v>
      </c>
      <c r="Y108" s="3">
        <v>5416.67</v>
      </c>
      <c r="Z108" s="3">
        <v>65000.039999999986</v>
      </c>
    </row>
    <row r="109" spans="1:26" hidden="1" x14ac:dyDescent="0.3">
      <c r="A109" s="2" t="s">
        <v>467</v>
      </c>
      <c r="B109" s="2" t="s">
        <v>110</v>
      </c>
      <c r="C109" s="2" t="s">
        <v>110</v>
      </c>
      <c r="D109" s="2" t="s">
        <v>168</v>
      </c>
      <c r="E109" s="2" t="s">
        <v>168</v>
      </c>
      <c r="F109" s="2" t="s">
        <v>53</v>
      </c>
      <c r="G109" s="2" t="s">
        <v>53</v>
      </c>
      <c r="H109" s="2" t="s">
        <v>54</v>
      </c>
      <c r="I109" s="2" t="s">
        <v>54</v>
      </c>
      <c r="J109" s="2" t="s">
        <v>171</v>
      </c>
      <c r="K109" s="2" t="s">
        <v>170</v>
      </c>
      <c r="L109" s="2" t="s">
        <v>56</v>
      </c>
      <c r="M109" s="2" t="s">
        <v>72</v>
      </c>
      <c r="N109" s="3">
        <v>8333.33</v>
      </c>
      <c r="O109" s="3">
        <v>8333.33</v>
      </c>
      <c r="P109" s="3">
        <v>8333.33</v>
      </c>
      <c r="Q109" s="3">
        <v>8333.33</v>
      </c>
      <c r="R109" s="3">
        <v>8333.33</v>
      </c>
      <c r="S109" s="3">
        <v>8333.33</v>
      </c>
      <c r="T109" s="3">
        <v>8333.33</v>
      </c>
      <c r="U109" s="3">
        <v>8333.33</v>
      </c>
      <c r="V109" s="3">
        <v>8333.33</v>
      </c>
      <c r="W109" s="3">
        <v>8333.33</v>
      </c>
      <c r="X109" s="3">
        <v>8333.33</v>
      </c>
      <c r="Y109" s="3">
        <v>8333.33</v>
      </c>
      <c r="Z109" s="3">
        <v>99999.96</v>
      </c>
    </row>
    <row r="110" spans="1:26" hidden="1" x14ac:dyDescent="0.3">
      <c r="A110" s="2" t="s">
        <v>467</v>
      </c>
      <c r="B110" s="2" t="s">
        <v>110</v>
      </c>
      <c r="C110" s="2" t="s">
        <v>110</v>
      </c>
      <c r="D110" s="2" t="s">
        <v>168</v>
      </c>
      <c r="E110" s="2" t="s">
        <v>168</v>
      </c>
      <c r="F110" s="2" t="s">
        <v>53</v>
      </c>
      <c r="G110" s="2" t="s">
        <v>53</v>
      </c>
      <c r="H110" s="2" t="s">
        <v>54</v>
      </c>
      <c r="I110" s="2" t="s">
        <v>54</v>
      </c>
      <c r="J110" s="2" t="s">
        <v>172</v>
      </c>
      <c r="K110" s="2" t="s">
        <v>170</v>
      </c>
      <c r="L110" s="2" t="s">
        <v>56</v>
      </c>
      <c r="M110" s="2" t="s">
        <v>72</v>
      </c>
      <c r="N110" s="3">
        <v>149382</v>
      </c>
      <c r="O110" s="3">
        <v>149382</v>
      </c>
      <c r="P110" s="3">
        <v>149382</v>
      </c>
      <c r="Q110" s="3">
        <v>149382</v>
      </c>
      <c r="R110" s="3">
        <v>149382</v>
      </c>
      <c r="S110" s="3">
        <v>149382</v>
      </c>
      <c r="T110" s="3">
        <v>149382</v>
      </c>
      <c r="U110" s="3">
        <v>149382</v>
      </c>
      <c r="V110" s="3">
        <v>149382</v>
      </c>
      <c r="W110" s="3">
        <v>149382</v>
      </c>
      <c r="X110" s="3">
        <v>149382</v>
      </c>
      <c r="Y110" s="3">
        <v>149382</v>
      </c>
      <c r="Z110" s="3">
        <v>1792584</v>
      </c>
    </row>
    <row r="111" spans="1:26" hidden="1" x14ac:dyDescent="0.3">
      <c r="A111" s="2" t="s">
        <v>467</v>
      </c>
      <c r="B111" s="2" t="s">
        <v>110</v>
      </c>
      <c r="C111" s="2" t="s">
        <v>110</v>
      </c>
      <c r="D111" s="2" t="s">
        <v>168</v>
      </c>
      <c r="E111" s="2" t="s">
        <v>168</v>
      </c>
      <c r="F111" s="2" t="s">
        <v>53</v>
      </c>
      <c r="G111" s="2" t="s">
        <v>53</v>
      </c>
      <c r="H111" s="2" t="s">
        <v>54</v>
      </c>
      <c r="I111" s="2" t="s">
        <v>54</v>
      </c>
      <c r="J111" s="2" t="s">
        <v>173</v>
      </c>
      <c r="K111" s="2" t="s">
        <v>170</v>
      </c>
      <c r="L111" s="2" t="s">
        <v>56</v>
      </c>
      <c r="M111" s="2" t="s">
        <v>72</v>
      </c>
      <c r="N111" s="3">
        <v>11250</v>
      </c>
      <c r="O111" s="3">
        <v>11250</v>
      </c>
      <c r="P111" s="3">
        <v>11250</v>
      </c>
      <c r="Q111" s="3">
        <v>11250</v>
      </c>
      <c r="R111" s="3">
        <v>11250</v>
      </c>
      <c r="S111" s="3">
        <v>11250</v>
      </c>
      <c r="T111" s="3">
        <v>11250</v>
      </c>
      <c r="U111" s="3">
        <v>11250</v>
      </c>
      <c r="V111" s="3">
        <v>11250</v>
      </c>
      <c r="W111" s="3">
        <v>11250</v>
      </c>
      <c r="X111" s="3">
        <v>11250</v>
      </c>
      <c r="Y111" s="3">
        <v>11250</v>
      </c>
      <c r="Z111" s="3">
        <v>135000</v>
      </c>
    </row>
    <row r="112" spans="1:26" hidden="1" x14ac:dyDescent="0.3">
      <c r="A112" s="2" t="s">
        <v>467</v>
      </c>
      <c r="B112" s="2" t="s">
        <v>110</v>
      </c>
      <c r="C112" s="2" t="s">
        <v>110</v>
      </c>
      <c r="D112" s="2" t="s">
        <v>168</v>
      </c>
      <c r="E112" s="2" t="s">
        <v>168</v>
      </c>
      <c r="F112" s="2" t="s">
        <v>53</v>
      </c>
      <c r="G112" s="2" t="s">
        <v>53</v>
      </c>
      <c r="H112" s="2" t="s">
        <v>54</v>
      </c>
      <c r="I112" s="2" t="s">
        <v>54</v>
      </c>
      <c r="J112" s="2" t="s">
        <v>174</v>
      </c>
      <c r="K112" s="2" t="s">
        <v>170</v>
      </c>
      <c r="L112" s="2" t="s">
        <v>56</v>
      </c>
      <c r="M112" s="2" t="s">
        <v>72</v>
      </c>
      <c r="N112" s="3">
        <v>7900</v>
      </c>
      <c r="O112" s="3">
        <v>7900</v>
      </c>
      <c r="P112" s="3">
        <v>7900</v>
      </c>
      <c r="Q112" s="3">
        <v>7900</v>
      </c>
      <c r="R112" s="3">
        <v>7900</v>
      </c>
      <c r="S112" s="3">
        <v>7900</v>
      </c>
      <c r="T112" s="3">
        <v>7900</v>
      </c>
      <c r="U112" s="3">
        <v>7900</v>
      </c>
      <c r="V112" s="3">
        <v>7900</v>
      </c>
      <c r="W112" s="3">
        <v>7900</v>
      </c>
      <c r="X112" s="3">
        <v>7900</v>
      </c>
      <c r="Y112" s="3">
        <v>7900</v>
      </c>
      <c r="Z112" s="3">
        <v>94800</v>
      </c>
    </row>
    <row r="113" spans="1:26" hidden="1" x14ac:dyDescent="0.3">
      <c r="A113" s="2" t="s">
        <v>467</v>
      </c>
      <c r="B113" s="2" t="s">
        <v>110</v>
      </c>
      <c r="C113" s="2" t="s">
        <v>110</v>
      </c>
      <c r="D113" s="2" t="s">
        <v>82</v>
      </c>
      <c r="E113" s="2" t="s">
        <v>82</v>
      </c>
      <c r="F113" s="2" t="s">
        <v>53</v>
      </c>
      <c r="G113" s="2" t="s">
        <v>53</v>
      </c>
      <c r="H113" s="2" t="s">
        <v>54</v>
      </c>
      <c r="I113" s="2" t="s">
        <v>54</v>
      </c>
      <c r="J113" s="2" t="s">
        <v>175</v>
      </c>
      <c r="K113" s="2" t="s">
        <v>176</v>
      </c>
      <c r="L113" s="2" t="s">
        <v>56</v>
      </c>
      <c r="M113" s="2" t="s">
        <v>72</v>
      </c>
      <c r="N113" s="3">
        <v>250</v>
      </c>
      <c r="O113" s="3">
        <v>250</v>
      </c>
      <c r="P113" s="3">
        <v>250</v>
      </c>
      <c r="Q113" s="3">
        <v>250</v>
      </c>
      <c r="R113" s="3">
        <v>250</v>
      </c>
      <c r="S113" s="3">
        <v>250</v>
      </c>
      <c r="T113" s="3">
        <v>250</v>
      </c>
      <c r="U113" s="3">
        <v>250</v>
      </c>
      <c r="V113" s="3">
        <v>250</v>
      </c>
      <c r="W113" s="3">
        <v>250</v>
      </c>
      <c r="X113" s="3">
        <v>250</v>
      </c>
      <c r="Y113" s="3">
        <v>250</v>
      </c>
      <c r="Z113" s="3">
        <v>3000</v>
      </c>
    </row>
    <row r="114" spans="1:26" hidden="1" x14ac:dyDescent="0.3">
      <c r="A114" s="2" t="s">
        <v>467</v>
      </c>
      <c r="B114" s="2" t="s">
        <v>110</v>
      </c>
      <c r="C114" s="2" t="s">
        <v>110</v>
      </c>
      <c r="D114" s="2" t="s">
        <v>135</v>
      </c>
      <c r="E114" s="2" t="s">
        <v>135</v>
      </c>
      <c r="F114" s="2" t="s">
        <v>53</v>
      </c>
      <c r="G114" s="2" t="s">
        <v>53</v>
      </c>
      <c r="H114" s="2" t="s">
        <v>54</v>
      </c>
      <c r="I114" s="2" t="s">
        <v>54</v>
      </c>
      <c r="J114" s="2" t="s">
        <v>177</v>
      </c>
      <c r="K114" s="2" t="s">
        <v>178</v>
      </c>
      <c r="L114" s="2" t="s">
        <v>56</v>
      </c>
      <c r="M114" s="2" t="s">
        <v>72</v>
      </c>
      <c r="N114" s="3">
        <v>583.33000000000004</v>
      </c>
      <c r="O114" s="3">
        <v>583.33000000000004</v>
      </c>
      <c r="P114" s="3">
        <v>583.33000000000004</v>
      </c>
      <c r="Q114" s="3">
        <v>583.33000000000004</v>
      </c>
      <c r="R114" s="3">
        <v>583.33000000000004</v>
      </c>
      <c r="S114" s="3">
        <v>583.33000000000004</v>
      </c>
      <c r="T114" s="3">
        <v>583.33000000000004</v>
      </c>
      <c r="U114" s="3">
        <v>583.33000000000004</v>
      </c>
      <c r="V114" s="3">
        <v>583.33000000000004</v>
      </c>
      <c r="W114" s="3">
        <v>583.33000000000004</v>
      </c>
      <c r="X114" s="3">
        <v>583.33000000000004</v>
      </c>
      <c r="Y114" s="3">
        <v>583.33000000000004</v>
      </c>
      <c r="Z114" s="3">
        <v>6999.96</v>
      </c>
    </row>
    <row r="115" spans="1:26" hidden="1" x14ac:dyDescent="0.3">
      <c r="A115" s="2" t="s">
        <v>467</v>
      </c>
      <c r="B115" s="2" t="s">
        <v>110</v>
      </c>
      <c r="C115" s="2" t="s">
        <v>110</v>
      </c>
      <c r="D115" s="2" t="s">
        <v>93</v>
      </c>
      <c r="E115" s="2" t="s">
        <v>93</v>
      </c>
      <c r="F115" s="2" t="s">
        <v>53</v>
      </c>
      <c r="G115" s="2" t="s">
        <v>53</v>
      </c>
      <c r="H115" s="2" t="s">
        <v>179</v>
      </c>
      <c r="I115" s="2" t="s">
        <v>179</v>
      </c>
      <c r="J115" s="2" t="s">
        <v>180</v>
      </c>
      <c r="K115" s="2" t="s">
        <v>181</v>
      </c>
      <c r="L115" s="2" t="s">
        <v>56</v>
      </c>
      <c r="M115" s="2" t="s">
        <v>72</v>
      </c>
      <c r="N115" s="3">
        <v>13736.67</v>
      </c>
      <c r="O115" s="3">
        <v>13736.67</v>
      </c>
      <c r="P115" s="3">
        <v>13736.67</v>
      </c>
      <c r="Q115" s="3">
        <v>13736.67</v>
      </c>
      <c r="R115" s="3">
        <v>13736.67</v>
      </c>
      <c r="S115" s="3">
        <v>13736.67</v>
      </c>
      <c r="T115" s="3">
        <v>13736.67</v>
      </c>
      <c r="U115" s="3">
        <v>13736.67</v>
      </c>
      <c r="V115" s="3">
        <v>13736.67</v>
      </c>
      <c r="W115" s="3">
        <v>13736.67</v>
      </c>
      <c r="X115" s="3">
        <v>13736.67</v>
      </c>
      <c r="Y115" s="3">
        <v>13736.67</v>
      </c>
      <c r="Z115" s="3">
        <v>164840.04000000004</v>
      </c>
    </row>
    <row r="116" spans="1:26" hidden="1" x14ac:dyDescent="0.3">
      <c r="A116" s="2" t="s">
        <v>467</v>
      </c>
      <c r="B116" s="2" t="s">
        <v>110</v>
      </c>
      <c r="C116" s="2" t="s">
        <v>110</v>
      </c>
      <c r="D116" s="2" t="s">
        <v>93</v>
      </c>
      <c r="E116" s="2" t="s">
        <v>93</v>
      </c>
      <c r="F116" s="2" t="s">
        <v>53</v>
      </c>
      <c r="G116" s="2" t="s">
        <v>53</v>
      </c>
      <c r="H116" s="2" t="s">
        <v>54</v>
      </c>
      <c r="I116" s="2" t="s">
        <v>54</v>
      </c>
      <c r="J116" s="2" t="s">
        <v>182</v>
      </c>
      <c r="K116" s="2" t="s">
        <v>183</v>
      </c>
      <c r="L116" s="2" t="s">
        <v>56</v>
      </c>
      <c r="M116" s="2" t="s">
        <v>72</v>
      </c>
      <c r="N116" s="3">
        <v>12000</v>
      </c>
      <c r="O116" s="3">
        <v>12000</v>
      </c>
      <c r="P116" s="3">
        <v>12000</v>
      </c>
      <c r="Q116" s="3">
        <v>12000</v>
      </c>
      <c r="R116" s="3">
        <v>12000</v>
      </c>
      <c r="S116" s="3">
        <v>12000</v>
      </c>
      <c r="T116" s="3">
        <v>12000</v>
      </c>
      <c r="U116" s="3">
        <v>12000</v>
      </c>
      <c r="V116" s="3">
        <v>12000</v>
      </c>
      <c r="W116" s="3">
        <v>12000</v>
      </c>
      <c r="X116" s="3">
        <v>12000</v>
      </c>
      <c r="Y116" s="3">
        <v>12000</v>
      </c>
      <c r="Z116" s="3">
        <v>144000</v>
      </c>
    </row>
    <row r="117" spans="1:26" hidden="1" x14ac:dyDescent="0.3">
      <c r="A117" s="2" t="s">
        <v>467</v>
      </c>
      <c r="B117" s="2" t="s">
        <v>110</v>
      </c>
      <c r="C117" s="2" t="s">
        <v>110</v>
      </c>
      <c r="D117" s="2" t="s">
        <v>168</v>
      </c>
      <c r="E117" s="2" t="s">
        <v>168</v>
      </c>
      <c r="F117" s="2" t="s">
        <v>53</v>
      </c>
      <c r="G117" s="2" t="s">
        <v>53</v>
      </c>
      <c r="H117" s="2" t="s">
        <v>54</v>
      </c>
      <c r="I117" s="2" t="s">
        <v>54</v>
      </c>
      <c r="J117" s="2" t="s">
        <v>184</v>
      </c>
      <c r="K117" s="2" t="s">
        <v>185</v>
      </c>
      <c r="L117" s="2" t="s">
        <v>56</v>
      </c>
      <c r="M117" s="2" t="s">
        <v>72</v>
      </c>
      <c r="N117" s="3">
        <v>2900</v>
      </c>
      <c r="O117" s="3">
        <v>2900</v>
      </c>
      <c r="P117" s="3">
        <v>2900</v>
      </c>
      <c r="Q117" s="3">
        <v>2900</v>
      </c>
      <c r="R117" s="3">
        <v>2900</v>
      </c>
      <c r="S117" s="3">
        <v>2900</v>
      </c>
      <c r="T117" s="3">
        <v>2900</v>
      </c>
      <c r="U117" s="3">
        <v>2900</v>
      </c>
      <c r="V117" s="3">
        <v>2900</v>
      </c>
      <c r="W117" s="3">
        <v>2900</v>
      </c>
      <c r="X117" s="3">
        <v>2900</v>
      </c>
      <c r="Y117" s="3">
        <v>2900</v>
      </c>
      <c r="Z117" s="3">
        <v>34800</v>
      </c>
    </row>
    <row r="118" spans="1:26" hidden="1" x14ac:dyDescent="0.3">
      <c r="A118" s="2" t="s">
        <v>467</v>
      </c>
      <c r="B118" s="2" t="s">
        <v>110</v>
      </c>
      <c r="C118" s="2" t="s">
        <v>110</v>
      </c>
      <c r="D118" s="2" t="s">
        <v>82</v>
      </c>
      <c r="E118" s="2" t="s">
        <v>82</v>
      </c>
      <c r="F118" s="2" t="s">
        <v>53</v>
      </c>
      <c r="G118" s="2" t="s">
        <v>53</v>
      </c>
      <c r="H118" s="2" t="s">
        <v>54</v>
      </c>
      <c r="I118" s="2" t="s">
        <v>54</v>
      </c>
      <c r="J118" s="2" t="s">
        <v>186</v>
      </c>
      <c r="K118" s="2" t="s">
        <v>187</v>
      </c>
      <c r="L118" s="2" t="s">
        <v>56</v>
      </c>
      <c r="M118" s="2" t="s">
        <v>72</v>
      </c>
      <c r="N118" s="3">
        <v>4384</v>
      </c>
      <c r="O118" s="3">
        <v>4384</v>
      </c>
      <c r="P118" s="3">
        <v>4384</v>
      </c>
      <c r="Q118" s="3">
        <v>4384</v>
      </c>
      <c r="R118" s="3">
        <v>4383</v>
      </c>
      <c r="S118" s="3">
        <v>4383</v>
      </c>
      <c r="T118" s="3">
        <v>4383</v>
      </c>
      <c r="U118" s="3">
        <v>4383</v>
      </c>
      <c r="V118" s="3">
        <v>4383</v>
      </c>
      <c r="W118" s="3">
        <v>4383</v>
      </c>
      <c r="X118" s="3">
        <v>4383</v>
      </c>
      <c r="Y118" s="3">
        <v>4383</v>
      </c>
      <c r="Z118" s="3">
        <v>52600</v>
      </c>
    </row>
    <row r="119" spans="1:26" hidden="1" x14ac:dyDescent="0.3">
      <c r="A119" s="2" t="s">
        <v>467</v>
      </c>
      <c r="B119" s="2" t="s">
        <v>110</v>
      </c>
      <c r="C119" s="2" t="s">
        <v>110</v>
      </c>
      <c r="D119" s="2" t="s">
        <v>82</v>
      </c>
      <c r="E119" s="2" t="s">
        <v>82</v>
      </c>
      <c r="F119" s="2" t="s">
        <v>53</v>
      </c>
      <c r="G119" s="2" t="s">
        <v>53</v>
      </c>
      <c r="H119" s="2" t="s">
        <v>54</v>
      </c>
      <c r="I119" s="2" t="s">
        <v>54</v>
      </c>
      <c r="J119" s="2" t="s">
        <v>188</v>
      </c>
      <c r="K119" s="2" t="s">
        <v>189</v>
      </c>
      <c r="L119" s="2" t="s">
        <v>56</v>
      </c>
      <c r="M119" s="2" t="s">
        <v>72</v>
      </c>
      <c r="N119" s="3">
        <v>3850</v>
      </c>
      <c r="O119" s="3">
        <v>3850</v>
      </c>
      <c r="P119" s="3">
        <v>3850</v>
      </c>
      <c r="Q119" s="3">
        <v>3850</v>
      </c>
      <c r="R119" s="3">
        <v>3850</v>
      </c>
      <c r="S119" s="3">
        <v>3850</v>
      </c>
      <c r="T119" s="3">
        <v>3850</v>
      </c>
      <c r="U119" s="3">
        <v>3850</v>
      </c>
      <c r="V119" s="3">
        <v>3850</v>
      </c>
      <c r="W119" s="3">
        <v>3850</v>
      </c>
      <c r="X119" s="3">
        <v>3850</v>
      </c>
      <c r="Y119" s="3">
        <v>3850</v>
      </c>
      <c r="Z119" s="3">
        <v>46200</v>
      </c>
    </row>
    <row r="120" spans="1:26" hidden="1" x14ac:dyDescent="0.3">
      <c r="A120" s="2" t="s">
        <v>467</v>
      </c>
      <c r="B120" s="2" t="s">
        <v>110</v>
      </c>
      <c r="C120" s="2" t="s">
        <v>110</v>
      </c>
      <c r="D120" s="2" t="s">
        <v>82</v>
      </c>
      <c r="E120" s="2" t="s">
        <v>82</v>
      </c>
      <c r="F120" s="2" t="s">
        <v>53</v>
      </c>
      <c r="G120" s="2" t="s">
        <v>53</v>
      </c>
      <c r="H120" s="2" t="s">
        <v>54</v>
      </c>
      <c r="I120" s="2" t="s">
        <v>54</v>
      </c>
      <c r="J120" s="2" t="s">
        <v>190</v>
      </c>
      <c r="K120" s="2" t="s">
        <v>191</v>
      </c>
      <c r="L120" s="2" t="s">
        <v>56</v>
      </c>
      <c r="M120" s="2" t="s">
        <v>72</v>
      </c>
      <c r="N120" s="3">
        <v>3083.33</v>
      </c>
      <c r="O120" s="3">
        <v>3083.33</v>
      </c>
      <c r="P120" s="3">
        <v>3083.33</v>
      </c>
      <c r="Q120" s="3">
        <v>3083.33</v>
      </c>
      <c r="R120" s="3">
        <v>3083.33</v>
      </c>
      <c r="S120" s="3">
        <v>3083.33</v>
      </c>
      <c r="T120" s="3">
        <v>3083.33</v>
      </c>
      <c r="U120" s="3">
        <v>3083.33</v>
      </c>
      <c r="V120" s="3">
        <v>3083.33</v>
      </c>
      <c r="W120" s="3">
        <v>3083.33</v>
      </c>
      <c r="X120" s="3">
        <v>3083.33</v>
      </c>
      <c r="Y120" s="3">
        <v>3083.33</v>
      </c>
      <c r="Z120" s="3">
        <v>36999.960000000006</v>
      </c>
    </row>
    <row r="121" spans="1:26" hidden="1" x14ac:dyDescent="0.3">
      <c r="A121" s="2" t="s">
        <v>467</v>
      </c>
      <c r="B121" s="2" t="s">
        <v>110</v>
      </c>
      <c r="C121" s="2" t="s">
        <v>110</v>
      </c>
      <c r="D121" s="2" t="s">
        <v>82</v>
      </c>
      <c r="E121" s="2" t="s">
        <v>82</v>
      </c>
      <c r="F121" s="2" t="s">
        <v>53</v>
      </c>
      <c r="G121" s="2" t="s">
        <v>53</v>
      </c>
      <c r="H121" s="2" t="s">
        <v>54</v>
      </c>
      <c r="I121" s="2" t="s">
        <v>54</v>
      </c>
      <c r="J121" s="2" t="s">
        <v>192</v>
      </c>
      <c r="K121" s="2" t="s">
        <v>191</v>
      </c>
      <c r="L121" s="2" t="s">
        <v>56</v>
      </c>
      <c r="M121" s="2" t="s">
        <v>72</v>
      </c>
      <c r="N121" s="3">
        <v>7900</v>
      </c>
      <c r="O121" s="3">
        <v>7900</v>
      </c>
      <c r="P121" s="3">
        <v>7900</v>
      </c>
      <c r="Q121" s="3">
        <v>7900</v>
      </c>
      <c r="R121" s="3">
        <v>7900</v>
      </c>
      <c r="S121" s="3">
        <v>7900</v>
      </c>
      <c r="T121" s="3">
        <v>7900</v>
      </c>
      <c r="U121" s="3">
        <v>7900</v>
      </c>
      <c r="V121" s="3">
        <v>7900</v>
      </c>
      <c r="W121" s="3">
        <v>7900</v>
      </c>
      <c r="X121" s="3">
        <v>7900</v>
      </c>
      <c r="Y121" s="3">
        <v>7900</v>
      </c>
      <c r="Z121" s="3">
        <v>94800</v>
      </c>
    </row>
    <row r="122" spans="1:26" hidden="1" x14ac:dyDescent="0.3">
      <c r="A122" s="2" t="s">
        <v>467</v>
      </c>
      <c r="B122" s="2" t="s">
        <v>110</v>
      </c>
      <c r="C122" s="2" t="s">
        <v>110</v>
      </c>
      <c r="D122" s="2" t="s">
        <v>114</v>
      </c>
      <c r="E122" s="2" t="s">
        <v>114</v>
      </c>
      <c r="F122" s="2" t="s">
        <v>53</v>
      </c>
      <c r="G122" s="2" t="s">
        <v>53</v>
      </c>
      <c r="H122" s="2" t="s">
        <v>54</v>
      </c>
      <c r="I122" s="2" t="s">
        <v>54</v>
      </c>
      <c r="J122" s="2" t="s">
        <v>193</v>
      </c>
      <c r="K122" s="2" t="s">
        <v>194</v>
      </c>
      <c r="L122" s="2" t="s">
        <v>56</v>
      </c>
      <c r="M122" s="2" t="s">
        <v>72</v>
      </c>
      <c r="N122" s="3">
        <v>6917</v>
      </c>
      <c r="O122" s="3">
        <v>6917</v>
      </c>
      <c r="P122" s="3">
        <v>6917</v>
      </c>
      <c r="Q122" s="3">
        <v>6917</v>
      </c>
      <c r="R122" s="3">
        <v>6917</v>
      </c>
      <c r="S122" s="3">
        <v>6917</v>
      </c>
      <c r="T122" s="3">
        <v>6917</v>
      </c>
      <c r="U122" s="3">
        <v>6917</v>
      </c>
      <c r="V122" s="3">
        <v>6917</v>
      </c>
      <c r="W122" s="3">
        <v>6917</v>
      </c>
      <c r="X122" s="3">
        <v>6917</v>
      </c>
      <c r="Y122" s="3">
        <v>6917</v>
      </c>
      <c r="Z122" s="3">
        <v>83004</v>
      </c>
    </row>
    <row r="123" spans="1:26" hidden="1" x14ac:dyDescent="0.3">
      <c r="A123" s="2" t="s">
        <v>467</v>
      </c>
      <c r="B123" s="2" t="s">
        <v>110</v>
      </c>
      <c r="C123" s="2" t="s">
        <v>110</v>
      </c>
      <c r="D123" s="2" t="s">
        <v>195</v>
      </c>
      <c r="E123" s="2" t="s">
        <v>195</v>
      </c>
      <c r="F123" s="2" t="s">
        <v>53</v>
      </c>
      <c r="G123" s="2" t="s">
        <v>53</v>
      </c>
      <c r="H123" s="2" t="s">
        <v>54</v>
      </c>
      <c r="I123" s="2" t="s">
        <v>54</v>
      </c>
      <c r="J123" s="2" t="s">
        <v>196</v>
      </c>
      <c r="K123" s="2" t="s">
        <v>197</v>
      </c>
      <c r="L123" s="2" t="s">
        <v>56</v>
      </c>
      <c r="M123" s="2" t="s">
        <v>72</v>
      </c>
      <c r="N123" s="3">
        <v>500</v>
      </c>
      <c r="O123" s="3">
        <v>500</v>
      </c>
      <c r="P123" s="3">
        <v>500</v>
      </c>
      <c r="Q123" s="3">
        <v>500</v>
      </c>
      <c r="R123" s="3">
        <v>500</v>
      </c>
      <c r="S123" s="3">
        <v>500</v>
      </c>
      <c r="T123" s="3">
        <v>500</v>
      </c>
      <c r="U123" s="3">
        <v>500</v>
      </c>
      <c r="V123" s="3">
        <v>500</v>
      </c>
      <c r="W123" s="3">
        <v>500</v>
      </c>
      <c r="X123" s="3">
        <v>500</v>
      </c>
      <c r="Y123" s="3">
        <v>500</v>
      </c>
      <c r="Z123" s="3">
        <v>6000</v>
      </c>
    </row>
    <row r="124" spans="1:26" hidden="1" x14ac:dyDescent="0.3">
      <c r="A124" s="2" t="s">
        <v>467</v>
      </c>
      <c r="B124" s="2" t="s">
        <v>110</v>
      </c>
      <c r="C124" s="2" t="s">
        <v>110</v>
      </c>
      <c r="D124" s="2" t="s">
        <v>107</v>
      </c>
      <c r="E124" s="2" t="s">
        <v>107</v>
      </c>
      <c r="F124" s="2" t="s">
        <v>53</v>
      </c>
      <c r="G124" s="2" t="s">
        <v>53</v>
      </c>
      <c r="H124" s="2" t="s">
        <v>54</v>
      </c>
      <c r="I124" s="2" t="s">
        <v>54</v>
      </c>
      <c r="J124" s="2" t="s">
        <v>198</v>
      </c>
      <c r="K124" s="2" t="s">
        <v>199</v>
      </c>
      <c r="L124" s="2" t="s">
        <v>56</v>
      </c>
      <c r="M124" s="2" t="s">
        <v>72</v>
      </c>
      <c r="N124" s="3">
        <v>3470</v>
      </c>
      <c r="O124" s="3">
        <v>3470</v>
      </c>
      <c r="P124" s="3">
        <v>3470</v>
      </c>
      <c r="Q124" s="3">
        <v>3470</v>
      </c>
      <c r="R124" s="3">
        <v>3470</v>
      </c>
      <c r="S124" s="3">
        <v>3470</v>
      </c>
      <c r="T124" s="3">
        <v>3470</v>
      </c>
      <c r="U124" s="3">
        <v>3470</v>
      </c>
      <c r="V124" s="3">
        <v>3470</v>
      </c>
      <c r="W124" s="3">
        <v>3470</v>
      </c>
      <c r="X124" s="3">
        <v>3470</v>
      </c>
      <c r="Y124" s="3">
        <v>3470</v>
      </c>
      <c r="Z124" s="3">
        <v>41640</v>
      </c>
    </row>
    <row r="125" spans="1:26" hidden="1" x14ac:dyDescent="0.3">
      <c r="A125" s="2" t="s">
        <v>467</v>
      </c>
      <c r="B125" s="2" t="s">
        <v>110</v>
      </c>
      <c r="C125" s="2" t="s">
        <v>110</v>
      </c>
      <c r="D125" s="2" t="s">
        <v>200</v>
      </c>
      <c r="E125" s="2" t="s">
        <v>200</v>
      </c>
      <c r="F125" s="2" t="s">
        <v>53</v>
      </c>
      <c r="G125" s="2" t="s">
        <v>53</v>
      </c>
      <c r="H125" s="2" t="s">
        <v>54</v>
      </c>
      <c r="I125" s="2" t="s">
        <v>54</v>
      </c>
      <c r="J125" s="2" t="s">
        <v>201</v>
      </c>
      <c r="K125" s="2" t="s">
        <v>199</v>
      </c>
      <c r="L125" s="2" t="s">
        <v>56</v>
      </c>
      <c r="M125" s="2" t="s">
        <v>72</v>
      </c>
      <c r="N125" s="3">
        <v>500</v>
      </c>
      <c r="O125" s="3">
        <v>500</v>
      </c>
      <c r="P125" s="3">
        <v>500</v>
      </c>
      <c r="Q125" s="3">
        <v>500</v>
      </c>
      <c r="R125" s="3">
        <v>500</v>
      </c>
      <c r="S125" s="3">
        <v>500</v>
      </c>
      <c r="T125" s="3">
        <v>500</v>
      </c>
      <c r="U125" s="3">
        <v>500</v>
      </c>
      <c r="V125" s="3">
        <v>500</v>
      </c>
      <c r="W125" s="3">
        <v>500</v>
      </c>
      <c r="X125" s="3">
        <v>500</v>
      </c>
      <c r="Y125" s="3">
        <v>500</v>
      </c>
      <c r="Z125" s="3">
        <v>6000</v>
      </c>
    </row>
    <row r="126" spans="1:26" hidden="1" x14ac:dyDescent="0.3">
      <c r="A126" s="2" t="s">
        <v>467</v>
      </c>
      <c r="B126" s="2" t="s">
        <v>110</v>
      </c>
      <c r="C126" s="2" t="s">
        <v>110</v>
      </c>
      <c r="D126" s="2" t="s">
        <v>200</v>
      </c>
      <c r="E126" s="2" t="s">
        <v>200</v>
      </c>
      <c r="F126" s="2" t="s">
        <v>53</v>
      </c>
      <c r="G126" s="2" t="s">
        <v>53</v>
      </c>
      <c r="H126" s="2" t="s">
        <v>54</v>
      </c>
      <c r="I126" s="2" t="s">
        <v>54</v>
      </c>
      <c r="J126" s="2" t="s">
        <v>202</v>
      </c>
      <c r="K126" s="2" t="s">
        <v>199</v>
      </c>
      <c r="L126" s="2" t="s">
        <v>56</v>
      </c>
      <c r="M126" s="2" t="s">
        <v>72</v>
      </c>
      <c r="N126" s="3">
        <v>500</v>
      </c>
      <c r="O126" s="3">
        <v>500</v>
      </c>
      <c r="P126" s="3">
        <v>500</v>
      </c>
      <c r="Q126" s="3">
        <v>500</v>
      </c>
      <c r="R126" s="3">
        <v>500</v>
      </c>
      <c r="S126" s="3">
        <v>500</v>
      </c>
      <c r="T126" s="3">
        <v>500</v>
      </c>
      <c r="U126" s="3">
        <v>500</v>
      </c>
      <c r="V126" s="3">
        <v>500</v>
      </c>
      <c r="W126" s="3">
        <v>500</v>
      </c>
      <c r="X126" s="3">
        <v>500</v>
      </c>
      <c r="Y126" s="3">
        <v>500</v>
      </c>
      <c r="Z126" s="3">
        <v>6000</v>
      </c>
    </row>
    <row r="127" spans="1:26" hidden="1" x14ac:dyDescent="0.3">
      <c r="A127" s="2" t="s">
        <v>467</v>
      </c>
      <c r="B127" s="2" t="s">
        <v>110</v>
      </c>
      <c r="C127" s="2" t="s">
        <v>110</v>
      </c>
      <c r="D127" s="2" t="s">
        <v>76</v>
      </c>
      <c r="E127" s="2" t="s">
        <v>76</v>
      </c>
      <c r="F127" s="2" t="s">
        <v>53</v>
      </c>
      <c r="G127" s="2" t="s">
        <v>53</v>
      </c>
      <c r="H127" s="2" t="s">
        <v>179</v>
      </c>
      <c r="I127" s="2" t="s">
        <v>179</v>
      </c>
      <c r="J127" s="2" t="s">
        <v>203</v>
      </c>
      <c r="K127" s="2" t="s">
        <v>199</v>
      </c>
      <c r="L127" s="2" t="s">
        <v>56</v>
      </c>
      <c r="M127" s="2" t="s">
        <v>72</v>
      </c>
      <c r="N127" s="3">
        <v>5667</v>
      </c>
      <c r="O127" s="3">
        <v>5667</v>
      </c>
      <c r="P127" s="3">
        <v>5667</v>
      </c>
      <c r="Q127" s="3">
        <v>5667</v>
      </c>
      <c r="R127" s="3">
        <v>5667</v>
      </c>
      <c r="S127" s="3">
        <v>5667</v>
      </c>
      <c r="T127" s="3">
        <v>5667</v>
      </c>
      <c r="U127" s="3">
        <v>5667</v>
      </c>
      <c r="V127" s="3">
        <v>5667</v>
      </c>
      <c r="W127" s="3">
        <v>5667</v>
      </c>
      <c r="X127" s="3">
        <v>5667</v>
      </c>
      <c r="Y127" s="3">
        <v>5667</v>
      </c>
      <c r="Z127" s="3">
        <v>68004</v>
      </c>
    </row>
    <row r="128" spans="1:26" hidden="1" x14ac:dyDescent="0.3">
      <c r="A128" s="2" t="s">
        <v>467</v>
      </c>
      <c r="B128" s="2" t="s">
        <v>110</v>
      </c>
      <c r="C128" s="2" t="s">
        <v>110</v>
      </c>
      <c r="D128" s="2" t="s">
        <v>107</v>
      </c>
      <c r="E128" s="2" t="s">
        <v>107</v>
      </c>
      <c r="F128" s="2" t="s">
        <v>53</v>
      </c>
      <c r="G128" s="2" t="s">
        <v>53</v>
      </c>
      <c r="H128" s="2" t="s">
        <v>54</v>
      </c>
      <c r="I128" s="2" t="s">
        <v>54</v>
      </c>
      <c r="J128" s="2" t="s">
        <v>204</v>
      </c>
      <c r="K128" s="2" t="s">
        <v>199</v>
      </c>
      <c r="L128" s="2" t="s">
        <v>56</v>
      </c>
      <c r="M128" s="2" t="s">
        <v>72</v>
      </c>
      <c r="N128" s="3">
        <v>930</v>
      </c>
      <c r="O128" s="3">
        <v>930</v>
      </c>
      <c r="P128" s="3">
        <v>930</v>
      </c>
      <c r="Q128" s="3">
        <v>930</v>
      </c>
      <c r="R128" s="3">
        <v>930</v>
      </c>
      <c r="S128" s="3">
        <v>930</v>
      </c>
      <c r="T128" s="3">
        <v>930</v>
      </c>
      <c r="U128" s="3">
        <v>930</v>
      </c>
      <c r="V128" s="3">
        <v>930</v>
      </c>
      <c r="W128" s="3">
        <v>930</v>
      </c>
      <c r="X128" s="3">
        <v>930</v>
      </c>
      <c r="Y128" s="3">
        <v>930</v>
      </c>
      <c r="Z128" s="3">
        <v>11160</v>
      </c>
    </row>
    <row r="129" spans="1:26" hidden="1" x14ac:dyDescent="0.3">
      <c r="A129" s="2" t="s">
        <v>467</v>
      </c>
      <c r="B129" s="2" t="s">
        <v>110</v>
      </c>
      <c r="C129" s="2" t="s">
        <v>110</v>
      </c>
      <c r="D129" s="2" t="s">
        <v>114</v>
      </c>
      <c r="E129" s="2" t="s">
        <v>114</v>
      </c>
      <c r="F129" s="2" t="s">
        <v>53</v>
      </c>
      <c r="G129" s="2" t="s">
        <v>53</v>
      </c>
      <c r="H129" s="2" t="s">
        <v>54</v>
      </c>
      <c r="I129" s="2" t="s">
        <v>54</v>
      </c>
      <c r="J129" s="2" t="s">
        <v>205</v>
      </c>
      <c r="K129" s="2" t="s">
        <v>206</v>
      </c>
      <c r="L129" s="2" t="s">
        <v>56</v>
      </c>
      <c r="M129" s="2" t="s">
        <v>72</v>
      </c>
      <c r="N129" s="3">
        <v>4000</v>
      </c>
      <c r="O129" s="3">
        <v>4000</v>
      </c>
      <c r="P129" s="3">
        <v>4000</v>
      </c>
      <c r="Q129" s="3">
        <v>4000</v>
      </c>
      <c r="R129" s="3">
        <v>4000</v>
      </c>
      <c r="S129" s="3">
        <v>4000</v>
      </c>
      <c r="T129" s="3">
        <v>4000</v>
      </c>
      <c r="U129" s="3">
        <v>4000</v>
      </c>
      <c r="V129" s="3">
        <v>4000</v>
      </c>
      <c r="W129" s="3">
        <v>4000</v>
      </c>
      <c r="X129" s="3">
        <v>4000</v>
      </c>
      <c r="Y129" s="3">
        <v>4000</v>
      </c>
      <c r="Z129" s="3">
        <v>48000</v>
      </c>
    </row>
    <row r="130" spans="1:26" hidden="1" x14ac:dyDescent="0.3">
      <c r="A130" s="2" t="s">
        <v>467</v>
      </c>
      <c r="B130" s="2" t="s">
        <v>110</v>
      </c>
      <c r="C130" s="2" t="s">
        <v>110</v>
      </c>
      <c r="D130" s="2" t="s">
        <v>135</v>
      </c>
      <c r="E130" s="2" t="s">
        <v>135</v>
      </c>
      <c r="F130" s="2" t="s">
        <v>53</v>
      </c>
      <c r="G130" s="2" t="s">
        <v>53</v>
      </c>
      <c r="H130" s="2" t="s">
        <v>54</v>
      </c>
      <c r="I130" s="2" t="s">
        <v>54</v>
      </c>
      <c r="J130" s="2" t="s">
        <v>207</v>
      </c>
      <c r="K130" s="2" t="s">
        <v>208</v>
      </c>
      <c r="L130" s="2" t="s">
        <v>56</v>
      </c>
      <c r="M130" s="2" t="s">
        <v>72</v>
      </c>
      <c r="N130" s="3">
        <v>436</v>
      </c>
      <c r="O130" s="3">
        <v>436</v>
      </c>
      <c r="P130" s="3">
        <v>436</v>
      </c>
      <c r="Q130" s="3">
        <v>436</v>
      </c>
      <c r="R130" s="3">
        <v>436</v>
      </c>
      <c r="S130" s="3">
        <v>436</v>
      </c>
      <c r="T130" s="3">
        <v>436</v>
      </c>
      <c r="U130" s="3">
        <v>436</v>
      </c>
      <c r="V130" s="3">
        <v>436</v>
      </c>
      <c r="W130" s="3">
        <v>436</v>
      </c>
      <c r="X130" s="3">
        <v>436</v>
      </c>
      <c r="Y130" s="3">
        <v>436</v>
      </c>
      <c r="Z130" s="3">
        <v>5232</v>
      </c>
    </row>
    <row r="131" spans="1:26" hidden="1" x14ac:dyDescent="0.3">
      <c r="A131" s="2" t="s">
        <v>467</v>
      </c>
      <c r="B131" s="2" t="s">
        <v>110</v>
      </c>
      <c r="C131" s="2" t="s">
        <v>110</v>
      </c>
      <c r="D131" s="2" t="s">
        <v>66</v>
      </c>
      <c r="E131" s="2" t="s">
        <v>66</v>
      </c>
      <c r="F131" s="2" t="s">
        <v>53</v>
      </c>
      <c r="G131" s="2" t="s">
        <v>53</v>
      </c>
      <c r="H131" s="2" t="s">
        <v>54</v>
      </c>
      <c r="I131" s="2" t="s">
        <v>54</v>
      </c>
      <c r="J131" s="2" t="s">
        <v>209</v>
      </c>
      <c r="K131" s="2"/>
      <c r="L131" s="2" t="s">
        <v>56</v>
      </c>
      <c r="M131" s="2" t="s">
        <v>72</v>
      </c>
      <c r="N131" s="3">
        <v>1250</v>
      </c>
      <c r="O131" s="3">
        <v>1250</v>
      </c>
      <c r="P131" s="3">
        <v>1250</v>
      </c>
      <c r="Q131" s="3">
        <v>1250</v>
      </c>
      <c r="R131" s="3">
        <v>1250</v>
      </c>
      <c r="S131" s="3">
        <v>1250</v>
      </c>
      <c r="T131" s="3">
        <v>1250</v>
      </c>
      <c r="U131" s="3">
        <v>1250</v>
      </c>
      <c r="V131" s="3">
        <v>1250</v>
      </c>
      <c r="W131" s="3">
        <v>1250</v>
      </c>
      <c r="X131" s="3">
        <v>1250</v>
      </c>
      <c r="Y131" s="3">
        <v>1250</v>
      </c>
      <c r="Z131" s="3">
        <v>15000</v>
      </c>
    </row>
    <row r="132" spans="1:26" hidden="1" x14ac:dyDescent="0.3">
      <c r="A132" s="2" t="s">
        <v>467</v>
      </c>
      <c r="B132" s="2" t="s">
        <v>210</v>
      </c>
      <c r="C132" s="2" t="s">
        <v>210</v>
      </c>
      <c r="D132" s="2" t="s">
        <v>82</v>
      </c>
      <c r="E132" s="2" t="s">
        <v>82</v>
      </c>
      <c r="F132" s="2" t="s">
        <v>53</v>
      </c>
      <c r="G132" s="2" t="s">
        <v>53</v>
      </c>
      <c r="H132" s="2" t="s">
        <v>54</v>
      </c>
      <c r="I132" s="2" t="s">
        <v>54</v>
      </c>
      <c r="J132" s="2" t="s">
        <v>211</v>
      </c>
      <c r="K132" s="2" t="s">
        <v>212</v>
      </c>
      <c r="L132" s="2" t="s">
        <v>56</v>
      </c>
      <c r="M132" s="2" t="s">
        <v>213</v>
      </c>
      <c r="N132" s="3">
        <v>2500</v>
      </c>
      <c r="O132" s="3">
        <v>2500</v>
      </c>
      <c r="P132" s="3">
        <v>2500</v>
      </c>
      <c r="Q132" s="3">
        <v>2500</v>
      </c>
      <c r="R132" s="3">
        <v>2500</v>
      </c>
      <c r="S132" s="3">
        <v>2500</v>
      </c>
      <c r="T132" s="3">
        <v>2500</v>
      </c>
      <c r="U132" s="3">
        <v>2500</v>
      </c>
      <c r="V132" s="3">
        <v>2500</v>
      </c>
      <c r="W132" s="3">
        <v>2500</v>
      </c>
      <c r="X132" s="3">
        <v>2500</v>
      </c>
      <c r="Y132" s="3">
        <v>2500</v>
      </c>
      <c r="Z132" s="3">
        <v>30000</v>
      </c>
    </row>
    <row r="133" spans="1:26" hidden="1" x14ac:dyDescent="0.3">
      <c r="A133" s="2" t="s">
        <v>467</v>
      </c>
      <c r="B133" s="2" t="s">
        <v>210</v>
      </c>
      <c r="C133" s="2" t="s">
        <v>210</v>
      </c>
      <c r="D133" s="2" t="s">
        <v>104</v>
      </c>
      <c r="E133" s="2" t="s">
        <v>104</v>
      </c>
      <c r="F133" s="2" t="s">
        <v>53</v>
      </c>
      <c r="G133" s="2" t="s">
        <v>53</v>
      </c>
      <c r="H133" s="2" t="s">
        <v>54</v>
      </c>
      <c r="I133" s="2" t="s">
        <v>54</v>
      </c>
      <c r="J133" s="2" t="s">
        <v>214</v>
      </c>
      <c r="K133" s="2" t="s">
        <v>215</v>
      </c>
      <c r="L133" s="2" t="s">
        <v>56</v>
      </c>
      <c r="M133" s="2" t="s">
        <v>213</v>
      </c>
      <c r="N133" s="3"/>
      <c r="O133" s="3"/>
      <c r="P133" s="3"/>
      <c r="Q133" s="3">
        <v>35000</v>
      </c>
      <c r="R133" s="3">
        <v>35000</v>
      </c>
      <c r="S133" s="3">
        <v>35000</v>
      </c>
      <c r="T133" s="3">
        <v>35000</v>
      </c>
      <c r="U133" s="3">
        <v>35000</v>
      </c>
      <c r="V133" s="3">
        <v>35000</v>
      </c>
      <c r="W133" s="3">
        <v>35000</v>
      </c>
      <c r="X133" s="3">
        <v>35000</v>
      </c>
      <c r="Y133" s="3">
        <v>35000</v>
      </c>
      <c r="Z133" s="3">
        <v>315000</v>
      </c>
    </row>
    <row r="134" spans="1:26" hidden="1" x14ac:dyDescent="0.3">
      <c r="A134" s="2" t="s">
        <v>467</v>
      </c>
      <c r="B134" s="2" t="s">
        <v>210</v>
      </c>
      <c r="C134" s="2" t="s">
        <v>210</v>
      </c>
      <c r="D134" s="2" t="s">
        <v>82</v>
      </c>
      <c r="E134" s="2" t="s">
        <v>82</v>
      </c>
      <c r="F134" s="2" t="s">
        <v>53</v>
      </c>
      <c r="G134" s="2" t="s">
        <v>53</v>
      </c>
      <c r="H134" s="2" t="s">
        <v>54</v>
      </c>
      <c r="I134" s="2" t="s">
        <v>54</v>
      </c>
      <c r="J134" s="2" t="s">
        <v>216</v>
      </c>
      <c r="K134" s="2" t="s">
        <v>191</v>
      </c>
      <c r="L134" s="2" t="s">
        <v>56</v>
      </c>
      <c r="M134" s="2" t="s">
        <v>213</v>
      </c>
      <c r="N134" s="3">
        <v>7613.67</v>
      </c>
      <c r="O134" s="3">
        <v>7613.67</v>
      </c>
      <c r="P134" s="3">
        <v>7613.67</v>
      </c>
      <c r="Q134" s="3">
        <v>7613.67</v>
      </c>
      <c r="R134" s="3">
        <v>7613.67</v>
      </c>
      <c r="S134" s="3">
        <v>7613.67</v>
      </c>
      <c r="T134" s="3">
        <v>7613.67</v>
      </c>
      <c r="U134" s="3">
        <v>7613.67</v>
      </c>
      <c r="V134" s="3">
        <v>7613.67</v>
      </c>
      <c r="W134" s="3">
        <v>7613.67</v>
      </c>
      <c r="X134" s="3">
        <v>7613.67</v>
      </c>
      <c r="Y134" s="3">
        <v>7613.67</v>
      </c>
      <c r="Z134" s="3">
        <v>91364.04</v>
      </c>
    </row>
    <row r="135" spans="1:26" hidden="1" x14ac:dyDescent="0.3">
      <c r="A135" s="2" t="s">
        <v>467</v>
      </c>
      <c r="B135" s="2" t="s">
        <v>210</v>
      </c>
      <c r="C135" s="2" t="s">
        <v>210</v>
      </c>
      <c r="D135" s="2" t="s">
        <v>217</v>
      </c>
      <c r="E135" s="2" t="s">
        <v>217</v>
      </c>
      <c r="F135" s="2" t="s">
        <v>53</v>
      </c>
      <c r="G135" s="2" t="s">
        <v>53</v>
      </c>
      <c r="H135" s="2" t="s">
        <v>54</v>
      </c>
      <c r="I135" s="2" t="s">
        <v>54</v>
      </c>
      <c r="J135" s="2" t="s">
        <v>218</v>
      </c>
      <c r="K135" s="2" t="s">
        <v>219</v>
      </c>
      <c r="L135" s="2" t="s">
        <v>56</v>
      </c>
      <c r="M135" s="2" t="s">
        <v>213</v>
      </c>
      <c r="N135" s="3">
        <v>9200</v>
      </c>
      <c r="O135" s="3">
        <v>9200</v>
      </c>
      <c r="P135" s="3">
        <v>9200</v>
      </c>
      <c r="Q135" s="3">
        <v>9200</v>
      </c>
      <c r="R135" s="3">
        <v>9200</v>
      </c>
      <c r="S135" s="3">
        <v>9200</v>
      </c>
      <c r="T135" s="3">
        <v>9200</v>
      </c>
      <c r="U135" s="3">
        <v>9200</v>
      </c>
      <c r="V135" s="3">
        <v>9200</v>
      </c>
      <c r="W135" s="3">
        <v>9200</v>
      </c>
      <c r="X135" s="3">
        <v>9200</v>
      </c>
      <c r="Y135" s="3">
        <v>9200</v>
      </c>
      <c r="Z135" s="3">
        <v>110400</v>
      </c>
    </row>
    <row r="136" spans="1:26" hidden="1" x14ac:dyDescent="0.3">
      <c r="A136" s="2" t="s">
        <v>467</v>
      </c>
      <c r="B136" s="2" t="s">
        <v>210</v>
      </c>
      <c r="C136" s="2" t="s">
        <v>210</v>
      </c>
      <c r="D136" s="2" t="s">
        <v>217</v>
      </c>
      <c r="E136" s="2" t="s">
        <v>217</v>
      </c>
      <c r="F136" s="2" t="s">
        <v>53</v>
      </c>
      <c r="G136" s="2" t="s">
        <v>53</v>
      </c>
      <c r="H136" s="2" t="s">
        <v>54</v>
      </c>
      <c r="I136" s="2" t="s">
        <v>54</v>
      </c>
      <c r="J136" s="2" t="s">
        <v>220</v>
      </c>
      <c r="K136" s="2" t="s">
        <v>221</v>
      </c>
      <c r="L136" s="2" t="s">
        <v>56</v>
      </c>
      <c r="M136" s="2" t="s">
        <v>213</v>
      </c>
      <c r="N136" s="3">
        <v>89583.33</v>
      </c>
      <c r="O136" s="3">
        <v>89583.33</v>
      </c>
      <c r="P136" s="3">
        <v>89583.33</v>
      </c>
      <c r="Q136" s="3">
        <v>89583.33</v>
      </c>
      <c r="R136" s="3">
        <v>89583.33</v>
      </c>
      <c r="S136" s="3">
        <v>89583.33</v>
      </c>
      <c r="T136" s="3">
        <v>89583.33</v>
      </c>
      <c r="U136" s="3">
        <v>89583.33</v>
      </c>
      <c r="V136" s="3">
        <v>89583.33</v>
      </c>
      <c r="W136" s="3">
        <v>89583.33</v>
      </c>
      <c r="X136" s="3">
        <v>89583.33</v>
      </c>
      <c r="Y136" s="3">
        <v>89583.33</v>
      </c>
      <c r="Z136" s="3">
        <v>1074999.9599999997</v>
      </c>
    </row>
    <row r="137" spans="1:26" hidden="1" x14ac:dyDescent="0.3">
      <c r="A137" s="2" t="s">
        <v>467</v>
      </c>
      <c r="B137" s="2" t="s">
        <v>222</v>
      </c>
      <c r="C137" s="2" t="s">
        <v>222</v>
      </c>
      <c r="D137" s="2" t="s">
        <v>151</v>
      </c>
      <c r="E137" s="2" t="s">
        <v>151</v>
      </c>
      <c r="F137" s="2" t="s">
        <v>53</v>
      </c>
      <c r="G137" s="2" t="s">
        <v>53</v>
      </c>
      <c r="H137" s="2" t="s">
        <v>54</v>
      </c>
      <c r="I137" s="2" t="s">
        <v>54</v>
      </c>
      <c r="J137" s="2" t="s">
        <v>223</v>
      </c>
      <c r="K137" s="2" t="s">
        <v>224</v>
      </c>
      <c r="L137" s="2" t="s">
        <v>56</v>
      </c>
      <c r="M137" s="2" t="s">
        <v>57</v>
      </c>
      <c r="N137" s="3">
        <v>15000</v>
      </c>
      <c r="O137" s="3">
        <v>15000</v>
      </c>
      <c r="P137" s="3">
        <v>15000</v>
      </c>
      <c r="Q137" s="3">
        <v>15000</v>
      </c>
      <c r="R137" s="3">
        <v>15000</v>
      </c>
      <c r="S137" s="3">
        <v>15000</v>
      </c>
      <c r="T137" s="3">
        <v>15000</v>
      </c>
      <c r="U137" s="3">
        <v>15000</v>
      </c>
      <c r="V137" s="3">
        <v>15000</v>
      </c>
      <c r="W137" s="3">
        <v>15000</v>
      </c>
      <c r="X137" s="3">
        <v>15000</v>
      </c>
      <c r="Y137" s="3">
        <v>15000</v>
      </c>
      <c r="Z137" s="3">
        <v>180000</v>
      </c>
    </row>
    <row r="138" spans="1:26" hidden="1" x14ac:dyDescent="0.3">
      <c r="A138" s="2" t="s">
        <v>467</v>
      </c>
      <c r="B138" s="2" t="s">
        <v>222</v>
      </c>
      <c r="C138" s="2" t="s">
        <v>222</v>
      </c>
      <c r="D138" s="2" t="s">
        <v>82</v>
      </c>
      <c r="E138" s="2" t="s">
        <v>82</v>
      </c>
      <c r="F138" s="2" t="s">
        <v>53</v>
      </c>
      <c r="G138" s="2" t="s">
        <v>53</v>
      </c>
      <c r="H138" s="2" t="s">
        <v>54</v>
      </c>
      <c r="I138" s="2" t="s">
        <v>54</v>
      </c>
      <c r="J138" s="2" t="s">
        <v>225</v>
      </c>
      <c r="K138" s="2" t="s">
        <v>226</v>
      </c>
      <c r="L138" s="2" t="s">
        <v>56</v>
      </c>
      <c r="M138" s="2" t="s">
        <v>57</v>
      </c>
      <c r="N138" s="3">
        <v>4666.67</v>
      </c>
      <c r="O138" s="3">
        <v>4666.67</v>
      </c>
      <c r="P138" s="3">
        <v>4666.67</v>
      </c>
      <c r="Q138" s="3">
        <v>4666.67</v>
      </c>
      <c r="R138" s="3">
        <v>4666.67</v>
      </c>
      <c r="S138" s="3">
        <v>4666.67</v>
      </c>
      <c r="T138" s="3">
        <v>4666.67</v>
      </c>
      <c r="U138" s="3">
        <v>4666.67</v>
      </c>
      <c r="V138" s="3">
        <v>4666.67</v>
      </c>
      <c r="W138" s="3">
        <v>4666.67</v>
      </c>
      <c r="X138" s="3">
        <v>4666.67</v>
      </c>
      <c r="Y138" s="3">
        <v>4666.67</v>
      </c>
      <c r="Z138" s="3">
        <v>56000.039999999986</v>
      </c>
    </row>
    <row r="139" spans="1:26" hidden="1" x14ac:dyDescent="0.3">
      <c r="A139" s="2" t="s">
        <v>467</v>
      </c>
      <c r="B139" s="2" t="s">
        <v>222</v>
      </c>
      <c r="C139" s="2" t="s">
        <v>222</v>
      </c>
      <c r="D139" s="2" t="s">
        <v>151</v>
      </c>
      <c r="E139" s="2" t="s">
        <v>151</v>
      </c>
      <c r="F139" s="2" t="s">
        <v>53</v>
      </c>
      <c r="G139" s="2" t="s">
        <v>53</v>
      </c>
      <c r="H139" s="2" t="s">
        <v>54</v>
      </c>
      <c r="I139" s="2" t="s">
        <v>54</v>
      </c>
      <c r="J139" s="2" t="s">
        <v>227</v>
      </c>
      <c r="K139" s="2" t="s">
        <v>228</v>
      </c>
      <c r="L139" s="2" t="s">
        <v>56</v>
      </c>
      <c r="M139" s="2" t="s">
        <v>57</v>
      </c>
      <c r="N139" s="3">
        <v>10000</v>
      </c>
      <c r="O139" s="3">
        <v>10000</v>
      </c>
      <c r="P139" s="3">
        <v>10000</v>
      </c>
      <c r="Q139" s="3">
        <v>10000</v>
      </c>
      <c r="R139" s="3">
        <v>10000</v>
      </c>
      <c r="S139" s="3">
        <v>10000</v>
      </c>
      <c r="T139" s="3">
        <v>10000</v>
      </c>
      <c r="U139" s="3">
        <v>10000</v>
      </c>
      <c r="V139" s="3">
        <v>10000</v>
      </c>
      <c r="W139" s="3">
        <v>10000</v>
      </c>
      <c r="X139" s="3">
        <v>10000</v>
      </c>
      <c r="Y139" s="3">
        <v>10000</v>
      </c>
      <c r="Z139" s="3">
        <v>120000</v>
      </c>
    </row>
    <row r="140" spans="1:26" hidden="1" x14ac:dyDescent="0.3">
      <c r="A140" s="2" t="s">
        <v>467</v>
      </c>
      <c r="B140" s="2" t="s">
        <v>222</v>
      </c>
      <c r="C140" s="2" t="s">
        <v>222</v>
      </c>
      <c r="D140" s="2" t="s">
        <v>82</v>
      </c>
      <c r="E140" s="2" t="s">
        <v>82</v>
      </c>
      <c r="F140" s="2" t="s">
        <v>229</v>
      </c>
      <c r="G140" s="2" t="s">
        <v>229</v>
      </c>
      <c r="H140" s="2" t="s">
        <v>230</v>
      </c>
      <c r="I140" s="2" t="s">
        <v>230</v>
      </c>
      <c r="J140" s="2" t="s">
        <v>231</v>
      </c>
      <c r="K140" s="2" t="s">
        <v>232</v>
      </c>
      <c r="L140" s="2" t="s">
        <v>56</v>
      </c>
      <c r="M140" s="2" t="s">
        <v>57</v>
      </c>
      <c r="N140" s="3">
        <v>64583.33</v>
      </c>
      <c r="O140" s="3">
        <v>64583.33</v>
      </c>
      <c r="P140" s="3">
        <v>64583.33</v>
      </c>
      <c r="Q140" s="3">
        <v>64583.33</v>
      </c>
      <c r="R140" s="3">
        <v>64583.33</v>
      </c>
      <c r="S140" s="3">
        <v>64583.33</v>
      </c>
      <c r="T140" s="3">
        <v>64583.33</v>
      </c>
      <c r="U140" s="3">
        <v>64583.33</v>
      </c>
      <c r="V140" s="3">
        <v>64583.33</v>
      </c>
      <c r="W140" s="3">
        <v>64583.33</v>
      </c>
      <c r="X140" s="3">
        <v>64583.33</v>
      </c>
      <c r="Y140" s="3">
        <v>64583.33</v>
      </c>
      <c r="Z140" s="3">
        <v>774999.96</v>
      </c>
    </row>
    <row r="141" spans="1:26" hidden="1" x14ac:dyDescent="0.3">
      <c r="A141" s="2" t="s">
        <v>467</v>
      </c>
      <c r="B141" s="2" t="s">
        <v>222</v>
      </c>
      <c r="C141" s="2" t="s">
        <v>222</v>
      </c>
      <c r="D141" s="2" t="s">
        <v>82</v>
      </c>
      <c r="E141" s="2" t="s">
        <v>82</v>
      </c>
      <c r="F141" s="2" t="s">
        <v>53</v>
      </c>
      <c r="G141" s="2" t="s">
        <v>53</v>
      </c>
      <c r="H141" s="2" t="s">
        <v>54</v>
      </c>
      <c r="I141" s="2" t="s">
        <v>54</v>
      </c>
      <c r="J141" s="2" t="s">
        <v>233</v>
      </c>
      <c r="K141" s="2" t="s">
        <v>234</v>
      </c>
      <c r="L141" s="2" t="s">
        <v>56</v>
      </c>
      <c r="M141" s="2" t="s">
        <v>57</v>
      </c>
      <c r="N141" s="3">
        <v>641.66999999999996</v>
      </c>
      <c r="O141" s="3">
        <v>641.66999999999996</v>
      </c>
      <c r="P141" s="3">
        <v>641.66999999999996</v>
      </c>
      <c r="Q141" s="3">
        <v>641.66999999999996</v>
      </c>
      <c r="R141" s="3">
        <v>641.66999999999996</v>
      </c>
      <c r="S141" s="3">
        <v>641.66999999999996</v>
      </c>
      <c r="T141" s="3">
        <v>641.66999999999996</v>
      </c>
      <c r="U141" s="3">
        <v>641.66999999999996</v>
      </c>
      <c r="V141" s="3">
        <v>641.66999999999996</v>
      </c>
      <c r="W141" s="3">
        <v>641.66999999999996</v>
      </c>
      <c r="X141" s="3">
        <v>641.66999999999996</v>
      </c>
      <c r="Y141" s="3">
        <v>641.66999999999996</v>
      </c>
      <c r="Z141" s="3">
        <v>7700.04</v>
      </c>
    </row>
    <row r="142" spans="1:26" hidden="1" x14ac:dyDescent="0.3">
      <c r="A142" s="2" t="s">
        <v>467</v>
      </c>
      <c r="B142" s="2" t="s">
        <v>222</v>
      </c>
      <c r="C142" s="2" t="s">
        <v>222</v>
      </c>
      <c r="D142" s="2" t="s">
        <v>82</v>
      </c>
      <c r="E142" s="2" t="s">
        <v>82</v>
      </c>
      <c r="F142" s="2" t="s">
        <v>53</v>
      </c>
      <c r="G142" s="2" t="s">
        <v>53</v>
      </c>
      <c r="H142" s="2" t="s">
        <v>767</v>
      </c>
      <c r="I142" s="2" t="s">
        <v>767</v>
      </c>
      <c r="J142" s="2" t="s">
        <v>235</v>
      </c>
      <c r="K142" s="2" t="s">
        <v>235</v>
      </c>
      <c r="L142" s="2" t="s">
        <v>56</v>
      </c>
      <c r="M142" s="2" t="s">
        <v>57</v>
      </c>
      <c r="N142" s="3">
        <v>-1666.67</v>
      </c>
      <c r="O142" s="3">
        <v>-1666.67</v>
      </c>
      <c r="P142" s="3">
        <v>-1666.67</v>
      </c>
      <c r="Q142" s="3">
        <v>-1666.67</v>
      </c>
      <c r="R142" s="3">
        <v>-1666.67</v>
      </c>
      <c r="S142" s="3">
        <v>-1666.67</v>
      </c>
      <c r="T142" s="3">
        <v>-1666.67</v>
      </c>
      <c r="U142" s="3">
        <v>-1666.67</v>
      </c>
      <c r="V142" s="3">
        <v>-1666.67</v>
      </c>
      <c r="W142" s="3">
        <v>-1666.67</v>
      </c>
      <c r="X142" s="3">
        <v>-1666.67</v>
      </c>
      <c r="Y142" s="3">
        <v>-1666.67</v>
      </c>
      <c r="Z142" s="3">
        <v>-20000.04</v>
      </c>
    </row>
    <row r="143" spans="1:26" hidden="1" x14ac:dyDescent="0.3">
      <c r="A143" s="2" t="s">
        <v>467</v>
      </c>
      <c r="B143" s="2" t="s">
        <v>222</v>
      </c>
      <c r="C143" s="2" t="s">
        <v>222</v>
      </c>
      <c r="D143" s="2" t="s">
        <v>82</v>
      </c>
      <c r="E143" s="2" t="s">
        <v>82</v>
      </c>
      <c r="F143" s="2" t="s">
        <v>53</v>
      </c>
      <c r="G143" s="2" t="s">
        <v>53</v>
      </c>
      <c r="H143" s="2" t="s">
        <v>54</v>
      </c>
      <c r="I143" s="2" t="s">
        <v>54</v>
      </c>
      <c r="J143" s="2" t="s">
        <v>235</v>
      </c>
      <c r="K143" s="2" t="s">
        <v>235</v>
      </c>
      <c r="L143" s="2" t="s">
        <v>56</v>
      </c>
      <c r="M143" s="2" t="s">
        <v>57</v>
      </c>
      <c r="N143" s="3">
        <v>1666.67</v>
      </c>
      <c r="O143" s="3">
        <v>1666.67</v>
      </c>
      <c r="P143" s="3">
        <v>1666.67</v>
      </c>
      <c r="Q143" s="3">
        <v>1666.67</v>
      </c>
      <c r="R143" s="3">
        <v>1666.67</v>
      </c>
      <c r="S143" s="3">
        <v>1666.67</v>
      </c>
      <c r="T143" s="3">
        <v>1666.67</v>
      </c>
      <c r="U143" s="3">
        <v>1666.67</v>
      </c>
      <c r="V143" s="3">
        <v>1666.67</v>
      </c>
      <c r="W143" s="3">
        <v>1666.67</v>
      </c>
      <c r="X143" s="3">
        <v>1666.67</v>
      </c>
      <c r="Y143" s="3">
        <v>1666.67</v>
      </c>
      <c r="Z143" s="3">
        <v>20000.04</v>
      </c>
    </row>
    <row r="144" spans="1:26" hidden="1" x14ac:dyDescent="0.3">
      <c r="A144" s="2" t="s">
        <v>467</v>
      </c>
      <c r="B144" s="2" t="s">
        <v>222</v>
      </c>
      <c r="C144" s="2" t="s">
        <v>222</v>
      </c>
      <c r="D144" s="2" t="s">
        <v>82</v>
      </c>
      <c r="E144" s="2" t="s">
        <v>82</v>
      </c>
      <c r="F144" s="2" t="s">
        <v>53</v>
      </c>
      <c r="G144" s="2" t="s">
        <v>53</v>
      </c>
      <c r="H144" s="2" t="s">
        <v>99</v>
      </c>
      <c r="I144" s="2" t="s">
        <v>99</v>
      </c>
      <c r="J144" s="2" t="s">
        <v>236</v>
      </c>
      <c r="K144" s="2" t="s">
        <v>237</v>
      </c>
      <c r="L144" s="2" t="s">
        <v>56</v>
      </c>
      <c r="M144" s="2" t="s">
        <v>57</v>
      </c>
      <c r="N144" s="3">
        <v>20833.330000000002</v>
      </c>
      <c r="O144" s="3">
        <v>20833.330000000002</v>
      </c>
      <c r="P144" s="3">
        <v>20833.330000000002</v>
      </c>
      <c r="Q144" s="3">
        <v>20833.330000000002</v>
      </c>
      <c r="R144" s="3">
        <v>20833.330000000002</v>
      </c>
      <c r="S144" s="3">
        <v>20833.330000000002</v>
      </c>
      <c r="T144" s="3">
        <v>20833.330000000002</v>
      </c>
      <c r="U144" s="3">
        <v>20833.330000000002</v>
      </c>
      <c r="V144" s="3">
        <v>20833.330000000002</v>
      </c>
      <c r="W144" s="3">
        <v>20833.330000000002</v>
      </c>
      <c r="X144" s="3">
        <v>20833.330000000002</v>
      </c>
      <c r="Y144" s="3">
        <v>20833.330000000002</v>
      </c>
      <c r="Z144" s="3">
        <v>249999.96000000008</v>
      </c>
    </row>
    <row r="145" spans="1:26" hidden="1" x14ac:dyDescent="0.3">
      <c r="A145" s="2" t="s">
        <v>467</v>
      </c>
      <c r="B145" s="2" t="s">
        <v>222</v>
      </c>
      <c r="C145" s="2" t="s">
        <v>222</v>
      </c>
      <c r="D145" s="2" t="s">
        <v>82</v>
      </c>
      <c r="E145" s="2" t="s">
        <v>82</v>
      </c>
      <c r="F145" s="2" t="s">
        <v>53</v>
      </c>
      <c r="G145" s="2" t="s">
        <v>53</v>
      </c>
      <c r="H145" s="2" t="s">
        <v>54</v>
      </c>
      <c r="I145" s="2" t="s">
        <v>54</v>
      </c>
      <c r="J145" s="2" t="s">
        <v>238</v>
      </c>
      <c r="K145" s="2"/>
      <c r="L145" s="2" t="s">
        <v>56</v>
      </c>
      <c r="M145" s="2" t="s">
        <v>57</v>
      </c>
      <c r="N145" s="3">
        <v>4166.67</v>
      </c>
      <c r="O145" s="3">
        <v>4166.67</v>
      </c>
      <c r="P145" s="3">
        <v>4166.67</v>
      </c>
      <c r="Q145" s="3">
        <v>4166.67</v>
      </c>
      <c r="R145" s="3">
        <v>4166.67</v>
      </c>
      <c r="S145" s="3">
        <v>4166.67</v>
      </c>
      <c r="T145" s="3">
        <v>4166.67</v>
      </c>
      <c r="U145" s="3">
        <v>4166.67</v>
      </c>
      <c r="V145" s="3">
        <v>4166.67</v>
      </c>
      <c r="W145" s="3">
        <v>4166.67</v>
      </c>
      <c r="X145" s="3">
        <v>4166.67</v>
      </c>
      <c r="Y145" s="3">
        <v>4166.67</v>
      </c>
      <c r="Z145" s="3">
        <v>50000.039999999986</v>
      </c>
    </row>
    <row r="146" spans="1:26" hidden="1" x14ac:dyDescent="0.3">
      <c r="A146" s="2" t="s">
        <v>467</v>
      </c>
      <c r="B146" s="2" t="s">
        <v>239</v>
      </c>
      <c r="C146" s="2" t="s">
        <v>239</v>
      </c>
      <c r="D146" s="2" t="s">
        <v>151</v>
      </c>
      <c r="E146" s="2" t="s">
        <v>151</v>
      </c>
      <c r="F146" s="2" t="s">
        <v>53</v>
      </c>
      <c r="G146" s="2" t="s">
        <v>53</v>
      </c>
      <c r="H146" s="2" t="s">
        <v>54</v>
      </c>
      <c r="I146" s="2" t="s">
        <v>54</v>
      </c>
      <c r="J146" s="2" t="s">
        <v>240</v>
      </c>
      <c r="K146" s="2" t="s">
        <v>241</v>
      </c>
      <c r="L146" s="2" t="s">
        <v>56</v>
      </c>
      <c r="M146" s="2" t="s">
        <v>72</v>
      </c>
      <c r="N146" s="3">
        <v>17916.37</v>
      </c>
      <c r="O146" s="3">
        <v>17916.37</v>
      </c>
      <c r="P146" s="3">
        <v>17916.37</v>
      </c>
      <c r="Q146" s="3">
        <v>17916.37</v>
      </c>
      <c r="R146" s="3">
        <v>17916.37</v>
      </c>
      <c r="S146" s="3">
        <v>17916.37</v>
      </c>
      <c r="T146" s="3">
        <v>17916.37</v>
      </c>
      <c r="U146" s="3">
        <v>17916.37</v>
      </c>
      <c r="V146" s="3">
        <v>17916.37</v>
      </c>
      <c r="W146" s="3">
        <v>17916.37</v>
      </c>
      <c r="X146" s="3">
        <v>17916.37</v>
      </c>
      <c r="Y146" s="3">
        <v>17916.37</v>
      </c>
      <c r="Z146" s="3">
        <v>214996.43999999997</v>
      </c>
    </row>
    <row r="147" spans="1:26" hidden="1" x14ac:dyDescent="0.3">
      <c r="A147" s="2" t="s">
        <v>467</v>
      </c>
      <c r="B147" s="2" t="s">
        <v>239</v>
      </c>
      <c r="C147" s="2" t="s">
        <v>239</v>
      </c>
      <c r="D147" s="2" t="s">
        <v>200</v>
      </c>
      <c r="E147" s="2" t="s">
        <v>200</v>
      </c>
      <c r="F147" s="2" t="s">
        <v>53</v>
      </c>
      <c r="G147" s="2" t="s">
        <v>53</v>
      </c>
      <c r="H147" s="2" t="s">
        <v>54</v>
      </c>
      <c r="I147" s="2" t="s">
        <v>54</v>
      </c>
      <c r="J147" s="2" t="s">
        <v>242</v>
      </c>
      <c r="K147" s="2" t="s">
        <v>243</v>
      </c>
      <c r="L147" s="2" t="s">
        <v>56</v>
      </c>
      <c r="M147" s="2" t="s">
        <v>72</v>
      </c>
      <c r="N147" s="3">
        <v>14333.1</v>
      </c>
      <c r="O147" s="3">
        <v>14333.1</v>
      </c>
      <c r="P147" s="3">
        <v>14333.1</v>
      </c>
      <c r="Q147" s="3">
        <v>14333.1</v>
      </c>
      <c r="R147" s="3">
        <v>14333.1</v>
      </c>
      <c r="S147" s="3">
        <v>14333.1</v>
      </c>
      <c r="T147" s="3">
        <v>14333.1</v>
      </c>
      <c r="U147" s="3">
        <v>14333.1</v>
      </c>
      <c r="V147" s="3">
        <v>14333.1</v>
      </c>
      <c r="W147" s="3">
        <v>14333.1</v>
      </c>
      <c r="X147" s="3">
        <v>14333.1</v>
      </c>
      <c r="Y147" s="3">
        <v>14333.1</v>
      </c>
      <c r="Z147" s="3">
        <v>171997.20000000004</v>
      </c>
    </row>
    <row r="148" spans="1:26" hidden="1" x14ac:dyDescent="0.3">
      <c r="A148" s="2" t="s">
        <v>467</v>
      </c>
      <c r="B148" s="2" t="s">
        <v>239</v>
      </c>
      <c r="C148" s="2" t="s">
        <v>239</v>
      </c>
      <c r="D148" s="2" t="s">
        <v>69</v>
      </c>
      <c r="E148" s="2" t="s">
        <v>69</v>
      </c>
      <c r="F148" s="2" t="s">
        <v>53</v>
      </c>
      <c r="G148" s="2" t="s">
        <v>53</v>
      </c>
      <c r="H148" s="2" t="s">
        <v>54</v>
      </c>
      <c r="I148" s="2" t="s">
        <v>54</v>
      </c>
      <c r="J148" s="2" t="s">
        <v>70</v>
      </c>
      <c r="K148" s="2" t="s">
        <v>71</v>
      </c>
      <c r="L148" s="2" t="s">
        <v>56</v>
      </c>
      <c r="M148" s="2" t="s">
        <v>72</v>
      </c>
      <c r="N148" s="3">
        <v>1153</v>
      </c>
      <c r="O148" s="3">
        <v>1153</v>
      </c>
      <c r="P148" s="3">
        <v>1193</v>
      </c>
      <c r="Q148" s="3">
        <v>1193</v>
      </c>
      <c r="R148" s="3">
        <v>1193</v>
      </c>
      <c r="S148" s="3">
        <v>1193</v>
      </c>
      <c r="T148" s="3">
        <v>1193</v>
      </c>
      <c r="U148" s="3">
        <v>1193</v>
      </c>
      <c r="V148" s="3">
        <v>1193</v>
      </c>
      <c r="W148" s="3">
        <v>1193</v>
      </c>
      <c r="X148" s="3">
        <v>1193</v>
      </c>
      <c r="Y148" s="3">
        <v>1193</v>
      </c>
      <c r="Z148" s="3">
        <v>14236</v>
      </c>
    </row>
    <row r="149" spans="1:26" hidden="1" x14ac:dyDescent="0.3">
      <c r="A149" s="2" t="s">
        <v>467</v>
      </c>
      <c r="B149" s="2" t="s">
        <v>239</v>
      </c>
      <c r="C149" s="2" t="s">
        <v>239</v>
      </c>
      <c r="D149" s="2" t="s">
        <v>151</v>
      </c>
      <c r="E149" s="2" t="s">
        <v>151</v>
      </c>
      <c r="F149" s="2" t="s">
        <v>53</v>
      </c>
      <c r="G149" s="2" t="s">
        <v>53</v>
      </c>
      <c r="H149" s="2" t="s">
        <v>244</v>
      </c>
      <c r="I149" s="2" t="s">
        <v>244</v>
      </c>
      <c r="J149" s="2" t="s">
        <v>245</v>
      </c>
      <c r="K149" s="2" t="s">
        <v>246</v>
      </c>
      <c r="L149" s="2" t="s">
        <v>56</v>
      </c>
      <c r="M149" s="2" t="s">
        <v>72</v>
      </c>
      <c r="N149" s="3">
        <v>23649.61</v>
      </c>
      <c r="O149" s="3">
        <v>23649.61</v>
      </c>
      <c r="P149" s="3">
        <v>23649.61</v>
      </c>
      <c r="Q149" s="3">
        <v>23649.61</v>
      </c>
      <c r="R149" s="3">
        <v>23649.61</v>
      </c>
      <c r="S149" s="3">
        <v>23649.61</v>
      </c>
      <c r="T149" s="3">
        <v>23649.61</v>
      </c>
      <c r="U149" s="3">
        <v>23649.61</v>
      </c>
      <c r="V149" s="3">
        <v>23649.61</v>
      </c>
      <c r="W149" s="3">
        <v>23649.61</v>
      </c>
      <c r="X149" s="3">
        <v>23649.61</v>
      </c>
      <c r="Y149" s="3">
        <v>23649.61</v>
      </c>
      <c r="Z149" s="3">
        <v>283795.31999999995</v>
      </c>
    </row>
    <row r="150" spans="1:26" hidden="1" x14ac:dyDescent="0.3">
      <c r="A150" s="2" t="s">
        <v>467</v>
      </c>
      <c r="B150" s="2" t="s">
        <v>239</v>
      </c>
      <c r="C150" s="2" t="s">
        <v>239</v>
      </c>
      <c r="D150" s="2" t="s">
        <v>151</v>
      </c>
      <c r="E150" s="2" t="s">
        <v>151</v>
      </c>
      <c r="F150" s="2" t="s">
        <v>53</v>
      </c>
      <c r="G150" s="2" t="s">
        <v>53</v>
      </c>
      <c r="H150" s="2" t="s">
        <v>54</v>
      </c>
      <c r="I150" s="2" t="s">
        <v>54</v>
      </c>
      <c r="J150" s="2" t="s">
        <v>247</v>
      </c>
      <c r="K150" s="2" t="s">
        <v>248</v>
      </c>
      <c r="L150" s="2" t="s">
        <v>56</v>
      </c>
      <c r="M150" s="2" t="s">
        <v>72</v>
      </c>
      <c r="N150" s="3">
        <v>4013.27</v>
      </c>
      <c r="O150" s="3">
        <v>4013.27</v>
      </c>
      <c r="P150" s="3">
        <v>4013.27</v>
      </c>
      <c r="Q150" s="3">
        <v>4013.27</v>
      </c>
      <c r="R150" s="3">
        <v>4013.27</v>
      </c>
      <c r="S150" s="3">
        <v>4013.27</v>
      </c>
      <c r="T150" s="3">
        <v>4013.27</v>
      </c>
      <c r="U150" s="3">
        <v>4013.27</v>
      </c>
      <c r="V150" s="3">
        <v>4013.27</v>
      </c>
      <c r="W150" s="3">
        <v>4013.27</v>
      </c>
      <c r="X150" s="3">
        <v>4013.27</v>
      </c>
      <c r="Y150" s="3">
        <v>4013.27</v>
      </c>
      <c r="Z150" s="3">
        <v>48159.239999999991</v>
      </c>
    </row>
    <row r="151" spans="1:26" hidden="1" x14ac:dyDescent="0.3">
      <c r="A151" s="2" t="s">
        <v>467</v>
      </c>
      <c r="B151" s="2" t="s">
        <v>239</v>
      </c>
      <c r="C151" s="2" t="s">
        <v>239</v>
      </c>
      <c r="D151" s="2" t="s">
        <v>82</v>
      </c>
      <c r="E151" s="2" t="s">
        <v>82</v>
      </c>
      <c r="F151" s="2" t="s">
        <v>53</v>
      </c>
      <c r="G151" s="2" t="s">
        <v>53</v>
      </c>
      <c r="H151" s="2" t="s">
        <v>54</v>
      </c>
      <c r="I151" s="2" t="s">
        <v>54</v>
      </c>
      <c r="J151" s="2" t="s">
        <v>249</v>
      </c>
      <c r="K151" s="2" t="s">
        <v>250</v>
      </c>
      <c r="L151" s="2" t="s">
        <v>56</v>
      </c>
      <c r="M151" s="2" t="s">
        <v>72</v>
      </c>
      <c r="N151" s="3">
        <v>14333.1</v>
      </c>
      <c r="O151" s="3">
        <v>14333.1</v>
      </c>
      <c r="P151" s="3">
        <v>14333.1</v>
      </c>
      <c r="Q151" s="3">
        <v>14333.1</v>
      </c>
      <c r="R151" s="3">
        <v>14333.1</v>
      </c>
      <c r="S151" s="3">
        <v>14333.1</v>
      </c>
      <c r="T151" s="3">
        <v>14333.1</v>
      </c>
      <c r="U151" s="3">
        <v>14333.1</v>
      </c>
      <c r="V151" s="3">
        <v>14333.1</v>
      </c>
      <c r="W151" s="3">
        <v>14333.1</v>
      </c>
      <c r="X151" s="3">
        <v>14333.1</v>
      </c>
      <c r="Y151" s="3">
        <v>14333.1</v>
      </c>
      <c r="Z151" s="3">
        <v>171997.20000000004</v>
      </c>
    </row>
    <row r="152" spans="1:26" hidden="1" x14ac:dyDescent="0.3">
      <c r="A152" s="2" t="s">
        <v>467</v>
      </c>
      <c r="B152" s="2" t="s">
        <v>239</v>
      </c>
      <c r="C152" s="2" t="s">
        <v>239</v>
      </c>
      <c r="D152" s="2" t="s">
        <v>151</v>
      </c>
      <c r="E152" s="2" t="s">
        <v>151</v>
      </c>
      <c r="F152" s="2" t="s">
        <v>53</v>
      </c>
      <c r="G152" s="2" t="s">
        <v>53</v>
      </c>
      <c r="H152" s="2" t="s">
        <v>54</v>
      </c>
      <c r="I152" s="2" t="s">
        <v>54</v>
      </c>
      <c r="J152" s="2" t="s">
        <v>251</v>
      </c>
      <c r="K152" s="2" t="s">
        <v>252</v>
      </c>
      <c r="L152" s="2" t="s">
        <v>56</v>
      </c>
      <c r="M152" s="2" t="s">
        <v>72</v>
      </c>
      <c r="N152" s="3">
        <v>24366.26</v>
      </c>
      <c r="O152" s="3">
        <v>24366.26</v>
      </c>
      <c r="P152" s="3">
        <v>24366.26</v>
      </c>
      <c r="Q152" s="3">
        <v>24366.26</v>
      </c>
      <c r="R152" s="3">
        <v>24366.26</v>
      </c>
      <c r="S152" s="3">
        <v>24366.26</v>
      </c>
      <c r="T152" s="3">
        <v>24366.26</v>
      </c>
      <c r="U152" s="3">
        <v>24366.26</v>
      </c>
      <c r="V152" s="3">
        <v>24366.26</v>
      </c>
      <c r="W152" s="3">
        <v>24366.26</v>
      </c>
      <c r="X152" s="3">
        <v>24366.26</v>
      </c>
      <c r="Y152" s="3">
        <v>24366.26</v>
      </c>
      <c r="Z152" s="3">
        <v>292395.12000000005</v>
      </c>
    </row>
    <row r="153" spans="1:26" hidden="1" x14ac:dyDescent="0.3">
      <c r="A153" s="2" t="s">
        <v>467</v>
      </c>
      <c r="B153" s="2" t="s">
        <v>239</v>
      </c>
      <c r="C153" s="2" t="s">
        <v>239</v>
      </c>
      <c r="D153" s="2" t="s">
        <v>151</v>
      </c>
      <c r="E153" s="2" t="s">
        <v>151</v>
      </c>
      <c r="F153" s="2" t="s">
        <v>53</v>
      </c>
      <c r="G153" s="2" t="s">
        <v>53</v>
      </c>
      <c r="H153" s="2" t="s">
        <v>54</v>
      </c>
      <c r="I153" s="2" t="s">
        <v>54</v>
      </c>
      <c r="J153" s="2" t="s">
        <v>253</v>
      </c>
      <c r="K153" s="2" t="s">
        <v>254</v>
      </c>
      <c r="L153" s="2" t="s">
        <v>56</v>
      </c>
      <c r="M153" s="2" t="s">
        <v>72</v>
      </c>
      <c r="N153" s="3">
        <v>4299.93</v>
      </c>
      <c r="O153" s="3">
        <v>4299.93</v>
      </c>
      <c r="P153" s="3">
        <v>4299.93</v>
      </c>
      <c r="Q153" s="3">
        <v>4299.93</v>
      </c>
      <c r="R153" s="3">
        <v>4299.93</v>
      </c>
      <c r="S153" s="3">
        <v>4299.93</v>
      </c>
      <c r="T153" s="3">
        <v>4299.93</v>
      </c>
      <c r="U153" s="3">
        <v>4299.93</v>
      </c>
      <c r="V153" s="3">
        <v>4299.93</v>
      </c>
      <c r="W153" s="3">
        <v>4299.93</v>
      </c>
      <c r="X153" s="3">
        <v>4299.93</v>
      </c>
      <c r="Y153" s="3">
        <v>4299.93</v>
      </c>
      <c r="Z153" s="3">
        <v>51599.16</v>
      </c>
    </row>
    <row r="154" spans="1:26" hidden="1" x14ac:dyDescent="0.3">
      <c r="A154" s="2" t="s">
        <v>467</v>
      </c>
      <c r="B154" s="2" t="s">
        <v>239</v>
      </c>
      <c r="C154" s="2" t="s">
        <v>239</v>
      </c>
      <c r="D154" s="2" t="s">
        <v>82</v>
      </c>
      <c r="E154" s="2" t="s">
        <v>82</v>
      </c>
      <c r="F154" s="2" t="s">
        <v>53</v>
      </c>
      <c r="G154" s="2" t="s">
        <v>53</v>
      </c>
      <c r="H154" s="2" t="s">
        <v>54</v>
      </c>
      <c r="I154" s="2" t="s">
        <v>54</v>
      </c>
      <c r="J154" s="2" t="s">
        <v>255</v>
      </c>
      <c r="K154" s="2" t="s">
        <v>256</v>
      </c>
      <c r="L154" s="2" t="s">
        <v>56</v>
      </c>
      <c r="M154" s="2" t="s">
        <v>72</v>
      </c>
      <c r="N154" s="3">
        <v>551.82000000000005</v>
      </c>
      <c r="O154" s="3">
        <v>551.82000000000005</v>
      </c>
      <c r="P154" s="3">
        <v>551.82000000000005</v>
      </c>
      <c r="Q154" s="3">
        <v>551.82000000000005</v>
      </c>
      <c r="R154" s="3">
        <v>551.82000000000005</v>
      </c>
      <c r="S154" s="3">
        <v>551.82000000000005</v>
      </c>
      <c r="T154" s="3">
        <v>551.82000000000005</v>
      </c>
      <c r="U154" s="3">
        <v>551.82000000000005</v>
      </c>
      <c r="V154" s="3">
        <v>551.82000000000005</v>
      </c>
      <c r="W154" s="3">
        <v>551.82000000000005</v>
      </c>
      <c r="X154" s="3">
        <v>551.82000000000005</v>
      </c>
      <c r="Y154" s="3">
        <v>551.82000000000005</v>
      </c>
      <c r="Z154" s="3">
        <v>6621.8399999999992</v>
      </c>
    </row>
    <row r="155" spans="1:26" hidden="1" x14ac:dyDescent="0.3">
      <c r="A155" s="2" t="s">
        <v>467</v>
      </c>
      <c r="B155" s="2" t="s">
        <v>239</v>
      </c>
      <c r="C155" s="2" t="s">
        <v>239</v>
      </c>
      <c r="D155" s="2" t="s">
        <v>151</v>
      </c>
      <c r="E155" s="2" t="s">
        <v>151</v>
      </c>
      <c r="F155" s="2" t="s">
        <v>53</v>
      </c>
      <c r="G155" s="2" t="s">
        <v>53</v>
      </c>
      <c r="H155" s="2" t="s">
        <v>54</v>
      </c>
      <c r="I155" s="2" t="s">
        <v>54</v>
      </c>
      <c r="J155" s="2" t="s">
        <v>257</v>
      </c>
      <c r="K155" s="2" t="s">
        <v>256</v>
      </c>
      <c r="L155" s="2" t="s">
        <v>56</v>
      </c>
      <c r="M155" s="2" t="s">
        <v>72</v>
      </c>
      <c r="N155" s="3">
        <v>7166.55</v>
      </c>
      <c r="O155" s="3">
        <v>7166.55</v>
      </c>
      <c r="P155" s="3">
        <v>7166.55</v>
      </c>
      <c r="Q155" s="3">
        <v>7166.55</v>
      </c>
      <c r="R155" s="3">
        <v>7166.55</v>
      </c>
      <c r="S155" s="3">
        <v>7166.55</v>
      </c>
      <c r="T155" s="3">
        <v>7166.55</v>
      </c>
      <c r="U155" s="3">
        <v>7166.55</v>
      </c>
      <c r="V155" s="3">
        <v>7166.55</v>
      </c>
      <c r="W155" s="3">
        <v>7166.55</v>
      </c>
      <c r="X155" s="3">
        <v>7166.55</v>
      </c>
      <c r="Y155" s="3">
        <v>7166.55</v>
      </c>
      <c r="Z155" s="3">
        <v>85998.60000000002</v>
      </c>
    </row>
    <row r="156" spans="1:26" hidden="1" x14ac:dyDescent="0.3">
      <c r="A156" s="2" t="s">
        <v>467</v>
      </c>
      <c r="B156" s="2" t="s">
        <v>239</v>
      </c>
      <c r="C156" s="2" t="s">
        <v>239</v>
      </c>
      <c r="D156" s="2" t="s">
        <v>82</v>
      </c>
      <c r="E156" s="2" t="s">
        <v>82</v>
      </c>
      <c r="F156" s="2" t="s">
        <v>53</v>
      </c>
      <c r="G156" s="2" t="s">
        <v>53</v>
      </c>
      <c r="H156" s="2" t="s">
        <v>54</v>
      </c>
      <c r="I156" s="2" t="s">
        <v>54</v>
      </c>
      <c r="J156" s="2" t="s">
        <v>258</v>
      </c>
      <c r="K156" s="2" t="s">
        <v>259</v>
      </c>
      <c r="L156" s="2" t="s">
        <v>56</v>
      </c>
      <c r="M156" s="2" t="s">
        <v>72</v>
      </c>
      <c r="N156" s="3">
        <v>5733.24</v>
      </c>
      <c r="O156" s="3">
        <v>5733.24</v>
      </c>
      <c r="P156" s="3">
        <v>5733.24</v>
      </c>
      <c r="Q156" s="3">
        <v>5733.24</v>
      </c>
      <c r="R156" s="3">
        <v>5733.24</v>
      </c>
      <c r="S156" s="3">
        <v>5733.24</v>
      </c>
      <c r="T156" s="3">
        <v>5733.24</v>
      </c>
      <c r="U156" s="3">
        <v>5733.24</v>
      </c>
      <c r="V156" s="3">
        <v>5733.24</v>
      </c>
      <c r="W156" s="3">
        <v>5733.24</v>
      </c>
      <c r="X156" s="3">
        <v>5733.24</v>
      </c>
      <c r="Y156" s="3">
        <v>5733.24</v>
      </c>
      <c r="Z156" s="3">
        <v>68798.87999999999</v>
      </c>
    </row>
    <row r="157" spans="1:26" hidden="1" x14ac:dyDescent="0.3">
      <c r="A157" s="2" t="s">
        <v>467</v>
      </c>
      <c r="B157" s="2" t="s">
        <v>239</v>
      </c>
      <c r="C157" s="2" t="s">
        <v>239</v>
      </c>
      <c r="D157" s="2" t="s">
        <v>82</v>
      </c>
      <c r="E157" s="2" t="s">
        <v>82</v>
      </c>
      <c r="F157" s="2" t="s">
        <v>53</v>
      </c>
      <c r="G157" s="2" t="s">
        <v>53</v>
      </c>
      <c r="H157" s="2" t="s">
        <v>54</v>
      </c>
      <c r="I157" s="2" t="s">
        <v>54</v>
      </c>
      <c r="J157" s="2" t="s">
        <v>260</v>
      </c>
      <c r="K157" s="2" t="s">
        <v>261</v>
      </c>
      <c r="L157" s="2" t="s">
        <v>56</v>
      </c>
      <c r="M157" s="2" t="s">
        <v>72</v>
      </c>
      <c r="N157" s="3">
        <v>3153.28</v>
      </c>
      <c r="O157" s="3">
        <v>3153.28</v>
      </c>
      <c r="P157" s="3">
        <v>3153.28</v>
      </c>
      <c r="Q157" s="3">
        <v>3153.28</v>
      </c>
      <c r="R157" s="3">
        <v>3153.28</v>
      </c>
      <c r="S157" s="3">
        <v>3153.28</v>
      </c>
      <c r="T157" s="3">
        <v>3153.28</v>
      </c>
      <c r="U157" s="3">
        <v>3153.28</v>
      </c>
      <c r="V157" s="3">
        <v>3153.28</v>
      </c>
      <c r="W157" s="3">
        <v>3153.28</v>
      </c>
      <c r="X157" s="3">
        <v>3153.28</v>
      </c>
      <c r="Y157" s="3">
        <v>3153.28</v>
      </c>
      <c r="Z157" s="3">
        <v>37839.359999999993</v>
      </c>
    </row>
    <row r="158" spans="1:26" hidden="1" x14ac:dyDescent="0.3">
      <c r="A158" s="2" t="s">
        <v>467</v>
      </c>
      <c r="B158" s="2" t="s">
        <v>239</v>
      </c>
      <c r="C158" s="2" t="s">
        <v>239</v>
      </c>
      <c r="D158" s="2" t="s">
        <v>82</v>
      </c>
      <c r="E158" s="2" t="s">
        <v>82</v>
      </c>
      <c r="F158" s="2" t="s">
        <v>53</v>
      </c>
      <c r="G158" s="2" t="s">
        <v>53</v>
      </c>
      <c r="H158" s="2" t="s">
        <v>54</v>
      </c>
      <c r="I158" s="2" t="s">
        <v>54</v>
      </c>
      <c r="J158" s="2" t="s">
        <v>262</v>
      </c>
      <c r="K158" s="2" t="s">
        <v>263</v>
      </c>
      <c r="L158" s="2" t="s">
        <v>56</v>
      </c>
      <c r="M158" s="2" t="s">
        <v>72</v>
      </c>
      <c r="N158" s="3">
        <v>6091.57</v>
      </c>
      <c r="O158" s="3">
        <v>6091.57</v>
      </c>
      <c r="P158" s="3">
        <v>6091.57</v>
      </c>
      <c r="Q158" s="3">
        <v>6091.57</v>
      </c>
      <c r="R158" s="3">
        <v>6091.57</v>
      </c>
      <c r="S158" s="3">
        <v>6091.57</v>
      </c>
      <c r="T158" s="3">
        <v>6091.57</v>
      </c>
      <c r="U158" s="3">
        <v>6091.57</v>
      </c>
      <c r="V158" s="3">
        <v>6091.57</v>
      </c>
      <c r="W158" s="3">
        <v>6091.57</v>
      </c>
      <c r="X158" s="3">
        <v>6091.57</v>
      </c>
      <c r="Y158" s="3">
        <v>6091.57</v>
      </c>
      <c r="Z158" s="3">
        <v>73098.84</v>
      </c>
    </row>
    <row r="159" spans="1:26" hidden="1" x14ac:dyDescent="0.3">
      <c r="A159" s="2" t="s">
        <v>467</v>
      </c>
      <c r="B159" s="2" t="s">
        <v>239</v>
      </c>
      <c r="C159" s="2" t="s">
        <v>239</v>
      </c>
      <c r="D159" s="2" t="s">
        <v>151</v>
      </c>
      <c r="E159" s="2" t="s">
        <v>151</v>
      </c>
      <c r="F159" s="2" t="s">
        <v>53</v>
      </c>
      <c r="G159" s="2" t="s">
        <v>53</v>
      </c>
      <c r="H159" s="2" t="s">
        <v>54</v>
      </c>
      <c r="I159" s="2" t="s">
        <v>54</v>
      </c>
      <c r="J159" s="2" t="s">
        <v>264</v>
      </c>
      <c r="K159" s="2" t="s">
        <v>265</v>
      </c>
      <c r="L159" s="2" t="s">
        <v>56</v>
      </c>
      <c r="M159" s="2" t="s">
        <v>72</v>
      </c>
      <c r="N159" s="3">
        <v>11036.48</v>
      </c>
      <c r="O159" s="3">
        <v>11036.48</v>
      </c>
      <c r="P159" s="3">
        <v>11036.48</v>
      </c>
      <c r="Q159" s="3">
        <v>11036.48</v>
      </c>
      <c r="R159" s="3">
        <v>11036.48</v>
      </c>
      <c r="S159" s="3">
        <v>11036.48</v>
      </c>
      <c r="T159" s="3">
        <v>11036.48</v>
      </c>
      <c r="U159" s="3">
        <v>11036.48</v>
      </c>
      <c r="V159" s="3">
        <v>11036.48</v>
      </c>
      <c r="W159" s="3">
        <v>11036.48</v>
      </c>
      <c r="X159" s="3">
        <v>11036.48</v>
      </c>
      <c r="Y159" s="3">
        <v>11036.48</v>
      </c>
      <c r="Z159" s="3">
        <v>132437.75999999998</v>
      </c>
    </row>
    <row r="160" spans="1:26" hidden="1" x14ac:dyDescent="0.3">
      <c r="A160" s="2" t="s">
        <v>467</v>
      </c>
      <c r="B160" s="2" t="s">
        <v>239</v>
      </c>
      <c r="C160" s="2" t="s">
        <v>239</v>
      </c>
      <c r="D160" s="2" t="s">
        <v>217</v>
      </c>
      <c r="E160" s="2" t="s">
        <v>217</v>
      </c>
      <c r="F160" s="2" t="s">
        <v>53</v>
      </c>
      <c r="G160" s="2" t="s">
        <v>53</v>
      </c>
      <c r="H160" s="2" t="s">
        <v>54</v>
      </c>
      <c r="I160" s="2" t="s">
        <v>54</v>
      </c>
      <c r="J160" s="2" t="s">
        <v>266</v>
      </c>
      <c r="K160" s="2" t="s">
        <v>267</v>
      </c>
      <c r="L160" s="2" t="s">
        <v>56</v>
      </c>
      <c r="M160" s="2" t="s">
        <v>72</v>
      </c>
      <c r="N160" s="3">
        <v>3153.28</v>
      </c>
      <c r="O160" s="3">
        <v>3153.28</v>
      </c>
      <c r="P160" s="3">
        <v>3153.28</v>
      </c>
      <c r="Q160" s="3">
        <v>3153.28</v>
      </c>
      <c r="R160" s="3">
        <v>3153.28</v>
      </c>
      <c r="S160" s="3">
        <v>3153.28</v>
      </c>
      <c r="T160" s="3">
        <v>3153.28</v>
      </c>
      <c r="U160" s="3">
        <v>3153.28</v>
      </c>
      <c r="V160" s="3">
        <v>3153.28</v>
      </c>
      <c r="W160" s="3">
        <v>3153.28</v>
      </c>
      <c r="X160" s="3">
        <v>3153.28</v>
      </c>
      <c r="Y160" s="3">
        <v>3153.28</v>
      </c>
      <c r="Z160" s="3">
        <v>37839.359999999993</v>
      </c>
    </row>
    <row r="161" spans="1:26" hidden="1" x14ac:dyDescent="0.3">
      <c r="A161" s="2" t="s">
        <v>467</v>
      </c>
      <c r="B161" s="2" t="s">
        <v>239</v>
      </c>
      <c r="C161" s="2" t="s">
        <v>239</v>
      </c>
      <c r="D161" s="2" t="s">
        <v>217</v>
      </c>
      <c r="E161" s="2" t="s">
        <v>217</v>
      </c>
      <c r="F161" s="2" t="s">
        <v>53</v>
      </c>
      <c r="G161" s="2" t="s">
        <v>53</v>
      </c>
      <c r="H161" s="2" t="s">
        <v>54</v>
      </c>
      <c r="I161" s="2" t="s">
        <v>54</v>
      </c>
      <c r="J161" s="2" t="s">
        <v>268</v>
      </c>
      <c r="K161" s="2" t="s">
        <v>237</v>
      </c>
      <c r="L161" s="2" t="s">
        <v>56</v>
      </c>
      <c r="M161" s="2" t="s">
        <v>72</v>
      </c>
      <c r="N161" s="3">
        <v>20782.990000000002</v>
      </c>
      <c r="O161" s="3">
        <v>20782.990000000002</v>
      </c>
      <c r="P161" s="3">
        <v>20782.990000000002</v>
      </c>
      <c r="Q161" s="3">
        <v>20782.990000000002</v>
      </c>
      <c r="R161" s="3">
        <v>20782.990000000002</v>
      </c>
      <c r="S161" s="3">
        <v>20782.990000000002</v>
      </c>
      <c r="T161" s="3">
        <v>20782.990000000002</v>
      </c>
      <c r="U161" s="3">
        <v>20782.990000000002</v>
      </c>
      <c r="V161" s="3">
        <v>20782.990000000002</v>
      </c>
      <c r="W161" s="3">
        <v>20782.990000000002</v>
      </c>
      <c r="X161" s="3">
        <v>20782.990000000002</v>
      </c>
      <c r="Y161" s="3">
        <v>20782.990000000002</v>
      </c>
      <c r="Z161" s="3">
        <v>249395.87999999998</v>
      </c>
    </row>
    <row r="162" spans="1:26" hidden="1" x14ac:dyDescent="0.3">
      <c r="A162" s="2" t="s">
        <v>467</v>
      </c>
      <c r="B162" s="2" t="s">
        <v>239</v>
      </c>
      <c r="C162" s="2" t="s">
        <v>239</v>
      </c>
      <c r="D162" s="2" t="s">
        <v>82</v>
      </c>
      <c r="E162" s="2" t="s">
        <v>82</v>
      </c>
      <c r="F162" s="2" t="s">
        <v>53</v>
      </c>
      <c r="G162" s="2" t="s">
        <v>53</v>
      </c>
      <c r="H162" s="2" t="s">
        <v>54</v>
      </c>
      <c r="I162" s="2" t="s">
        <v>54</v>
      </c>
      <c r="J162" s="2" t="s">
        <v>269</v>
      </c>
      <c r="K162" s="2" t="s">
        <v>270</v>
      </c>
      <c r="L162" s="2" t="s">
        <v>56</v>
      </c>
      <c r="M162" s="2" t="s">
        <v>72</v>
      </c>
      <c r="N162" s="3">
        <v>10835.82</v>
      </c>
      <c r="O162" s="3">
        <v>10835.82</v>
      </c>
      <c r="P162" s="3">
        <v>10835.82</v>
      </c>
      <c r="Q162" s="3">
        <v>10835.82</v>
      </c>
      <c r="R162" s="3">
        <v>10835.82</v>
      </c>
      <c r="S162" s="3">
        <v>10835.82</v>
      </c>
      <c r="T162" s="3">
        <v>10835.82</v>
      </c>
      <c r="U162" s="3">
        <v>10835.82</v>
      </c>
      <c r="V162" s="3">
        <v>10835.82</v>
      </c>
      <c r="W162" s="3">
        <v>10835.82</v>
      </c>
      <c r="X162" s="3">
        <v>10835.82</v>
      </c>
      <c r="Y162" s="3">
        <v>10835.82</v>
      </c>
      <c r="Z162" s="3">
        <v>130029.84000000003</v>
      </c>
    </row>
    <row r="163" spans="1:26" hidden="1" x14ac:dyDescent="0.3">
      <c r="A163" s="2" t="s">
        <v>467</v>
      </c>
      <c r="B163" s="2" t="s">
        <v>271</v>
      </c>
      <c r="C163" s="2" t="s">
        <v>271</v>
      </c>
      <c r="D163" s="2" t="s">
        <v>151</v>
      </c>
      <c r="E163" s="2" t="s">
        <v>151</v>
      </c>
      <c r="F163" s="2" t="s">
        <v>53</v>
      </c>
      <c r="G163" s="2" t="s">
        <v>53</v>
      </c>
      <c r="H163" s="2" t="s">
        <v>767</v>
      </c>
      <c r="I163" s="2" t="s">
        <v>767</v>
      </c>
      <c r="J163" s="2" t="s">
        <v>278</v>
      </c>
      <c r="K163" s="2" t="s">
        <v>273</v>
      </c>
      <c r="L163" s="2" t="s">
        <v>56</v>
      </c>
      <c r="M163" s="2" t="s">
        <v>57</v>
      </c>
      <c r="N163" s="3">
        <v>-1191.8800000000001</v>
      </c>
      <c r="O163" s="3">
        <v>-1191.8800000000001</v>
      </c>
      <c r="P163" s="3">
        <v>-1191.8800000000001</v>
      </c>
      <c r="Q163" s="3">
        <v>-1191.8800000000001</v>
      </c>
      <c r="R163" s="3">
        <v>-1191.8800000000001</v>
      </c>
      <c r="S163" s="3">
        <v>-1191.8800000000001</v>
      </c>
      <c r="T163" s="3">
        <v>-1191.8800000000001</v>
      </c>
      <c r="U163" s="3">
        <v>-1191.8800000000001</v>
      </c>
      <c r="V163" s="3">
        <v>-1191.8800000000001</v>
      </c>
      <c r="W163" s="3">
        <v>-1191.8800000000001</v>
      </c>
      <c r="X163" s="3">
        <v>-1191.8800000000001</v>
      </c>
      <c r="Y163" s="3">
        <v>-1191.8800000000001</v>
      </c>
      <c r="Z163" s="3">
        <v>-14302.560000000005</v>
      </c>
    </row>
    <row r="164" spans="1:26" hidden="1" x14ac:dyDescent="0.3">
      <c r="A164" s="2" t="s">
        <v>467</v>
      </c>
      <c r="B164" s="2" t="s">
        <v>271</v>
      </c>
      <c r="C164" s="2" t="s">
        <v>271</v>
      </c>
      <c r="D164" s="2" t="s">
        <v>151</v>
      </c>
      <c r="E164" s="2" t="s">
        <v>151</v>
      </c>
      <c r="F164" s="2" t="s">
        <v>53</v>
      </c>
      <c r="G164" s="2" t="s">
        <v>53</v>
      </c>
      <c r="H164" s="2" t="s">
        <v>54</v>
      </c>
      <c r="I164" s="2" t="s">
        <v>54</v>
      </c>
      <c r="J164" s="2" t="s">
        <v>272</v>
      </c>
      <c r="K164" s="2" t="s">
        <v>273</v>
      </c>
      <c r="L164" s="2" t="s">
        <v>56</v>
      </c>
      <c r="M164" s="2" t="s">
        <v>57</v>
      </c>
      <c r="N164" s="3">
        <v>2316</v>
      </c>
      <c r="O164" s="3">
        <v>2316</v>
      </c>
      <c r="P164" s="3">
        <v>2316</v>
      </c>
      <c r="Q164" s="3">
        <v>2316</v>
      </c>
      <c r="R164" s="3">
        <v>2316</v>
      </c>
      <c r="S164" s="3">
        <v>2316</v>
      </c>
      <c r="T164" s="3">
        <v>2316</v>
      </c>
      <c r="U164" s="3">
        <v>2316</v>
      </c>
      <c r="V164" s="3">
        <v>2316</v>
      </c>
      <c r="W164" s="3">
        <v>2316</v>
      </c>
      <c r="X164" s="3">
        <v>2316</v>
      </c>
      <c r="Y164" s="3">
        <v>2316</v>
      </c>
      <c r="Z164" s="3">
        <v>27792</v>
      </c>
    </row>
    <row r="165" spans="1:26" hidden="1" x14ac:dyDescent="0.3">
      <c r="A165" s="2" t="s">
        <v>467</v>
      </c>
      <c r="B165" s="2" t="s">
        <v>271</v>
      </c>
      <c r="C165" s="2" t="s">
        <v>271</v>
      </c>
      <c r="D165" s="2" t="s">
        <v>200</v>
      </c>
      <c r="E165" s="2" t="s">
        <v>200</v>
      </c>
      <c r="F165" s="2" t="s">
        <v>53</v>
      </c>
      <c r="G165" s="2" t="s">
        <v>53</v>
      </c>
      <c r="H165" s="2" t="s">
        <v>767</v>
      </c>
      <c r="I165" s="2" t="s">
        <v>767</v>
      </c>
      <c r="J165" s="2" t="s">
        <v>295</v>
      </c>
      <c r="K165" s="2" t="s">
        <v>285</v>
      </c>
      <c r="L165" s="2" t="s">
        <v>56</v>
      </c>
      <c r="M165" s="2" t="s">
        <v>57</v>
      </c>
      <c r="N165" s="3">
        <v>-918.62</v>
      </c>
      <c r="O165" s="3">
        <v>-918.62</v>
      </c>
      <c r="P165" s="3">
        <v>-918.62</v>
      </c>
      <c r="Q165" s="3">
        <v>-918.62</v>
      </c>
      <c r="R165" s="3">
        <v>-918.62</v>
      </c>
      <c r="S165" s="3">
        <v>-918.62</v>
      </c>
      <c r="T165" s="3">
        <v>-918.62</v>
      </c>
      <c r="U165" s="3">
        <v>-918.62</v>
      </c>
      <c r="V165" s="3">
        <v>-918.62</v>
      </c>
      <c r="W165" s="3">
        <v>-918.62</v>
      </c>
      <c r="X165" s="3">
        <v>-918.62</v>
      </c>
      <c r="Y165" s="3">
        <v>-918.62</v>
      </c>
      <c r="Z165" s="3">
        <v>-11023.440000000002</v>
      </c>
    </row>
    <row r="166" spans="1:26" hidden="1" x14ac:dyDescent="0.3">
      <c r="A166" s="2" t="s">
        <v>467</v>
      </c>
      <c r="B166" s="2" t="s">
        <v>271</v>
      </c>
      <c r="C166" s="2" t="s">
        <v>271</v>
      </c>
      <c r="D166" s="2" t="s">
        <v>82</v>
      </c>
      <c r="E166" s="2" t="s">
        <v>82</v>
      </c>
      <c r="F166" s="2" t="s">
        <v>53</v>
      </c>
      <c r="G166" s="2" t="s">
        <v>53</v>
      </c>
      <c r="H166" s="2" t="s">
        <v>767</v>
      </c>
      <c r="I166" s="2" t="s">
        <v>767</v>
      </c>
      <c r="J166" s="2" t="s">
        <v>779</v>
      </c>
      <c r="K166" s="2" t="s">
        <v>285</v>
      </c>
      <c r="L166" s="2" t="s">
        <v>56</v>
      </c>
      <c r="M166" s="2" t="s">
        <v>57</v>
      </c>
      <c r="N166" s="3">
        <v>0</v>
      </c>
      <c r="O166" s="3">
        <v>0</v>
      </c>
      <c r="P166" s="3">
        <v>0</v>
      </c>
      <c r="Q166" s="3">
        <v>0</v>
      </c>
      <c r="R166" s="3">
        <v>0</v>
      </c>
      <c r="S166" s="3">
        <v>0</v>
      </c>
      <c r="T166" s="3">
        <v>0</v>
      </c>
      <c r="U166" s="3">
        <v>-10988.55</v>
      </c>
      <c r="V166" s="3">
        <v>-10988.55</v>
      </c>
      <c r="W166" s="3">
        <v>-10988.55</v>
      </c>
      <c r="X166" s="3">
        <v>-10988.55</v>
      </c>
      <c r="Y166" s="3">
        <v>-10988.55</v>
      </c>
      <c r="Z166" s="3">
        <v>-54942.75</v>
      </c>
    </row>
    <row r="167" spans="1:26" hidden="1" x14ac:dyDescent="0.3">
      <c r="A167" s="2" t="s">
        <v>467</v>
      </c>
      <c r="B167" s="2" t="s">
        <v>271</v>
      </c>
      <c r="C167" s="2" t="s">
        <v>271</v>
      </c>
      <c r="D167" s="2" t="s">
        <v>82</v>
      </c>
      <c r="E167" s="2" t="s">
        <v>82</v>
      </c>
      <c r="F167" s="2" t="s">
        <v>53</v>
      </c>
      <c r="G167" s="2" t="s">
        <v>53</v>
      </c>
      <c r="H167" s="2" t="s">
        <v>767</v>
      </c>
      <c r="I167" s="2" t="s">
        <v>767</v>
      </c>
      <c r="J167" s="2" t="s">
        <v>780</v>
      </c>
      <c r="K167" s="2" t="s">
        <v>285</v>
      </c>
      <c r="L167" s="2" t="s">
        <v>56</v>
      </c>
      <c r="M167" s="2" t="s">
        <v>57</v>
      </c>
      <c r="N167" s="3">
        <v>0</v>
      </c>
      <c r="O167" s="3">
        <v>0</v>
      </c>
      <c r="P167" s="3">
        <v>0</v>
      </c>
      <c r="Q167" s="3">
        <v>0</v>
      </c>
      <c r="R167" s="3">
        <v>0</v>
      </c>
      <c r="S167" s="3">
        <v>0</v>
      </c>
      <c r="T167" s="3">
        <v>0</v>
      </c>
      <c r="U167" s="3">
        <v>-551.16999999999996</v>
      </c>
      <c r="V167" s="3">
        <v>-552.33000000000004</v>
      </c>
      <c r="W167" s="3">
        <v>-552.33000000000004</v>
      </c>
      <c r="X167" s="3">
        <v>-552.33000000000004</v>
      </c>
      <c r="Y167" s="3">
        <v>-552.33000000000004</v>
      </c>
      <c r="Z167" s="3">
        <v>-2760.49</v>
      </c>
    </row>
    <row r="168" spans="1:26" hidden="1" x14ac:dyDescent="0.3">
      <c r="A168" s="2" t="s">
        <v>467</v>
      </c>
      <c r="B168" s="2" t="s">
        <v>271</v>
      </c>
      <c r="C168" s="2" t="s">
        <v>271</v>
      </c>
      <c r="D168" s="2" t="s">
        <v>82</v>
      </c>
      <c r="E168" s="2" t="s">
        <v>82</v>
      </c>
      <c r="F168" s="2" t="s">
        <v>53</v>
      </c>
      <c r="G168" s="2" t="s">
        <v>53</v>
      </c>
      <c r="H168" s="2" t="s">
        <v>767</v>
      </c>
      <c r="I168" s="2" t="s">
        <v>767</v>
      </c>
      <c r="J168" s="2" t="s">
        <v>781</v>
      </c>
      <c r="K168" s="2" t="s">
        <v>285</v>
      </c>
      <c r="L168" s="2" t="s">
        <v>56</v>
      </c>
      <c r="M168" s="2" t="s">
        <v>57</v>
      </c>
      <c r="N168" s="3">
        <v>0</v>
      </c>
      <c r="O168" s="3">
        <v>0</v>
      </c>
      <c r="P168" s="3">
        <v>0</v>
      </c>
      <c r="Q168" s="3">
        <v>0</v>
      </c>
      <c r="R168" s="3">
        <v>0</v>
      </c>
      <c r="S168" s="3">
        <v>0</v>
      </c>
      <c r="T168" s="3">
        <v>0</v>
      </c>
      <c r="U168" s="3">
        <v>-14139.77</v>
      </c>
      <c r="V168" s="3">
        <v>-14139.77</v>
      </c>
      <c r="W168" s="3">
        <v>-14139.77</v>
      </c>
      <c r="X168" s="3">
        <v>-14139.77</v>
      </c>
      <c r="Y168" s="3">
        <v>-14139.77</v>
      </c>
      <c r="Z168" s="3">
        <v>-70698.850000000006</v>
      </c>
    </row>
    <row r="169" spans="1:26" hidden="1" x14ac:dyDescent="0.3">
      <c r="A169" s="2" t="s">
        <v>467</v>
      </c>
      <c r="B169" s="2" t="s">
        <v>271</v>
      </c>
      <c r="C169" s="2" t="s">
        <v>271</v>
      </c>
      <c r="D169" s="2" t="s">
        <v>82</v>
      </c>
      <c r="E169" s="2" t="s">
        <v>82</v>
      </c>
      <c r="F169" s="2" t="s">
        <v>53</v>
      </c>
      <c r="G169" s="2" t="s">
        <v>53</v>
      </c>
      <c r="H169" s="2" t="s">
        <v>767</v>
      </c>
      <c r="I169" s="2" t="s">
        <v>767</v>
      </c>
      <c r="J169" s="2" t="s">
        <v>782</v>
      </c>
      <c r="K169" s="2" t="s">
        <v>297</v>
      </c>
      <c r="L169" s="2" t="s">
        <v>56</v>
      </c>
      <c r="M169" s="2" t="s">
        <v>57</v>
      </c>
      <c r="N169" s="3">
        <v>-9867.5499999999993</v>
      </c>
      <c r="O169" s="3">
        <v>-9868.7099999999991</v>
      </c>
      <c r="P169" s="3">
        <v>-9869.8700000000008</v>
      </c>
      <c r="Q169" s="3">
        <v>-9871.0300000000007</v>
      </c>
      <c r="R169" s="3">
        <v>-9872.2000000000007</v>
      </c>
      <c r="S169" s="3">
        <v>-9873.36</v>
      </c>
      <c r="T169" s="3">
        <v>-9874.52</v>
      </c>
      <c r="U169" s="3">
        <v>-9875.69</v>
      </c>
      <c r="V169" s="3">
        <v>-9876.85</v>
      </c>
      <c r="W169" s="3">
        <v>-9878.01</v>
      </c>
      <c r="X169" s="3">
        <v>-9879.17</v>
      </c>
      <c r="Y169" s="3">
        <v>-9880.34</v>
      </c>
      <c r="Z169" s="3">
        <v>-118487.3</v>
      </c>
    </row>
    <row r="170" spans="1:26" hidden="1" x14ac:dyDescent="0.3">
      <c r="A170" s="2" t="s">
        <v>467</v>
      </c>
      <c r="B170" s="2" t="s">
        <v>271</v>
      </c>
      <c r="C170" s="2" t="s">
        <v>271</v>
      </c>
      <c r="D170" s="2" t="s">
        <v>82</v>
      </c>
      <c r="E170" s="2" t="s">
        <v>82</v>
      </c>
      <c r="F170" s="2" t="s">
        <v>53</v>
      </c>
      <c r="G170" s="2" t="s">
        <v>53</v>
      </c>
      <c r="H170" s="2" t="s">
        <v>767</v>
      </c>
      <c r="I170" s="2" t="s">
        <v>767</v>
      </c>
      <c r="J170" s="2" t="s">
        <v>783</v>
      </c>
      <c r="K170" s="2" t="s">
        <v>297</v>
      </c>
      <c r="L170" s="2" t="s">
        <v>56</v>
      </c>
      <c r="M170" s="2" t="s">
        <v>57</v>
      </c>
      <c r="N170" s="3">
        <v>-8139.67</v>
      </c>
      <c r="O170" s="3">
        <v>-8139.67</v>
      </c>
      <c r="P170" s="3">
        <v>-8139.67</v>
      </c>
      <c r="Q170" s="3">
        <v>-8139.67</v>
      </c>
      <c r="R170" s="3">
        <v>-8139.67</v>
      </c>
      <c r="S170" s="3">
        <v>-8139.67</v>
      </c>
      <c r="T170" s="3">
        <v>-8139.67</v>
      </c>
      <c r="U170" s="3">
        <v>-8139.67</v>
      </c>
      <c r="V170" s="3">
        <v>-8139.67</v>
      </c>
      <c r="W170" s="3">
        <v>-8139.67</v>
      </c>
      <c r="X170" s="3">
        <v>-8139.67</v>
      </c>
      <c r="Y170" s="3">
        <v>-8139.67</v>
      </c>
      <c r="Z170" s="3">
        <v>-97676.04</v>
      </c>
    </row>
    <row r="171" spans="1:26" hidden="1" x14ac:dyDescent="0.3">
      <c r="A171" s="2" t="s">
        <v>467</v>
      </c>
      <c r="B171" s="2" t="s">
        <v>271</v>
      </c>
      <c r="C171" s="2" t="s">
        <v>271</v>
      </c>
      <c r="D171" s="2" t="s">
        <v>151</v>
      </c>
      <c r="E171" s="2" t="s">
        <v>151</v>
      </c>
      <c r="F171" s="2" t="s">
        <v>53</v>
      </c>
      <c r="G171" s="2" t="s">
        <v>53</v>
      </c>
      <c r="H171" s="2" t="s">
        <v>767</v>
      </c>
      <c r="I171" s="2" t="s">
        <v>767</v>
      </c>
      <c r="J171" s="2" t="s">
        <v>307</v>
      </c>
      <c r="K171" s="2" t="s">
        <v>308</v>
      </c>
      <c r="L171" s="2" t="s">
        <v>56</v>
      </c>
      <c r="M171" s="2" t="s">
        <v>57</v>
      </c>
      <c r="N171" s="3">
        <v>0</v>
      </c>
      <c r="O171" s="3">
        <v>0</v>
      </c>
      <c r="P171" s="3">
        <v>0</v>
      </c>
      <c r="Q171" s="3">
        <v>0</v>
      </c>
      <c r="R171" s="3">
        <v>0</v>
      </c>
      <c r="S171" s="3">
        <v>0</v>
      </c>
      <c r="T171" s="3">
        <v>0</v>
      </c>
      <c r="U171" s="3">
        <v>-7574.54</v>
      </c>
      <c r="V171" s="3">
        <v>-7575.71</v>
      </c>
      <c r="W171" s="3">
        <v>-7576.87</v>
      </c>
      <c r="X171" s="3">
        <v>-7578.03</v>
      </c>
      <c r="Y171" s="3">
        <v>-7579.2</v>
      </c>
      <c r="Z171" s="3">
        <v>-37884.35</v>
      </c>
    </row>
    <row r="172" spans="1:26" hidden="1" x14ac:dyDescent="0.3">
      <c r="A172" s="2" t="s">
        <v>467</v>
      </c>
      <c r="B172" s="2" t="s">
        <v>271</v>
      </c>
      <c r="C172" s="2" t="s">
        <v>271</v>
      </c>
      <c r="D172" s="2" t="s">
        <v>151</v>
      </c>
      <c r="E172" s="2" t="s">
        <v>151</v>
      </c>
      <c r="F172" s="2" t="s">
        <v>53</v>
      </c>
      <c r="G172" s="2" t="s">
        <v>53</v>
      </c>
      <c r="H172" s="2" t="s">
        <v>767</v>
      </c>
      <c r="I172" s="2" t="s">
        <v>767</v>
      </c>
      <c r="J172" s="2" t="s">
        <v>310</v>
      </c>
      <c r="K172" s="2" t="s">
        <v>311</v>
      </c>
      <c r="L172" s="2" t="s">
        <v>56</v>
      </c>
      <c r="M172" s="2" t="s">
        <v>57</v>
      </c>
      <c r="N172" s="3">
        <v>-1831.43</v>
      </c>
      <c r="O172" s="3">
        <v>-1831.43</v>
      </c>
      <c r="P172" s="3">
        <v>-1831.43</v>
      </c>
      <c r="Q172" s="3">
        <v>-1831.43</v>
      </c>
      <c r="R172" s="3">
        <v>-1831.43</v>
      </c>
      <c r="S172" s="3">
        <v>-1831.43</v>
      </c>
      <c r="T172" s="3">
        <v>-1831.43</v>
      </c>
      <c r="U172" s="3">
        <v>-1831.43</v>
      </c>
      <c r="V172" s="3">
        <v>-1831.43</v>
      </c>
      <c r="W172" s="3">
        <v>-1831.43</v>
      </c>
      <c r="X172" s="3">
        <v>-1831.43</v>
      </c>
      <c r="Y172" s="3">
        <v>-1831.43</v>
      </c>
      <c r="Z172" s="3">
        <v>-21977.16</v>
      </c>
    </row>
    <row r="173" spans="1:26" hidden="1" x14ac:dyDescent="0.3">
      <c r="A173" s="2" t="s">
        <v>467</v>
      </c>
      <c r="B173" s="2" t="s">
        <v>271</v>
      </c>
      <c r="C173" s="2" t="s">
        <v>271</v>
      </c>
      <c r="D173" s="2" t="s">
        <v>151</v>
      </c>
      <c r="E173" s="2" t="s">
        <v>151</v>
      </c>
      <c r="F173" s="2" t="s">
        <v>53</v>
      </c>
      <c r="G173" s="2" t="s">
        <v>53</v>
      </c>
      <c r="H173" s="2" t="s">
        <v>767</v>
      </c>
      <c r="I173" s="2" t="s">
        <v>767</v>
      </c>
      <c r="J173" s="2" t="s">
        <v>312</v>
      </c>
      <c r="K173" s="2" t="s">
        <v>311</v>
      </c>
      <c r="L173" s="2" t="s">
        <v>56</v>
      </c>
      <c r="M173" s="2" t="s">
        <v>57</v>
      </c>
      <c r="N173" s="3">
        <v>-697.69</v>
      </c>
      <c r="O173" s="3">
        <v>-697.69</v>
      </c>
      <c r="P173" s="3">
        <v>-697.69</v>
      </c>
      <c r="Q173" s="3">
        <v>-697.69</v>
      </c>
      <c r="R173" s="3">
        <v>-697.69</v>
      </c>
      <c r="S173" s="3">
        <v>-697.69</v>
      </c>
      <c r="T173" s="3">
        <v>-697.69</v>
      </c>
      <c r="U173" s="3">
        <v>-697.69</v>
      </c>
      <c r="V173" s="3">
        <v>-697.69</v>
      </c>
      <c r="W173" s="3">
        <v>-697.69</v>
      </c>
      <c r="X173" s="3">
        <v>-697.69</v>
      </c>
      <c r="Y173" s="3">
        <v>-697.69</v>
      </c>
      <c r="Z173" s="3">
        <v>-8372.2800000000025</v>
      </c>
    </row>
    <row r="174" spans="1:26" hidden="1" x14ac:dyDescent="0.3">
      <c r="A174" s="2" t="s">
        <v>467</v>
      </c>
      <c r="B174" s="2" t="s">
        <v>271</v>
      </c>
      <c r="C174" s="2" t="s">
        <v>271</v>
      </c>
      <c r="D174" s="2" t="s">
        <v>151</v>
      </c>
      <c r="E174" s="2" t="s">
        <v>151</v>
      </c>
      <c r="F174" s="2" t="s">
        <v>53</v>
      </c>
      <c r="G174" s="2" t="s">
        <v>53</v>
      </c>
      <c r="H174" s="2" t="s">
        <v>767</v>
      </c>
      <c r="I174" s="2" t="s">
        <v>767</v>
      </c>
      <c r="J174" s="2" t="s">
        <v>314</v>
      </c>
      <c r="K174" s="2"/>
      <c r="L174" s="2" t="s">
        <v>56</v>
      </c>
      <c r="M174" s="2" t="s">
        <v>57</v>
      </c>
      <c r="N174" s="3">
        <v>-1162.81</v>
      </c>
      <c r="O174" s="3">
        <v>-1162.81</v>
      </c>
      <c r="P174" s="3">
        <v>-1162.81</v>
      </c>
      <c r="Q174" s="3">
        <v>-1162.81</v>
      </c>
      <c r="R174" s="3">
        <v>-1162.81</v>
      </c>
      <c r="S174" s="3">
        <v>-1162.81</v>
      </c>
      <c r="T174" s="3">
        <v>-1162.81</v>
      </c>
      <c r="U174" s="3">
        <v>-1162.81</v>
      </c>
      <c r="V174" s="3">
        <v>-1162.81</v>
      </c>
      <c r="W174" s="3">
        <v>-1162.81</v>
      </c>
      <c r="X174" s="3">
        <v>-1162.81</v>
      </c>
      <c r="Y174" s="3">
        <v>-1162.81</v>
      </c>
      <c r="Z174" s="3">
        <v>-13953.719999999996</v>
      </c>
    </row>
    <row r="175" spans="1:26" hidden="1" x14ac:dyDescent="0.3">
      <c r="A175" s="2" t="s">
        <v>467</v>
      </c>
      <c r="B175" s="2" t="s">
        <v>271</v>
      </c>
      <c r="C175" s="2" t="s">
        <v>271</v>
      </c>
      <c r="D175" s="2" t="s">
        <v>400</v>
      </c>
      <c r="E175" s="2" t="s">
        <v>400</v>
      </c>
      <c r="F175" s="2" t="s">
        <v>53</v>
      </c>
      <c r="G175" s="2" t="s">
        <v>53</v>
      </c>
      <c r="H175" s="2" t="s">
        <v>767</v>
      </c>
      <c r="I175" s="2" t="s">
        <v>767</v>
      </c>
      <c r="J175" s="2" t="s">
        <v>784</v>
      </c>
      <c r="K175" s="2"/>
      <c r="L175" s="2" t="s">
        <v>56</v>
      </c>
      <c r="M175" s="2" t="s">
        <v>57</v>
      </c>
      <c r="N175" s="3">
        <v>-10465.290000000001</v>
      </c>
      <c r="O175" s="3">
        <v>-10465.290000000001</v>
      </c>
      <c r="P175" s="3">
        <v>-10465.290000000001</v>
      </c>
      <c r="Q175" s="3">
        <v>-10465.290000000001</v>
      </c>
      <c r="R175" s="3">
        <v>-10465.290000000001</v>
      </c>
      <c r="S175" s="3">
        <v>-10465.290000000001</v>
      </c>
      <c r="T175" s="3">
        <v>-10465.290000000001</v>
      </c>
      <c r="U175" s="3">
        <v>-10465.290000000001</v>
      </c>
      <c r="V175" s="3">
        <v>-10465.290000000001</v>
      </c>
      <c r="W175" s="3">
        <v>-10465.290000000001</v>
      </c>
      <c r="X175" s="3">
        <v>-10465.290000000001</v>
      </c>
      <c r="Y175" s="3">
        <v>-10465.290000000001</v>
      </c>
      <c r="Z175" s="3">
        <v>-125583.48000000004</v>
      </c>
    </row>
    <row r="176" spans="1:26" hidden="1" x14ac:dyDescent="0.3">
      <c r="A176" s="2" t="s">
        <v>467</v>
      </c>
      <c r="B176" s="2" t="s">
        <v>271</v>
      </c>
      <c r="C176" s="2" t="s">
        <v>271</v>
      </c>
      <c r="D176" s="2" t="s">
        <v>200</v>
      </c>
      <c r="E176" s="2" t="s">
        <v>200</v>
      </c>
      <c r="F176" s="2" t="s">
        <v>53</v>
      </c>
      <c r="G176" s="2" t="s">
        <v>53</v>
      </c>
      <c r="H176" s="2" t="s">
        <v>767</v>
      </c>
      <c r="I176" s="2" t="s">
        <v>767</v>
      </c>
      <c r="J176" s="2" t="s">
        <v>315</v>
      </c>
      <c r="K176" s="2"/>
      <c r="L176" s="2" t="s">
        <v>56</v>
      </c>
      <c r="M176" s="2" t="s">
        <v>57</v>
      </c>
      <c r="N176" s="3">
        <v>-6511.74</v>
      </c>
      <c r="O176" s="3">
        <v>-6511.74</v>
      </c>
      <c r="P176" s="3">
        <v>-6511.74</v>
      </c>
      <c r="Q176" s="3">
        <v>-6511.74</v>
      </c>
      <c r="R176" s="3">
        <v>-6511.74</v>
      </c>
      <c r="S176" s="3">
        <v>-6511.74</v>
      </c>
      <c r="T176" s="3">
        <v>-6511.74</v>
      </c>
      <c r="U176" s="3">
        <v>-6511.74</v>
      </c>
      <c r="V176" s="3">
        <v>-6511.74</v>
      </c>
      <c r="W176" s="3">
        <v>-6511.74</v>
      </c>
      <c r="X176" s="3">
        <v>-6511.74</v>
      </c>
      <c r="Y176" s="3">
        <v>-6511.74</v>
      </c>
      <c r="Z176" s="3">
        <v>-78140.87999999999</v>
      </c>
    </row>
    <row r="177" spans="1:26" hidden="1" x14ac:dyDescent="0.3">
      <c r="A177" s="2" t="s">
        <v>467</v>
      </c>
      <c r="B177" s="2" t="s">
        <v>271</v>
      </c>
      <c r="C177" s="2" t="s">
        <v>271</v>
      </c>
      <c r="D177" s="2" t="s">
        <v>200</v>
      </c>
      <c r="E177" s="2" t="s">
        <v>200</v>
      </c>
      <c r="F177" s="2" t="s">
        <v>53</v>
      </c>
      <c r="G177" s="2" t="s">
        <v>53</v>
      </c>
      <c r="H177" s="2" t="s">
        <v>767</v>
      </c>
      <c r="I177" s="2" t="s">
        <v>767</v>
      </c>
      <c r="J177" s="2" t="s">
        <v>316</v>
      </c>
      <c r="K177" s="2"/>
      <c r="L177" s="2" t="s">
        <v>56</v>
      </c>
      <c r="M177" s="2" t="s">
        <v>57</v>
      </c>
      <c r="N177" s="3">
        <v>-8140</v>
      </c>
      <c r="O177" s="3">
        <v>-8140</v>
      </c>
      <c r="P177" s="3">
        <v>-8140</v>
      </c>
      <c r="Q177" s="3">
        <v>-8140</v>
      </c>
      <c r="R177" s="3">
        <v>-8140</v>
      </c>
      <c r="S177" s="3">
        <v>-8140</v>
      </c>
      <c r="T177" s="3">
        <v>-8140</v>
      </c>
      <c r="U177" s="3">
        <v>-8140</v>
      </c>
      <c r="V177" s="3">
        <v>-8140</v>
      </c>
      <c r="W177" s="3">
        <v>-8140</v>
      </c>
      <c r="X177" s="3">
        <v>-8140</v>
      </c>
      <c r="Y177" s="3">
        <v>-8140</v>
      </c>
      <c r="Z177" s="3">
        <v>-97680</v>
      </c>
    </row>
    <row r="178" spans="1:26" hidden="1" x14ac:dyDescent="0.3">
      <c r="A178" s="2" t="s">
        <v>467</v>
      </c>
      <c r="B178" s="2" t="s">
        <v>271</v>
      </c>
      <c r="C178" s="2" t="s">
        <v>271</v>
      </c>
      <c r="D178" s="2" t="s">
        <v>200</v>
      </c>
      <c r="E178" s="2" t="s">
        <v>200</v>
      </c>
      <c r="F178" s="2" t="s">
        <v>53</v>
      </c>
      <c r="G178" s="2" t="s">
        <v>53</v>
      </c>
      <c r="H178" s="2" t="s">
        <v>767</v>
      </c>
      <c r="I178" s="2" t="s">
        <v>767</v>
      </c>
      <c r="J178" s="2" t="s">
        <v>317</v>
      </c>
      <c r="K178" s="2"/>
      <c r="L178" s="2" t="s">
        <v>56</v>
      </c>
      <c r="M178" s="2" t="s">
        <v>57</v>
      </c>
      <c r="N178" s="3">
        <v>-9690</v>
      </c>
      <c r="O178" s="3">
        <v>-9690</v>
      </c>
      <c r="P178" s="3">
        <v>-9690</v>
      </c>
      <c r="Q178" s="3">
        <v>-9690</v>
      </c>
      <c r="R178" s="3">
        <v>-9690</v>
      </c>
      <c r="S178" s="3">
        <v>-9690</v>
      </c>
      <c r="T178" s="3">
        <v>-9690</v>
      </c>
      <c r="U178" s="3">
        <v>-9690</v>
      </c>
      <c r="V178" s="3">
        <v>-9690</v>
      </c>
      <c r="W178" s="3">
        <v>-9690</v>
      </c>
      <c r="X178" s="3">
        <v>-9690</v>
      </c>
      <c r="Y178" s="3">
        <v>-9690</v>
      </c>
      <c r="Z178" s="3">
        <v>-116280</v>
      </c>
    </row>
    <row r="179" spans="1:26" hidden="1" x14ac:dyDescent="0.3">
      <c r="A179" s="2" t="s">
        <v>467</v>
      </c>
      <c r="B179" s="2" t="s">
        <v>271</v>
      </c>
      <c r="C179" s="2" t="s">
        <v>271</v>
      </c>
      <c r="D179" s="2" t="s">
        <v>200</v>
      </c>
      <c r="E179" s="2" t="s">
        <v>200</v>
      </c>
      <c r="F179" s="2" t="s">
        <v>53</v>
      </c>
      <c r="G179" s="2" t="s">
        <v>53</v>
      </c>
      <c r="H179" s="2" t="s">
        <v>767</v>
      </c>
      <c r="I179" s="2" t="s">
        <v>767</v>
      </c>
      <c r="J179" s="2" t="s">
        <v>318</v>
      </c>
      <c r="K179" s="2"/>
      <c r="L179" s="2" t="s">
        <v>56</v>
      </c>
      <c r="M179" s="2" t="s">
        <v>57</v>
      </c>
      <c r="N179" s="3">
        <v>0</v>
      </c>
      <c r="O179" s="3">
        <v>0</v>
      </c>
      <c r="P179" s="3">
        <v>0</v>
      </c>
      <c r="Q179" s="3">
        <v>0</v>
      </c>
      <c r="R179" s="3">
        <v>0</v>
      </c>
      <c r="S179" s="3">
        <v>0</v>
      </c>
      <c r="T179" s="3">
        <v>0</v>
      </c>
      <c r="U179" s="3">
        <v>0</v>
      </c>
      <c r="V179" s="3">
        <v>-11628.1</v>
      </c>
      <c r="W179" s="3">
        <v>-11628.1</v>
      </c>
      <c r="X179" s="3">
        <v>-11628.1</v>
      </c>
      <c r="Y179" s="3">
        <v>0</v>
      </c>
      <c r="Z179" s="3">
        <v>-34884.300000000003</v>
      </c>
    </row>
    <row r="180" spans="1:26" hidden="1" x14ac:dyDescent="0.3">
      <c r="A180" s="2" t="s">
        <v>467</v>
      </c>
      <c r="B180" s="2" t="s">
        <v>271</v>
      </c>
      <c r="C180" s="2" t="s">
        <v>271</v>
      </c>
      <c r="D180" s="2" t="s">
        <v>200</v>
      </c>
      <c r="E180" s="2" t="s">
        <v>200</v>
      </c>
      <c r="F180" s="2" t="s">
        <v>53</v>
      </c>
      <c r="G180" s="2" t="s">
        <v>53</v>
      </c>
      <c r="H180" s="2" t="s">
        <v>767</v>
      </c>
      <c r="I180" s="2" t="s">
        <v>767</v>
      </c>
      <c r="J180" s="2" t="s">
        <v>319</v>
      </c>
      <c r="K180" s="2"/>
      <c r="L180" s="2" t="s">
        <v>56</v>
      </c>
      <c r="M180" s="2" t="s">
        <v>57</v>
      </c>
      <c r="N180" s="3">
        <v>0</v>
      </c>
      <c r="O180" s="3">
        <v>0</v>
      </c>
      <c r="P180" s="3">
        <v>0</v>
      </c>
      <c r="Q180" s="3">
        <v>0</v>
      </c>
      <c r="R180" s="3">
        <v>0</v>
      </c>
      <c r="S180" s="3">
        <v>0</v>
      </c>
      <c r="T180" s="3">
        <v>0</v>
      </c>
      <c r="U180" s="3">
        <v>-17442.150000000001</v>
      </c>
      <c r="V180" s="3">
        <v>-11628.1</v>
      </c>
      <c r="W180" s="3">
        <v>0</v>
      </c>
      <c r="X180" s="3">
        <v>0</v>
      </c>
      <c r="Y180" s="3">
        <v>0</v>
      </c>
      <c r="Z180" s="3">
        <v>-29070.25</v>
      </c>
    </row>
    <row r="181" spans="1:26" hidden="1" x14ac:dyDescent="0.3">
      <c r="A181" s="2" t="s">
        <v>467</v>
      </c>
      <c r="B181" s="2" t="s">
        <v>271</v>
      </c>
      <c r="C181" s="2" t="s">
        <v>271</v>
      </c>
      <c r="D181" s="2" t="s">
        <v>200</v>
      </c>
      <c r="E181" s="2" t="s">
        <v>200</v>
      </c>
      <c r="F181" s="2" t="s">
        <v>53</v>
      </c>
      <c r="G181" s="2" t="s">
        <v>53</v>
      </c>
      <c r="H181" s="2" t="s">
        <v>767</v>
      </c>
      <c r="I181" s="2" t="s">
        <v>767</v>
      </c>
      <c r="J181" s="2" t="s">
        <v>323</v>
      </c>
      <c r="K181" s="2"/>
      <c r="L181" s="2" t="s">
        <v>56</v>
      </c>
      <c r="M181" s="2" t="s">
        <v>57</v>
      </c>
      <c r="N181" s="3">
        <v>0</v>
      </c>
      <c r="O181" s="3">
        <v>0</v>
      </c>
      <c r="P181" s="3">
        <v>0</v>
      </c>
      <c r="Q181" s="3">
        <v>0</v>
      </c>
      <c r="R181" s="3">
        <v>0</v>
      </c>
      <c r="S181" s="3">
        <v>0</v>
      </c>
      <c r="T181" s="3">
        <v>0</v>
      </c>
      <c r="U181" s="3">
        <v>-14535.13</v>
      </c>
      <c r="V181" s="3">
        <v>0</v>
      </c>
      <c r="W181" s="3">
        <v>0</v>
      </c>
      <c r="X181" s="3">
        <v>0</v>
      </c>
      <c r="Y181" s="3">
        <v>0</v>
      </c>
      <c r="Z181" s="3">
        <v>-14535.13</v>
      </c>
    </row>
    <row r="182" spans="1:26" hidden="1" x14ac:dyDescent="0.3">
      <c r="A182" s="2" t="s">
        <v>467</v>
      </c>
      <c r="B182" s="2" t="s">
        <v>274</v>
      </c>
      <c r="C182" s="2" t="s">
        <v>274</v>
      </c>
      <c r="D182" s="2" t="s">
        <v>151</v>
      </c>
      <c r="E182" s="2" t="s">
        <v>151</v>
      </c>
      <c r="F182" s="2" t="s">
        <v>53</v>
      </c>
      <c r="G182" s="2" t="s">
        <v>53</v>
      </c>
      <c r="H182" s="2" t="s">
        <v>54</v>
      </c>
      <c r="I182" s="2" t="s">
        <v>54</v>
      </c>
      <c r="J182" s="2" t="s">
        <v>275</v>
      </c>
      <c r="K182" s="2" t="s">
        <v>276</v>
      </c>
      <c r="L182" s="2" t="s">
        <v>56</v>
      </c>
      <c r="M182" s="2" t="s">
        <v>72</v>
      </c>
      <c r="N182" s="3">
        <v>1820</v>
      </c>
      <c r="O182" s="3">
        <v>1820</v>
      </c>
      <c r="P182" s="3">
        <v>1820</v>
      </c>
      <c r="Q182" s="3">
        <v>1820</v>
      </c>
      <c r="R182" s="3">
        <v>1820</v>
      </c>
      <c r="S182" s="3">
        <v>1950</v>
      </c>
      <c r="T182" s="3">
        <v>1950</v>
      </c>
      <c r="U182" s="3">
        <v>1950</v>
      </c>
      <c r="V182" s="3">
        <v>1950</v>
      </c>
      <c r="W182" s="3">
        <v>1950</v>
      </c>
      <c r="X182" s="3">
        <v>1950</v>
      </c>
      <c r="Y182" s="3">
        <v>1950</v>
      </c>
      <c r="Z182" s="3">
        <v>22750</v>
      </c>
    </row>
    <row r="183" spans="1:26" hidden="1" x14ac:dyDescent="0.3">
      <c r="A183" s="2" t="s">
        <v>467</v>
      </c>
      <c r="B183" s="2" t="s">
        <v>274</v>
      </c>
      <c r="C183" s="2" t="s">
        <v>274</v>
      </c>
      <c r="D183" s="2" t="s">
        <v>151</v>
      </c>
      <c r="E183" s="2" t="s">
        <v>151</v>
      </c>
      <c r="F183" s="2" t="s">
        <v>53</v>
      </c>
      <c r="G183" s="2" t="s">
        <v>53</v>
      </c>
      <c r="H183" s="2" t="s">
        <v>277</v>
      </c>
      <c r="I183" s="2" t="s">
        <v>277</v>
      </c>
      <c r="J183" s="2" t="s">
        <v>278</v>
      </c>
      <c r="K183" s="2" t="s">
        <v>273</v>
      </c>
      <c r="L183" s="2" t="s">
        <v>56</v>
      </c>
      <c r="M183" s="2" t="s">
        <v>72</v>
      </c>
      <c r="N183" s="3">
        <v>20500</v>
      </c>
      <c r="O183" s="3">
        <v>20500</v>
      </c>
      <c r="P183" s="3">
        <v>20500</v>
      </c>
      <c r="Q183" s="3">
        <v>20500</v>
      </c>
      <c r="R183" s="3">
        <v>20500</v>
      </c>
      <c r="S183" s="3">
        <v>20500</v>
      </c>
      <c r="T183" s="3">
        <v>20500</v>
      </c>
      <c r="U183" s="3">
        <v>20500</v>
      </c>
      <c r="V183" s="3">
        <v>20500</v>
      </c>
      <c r="W183" s="3">
        <v>20500</v>
      </c>
      <c r="X183" s="3">
        <v>20500</v>
      </c>
      <c r="Y183" s="3">
        <v>20500</v>
      </c>
      <c r="Z183" s="3">
        <v>246000</v>
      </c>
    </row>
    <row r="184" spans="1:26" hidden="1" x14ac:dyDescent="0.3">
      <c r="A184" s="2" t="s">
        <v>467</v>
      </c>
      <c r="B184" s="2" t="s">
        <v>274</v>
      </c>
      <c r="C184" s="2" t="s">
        <v>274</v>
      </c>
      <c r="D184" s="2" t="s">
        <v>69</v>
      </c>
      <c r="E184" s="2" t="s">
        <v>69</v>
      </c>
      <c r="F184" s="2" t="s">
        <v>53</v>
      </c>
      <c r="G184" s="2" t="s">
        <v>53</v>
      </c>
      <c r="H184" s="2" t="s">
        <v>54</v>
      </c>
      <c r="I184" s="2" t="s">
        <v>54</v>
      </c>
      <c r="J184" s="2" t="s">
        <v>70</v>
      </c>
      <c r="K184" s="2" t="s">
        <v>71</v>
      </c>
      <c r="L184" s="2" t="s">
        <v>56</v>
      </c>
      <c r="M184" s="2" t="s">
        <v>72</v>
      </c>
      <c r="N184" s="3">
        <v>2385</v>
      </c>
      <c r="O184" s="3">
        <v>2409</v>
      </c>
      <c r="P184" s="3">
        <v>2493</v>
      </c>
      <c r="Q184" s="3">
        <v>2490</v>
      </c>
      <c r="R184" s="3">
        <v>2483</v>
      </c>
      <c r="S184" s="3">
        <v>2480</v>
      </c>
      <c r="T184" s="3">
        <v>2482</v>
      </c>
      <c r="U184" s="3">
        <v>2484</v>
      </c>
      <c r="V184" s="3">
        <v>2486</v>
      </c>
      <c r="W184" s="3">
        <v>2485</v>
      </c>
      <c r="X184" s="3">
        <v>2484</v>
      </c>
      <c r="Y184" s="3">
        <v>2483</v>
      </c>
      <c r="Z184" s="3">
        <v>29644</v>
      </c>
    </row>
    <row r="185" spans="1:26" hidden="1" x14ac:dyDescent="0.3">
      <c r="A185" s="2" t="s">
        <v>467</v>
      </c>
      <c r="B185" s="2" t="s">
        <v>274</v>
      </c>
      <c r="C185" s="2" t="s">
        <v>274</v>
      </c>
      <c r="D185" s="2" t="s">
        <v>135</v>
      </c>
      <c r="E185" s="2" t="s">
        <v>135</v>
      </c>
      <c r="F185" s="2" t="s">
        <v>53</v>
      </c>
      <c r="G185" s="2" t="s">
        <v>53</v>
      </c>
      <c r="H185" s="2" t="s">
        <v>54</v>
      </c>
      <c r="I185" s="2" t="s">
        <v>54</v>
      </c>
      <c r="J185" s="2" t="s">
        <v>279</v>
      </c>
      <c r="K185" s="2" t="s">
        <v>280</v>
      </c>
      <c r="L185" s="2" t="s">
        <v>56</v>
      </c>
      <c r="M185" s="2" t="s">
        <v>72</v>
      </c>
      <c r="N185" s="3">
        <v>13000</v>
      </c>
      <c r="O185" s="3">
        <v>13000</v>
      </c>
      <c r="P185" s="3">
        <v>13000</v>
      </c>
      <c r="Q185" s="3">
        <v>13000</v>
      </c>
      <c r="R185" s="3">
        <v>13000</v>
      </c>
      <c r="S185" s="3">
        <v>13000</v>
      </c>
      <c r="T185" s="3">
        <v>13000</v>
      </c>
      <c r="U185" s="3">
        <v>13000</v>
      </c>
      <c r="V185" s="3">
        <v>13000</v>
      </c>
      <c r="W185" s="3">
        <v>13000</v>
      </c>
      <c r="X185" s="3">
        <v>13000</v>
      </c>
      <c r="Y185" s="3">
        <v>13000</v>
      </c>
      <c r="Z185" s="3">
        <v>156000</v>
      </c>
    </row>
    <row r="186" spans="1:26" hidden="1" x14ac:dyDescent="0.3">
      <c r="A186" s="2" t="s">
        <v>467</v>
      </c>
      <c r="B186" s="2" t="s">
        <v>274</v>
      </c>
      <c r="C186" s="2" t="s">
        <v>274</v>
      </c>
      <c r="D186" s="2" t="s">
        <v>82</v>
      </c>
      <c r="E186" s="2" t="s">
        <v>82</v>
      </c>
      <c r="F186" s="2" t="s">
        <v>53</v>
      </c>
      <c r="G186" s="2" t="s">
        <v>53</v>
      </c>
      <c r="H186" s="2" t="s">
        <v>281</v>
      </c>
      <c r="I186" s="2" t="s">
        <v>281</v>
      </c>
      <c r="J186" s="2" t="s">
        <v>282</v>
      </c>
      <c r="K186" s="2" t="s">
        <v>283</v>
      </c>
      <c r="L186" s="2" t="s">
        <v>56</v>
      </c>
      <c r="M186" s="2" t="s">
        <v>72</v>
      </c>
      <c r="N186" s="3">
        <v>1700</v>
      </c>
      <c r="O186" s="3">
        <v>1700</v>
      </c>
      <c r="P186" s="3">
        <v>1700</v>
      </c>
      <c r="Q186" s="3">
        <v>1700</v>
      </c>
      <c r="R186" s="3">
        <v>1700</v>
      </c>
      <c r="S186" s="3">
        <v>1700</v>
      </c>
      <c r="T186" s="3">
        <v>1700</v>
      </c>
      <c r="U186" s="3">
        <v>1700</v>
      </c>
      <c r="V186" s="3">
        <v>1700</v>
      </c>
      <c r="W186" s="3">
        <v>1700</v>
      </c>
      <c r="X186" s="3">
        <v>1700</v>
      </c>
      <c r="Y186" s="3">
        <v>1700</v>
      </c>
      <c r="Z186" s="3">
        <v>20400</v>
      </c>
    </row>
    <row r="187" spans="1:26" hidden="1" x14ac:dyDescent="0.3">
      <c r="A187" s="2" t="s">
        <v>467</v>
      </c>
      <c r="B187" s="2" t="s">
        <v>274</v>
      </c>
      <c r="C187" s="2" t="s">
        <v>274</v>
      </c>
      <c r="D187" s="2" t="s">
        <v>82</v>
      </c>
      <c r="E187" s="2" t="s">
        <v>82</v>
      </c>
      <c r="F187" s="2" t="s">
        <v>53</v>
      </c>
      <c r="G187" s="2" t="s">
        <v>53</v>
      </c>
      <c r="H187" s="2" t="s">
        <v>54</v>
      </c>
      <c r="I187" s="2" t="s">
        <v>54</v>
      </c>
      <c r="J187" s="2" t="s">
        <v>284</v>
      </c>
      <c r="K187" s="2" t="s">
        <v>285</v>
      </c>
      <c r="L187" s="2" t="s">
        <v>56</v>
      </c>
      <c r="M187" s="2" t="s">
        <v>72</v>
      </c>
      <c r="N187" s="3">
        <v>2950</v>
      </c>
      <c r="O187" s="3">
        <v>2950</v>
      </c>
      <c r="P187" s="3">
        <v>2950</v>
      </c>
      <c r="Q187" s="3">
        <v>2950</v>
      </c>
      <c r="R187" s="3">
        <v>2950</v>
      </c>
      <c r="S187" s="3">
        <v>2950</v>
      </c>
      <c r="T187" s="3">
        <v>2950</v>
      </c>
      <c r="U187" s="3">
        <v>11800</v>
      </c>
      <c r="V187" s="3">
        <v>11800</v>
      </c>
      <c r="W187" s="3">
        <v>11800</v>
      </c>
      <c r="X187" s="3">
        <v>11800</v>
      </c>
      <c r="Y187" s="3">
        <v>11800</v>
      </c>
      <c r="Z187" s="3">
        <v>79650</v>
      </c>
    </row>
    <row r="188" spans="1:26" hidden="1" x14ac:dyDescent="0.3">
      <c r="A188" s="2" t="s">
        <v>467</v>
      </c>
      <c r="B188" s="2" t="s">
        <v>274</v>
      </c>
      <c r="C188" s="2" t="s">
        <v>274</v>
      </c>
      <c r="D188" s="2" t="s">
        <v>82</v>
      </c>
      <c r="E188" s="2" t="s">
        <v>82</v>
      </c>
      <c r="F188" s="2" t="s">
        <v>286</v>
      </c>
      <c r="G188" s="2" t="s">
        <v>286</v>
      </c>
      <c r="H188" s="2" t="s">
        <v>287</v>
      </c>
      <c r="I188" s="2" t="s">
        <v>287</v>
      </c>
      <c r="J188" s="2" t="s">
        <v>288</v>
      </c>
      <c r="K188" s="2" t="s">
        <v>285</v>
      </c>
      <c r="L188" s="2" t="s">
        <v>56</v>
      </c>
      <c r="M188" s="2" t="s">
        <v>72</v>
      </c>
      <c r="N188" s="3">
        <v>-16450</v>
      </c>
      <c r="O188" s="3">
        <v>-16450</v>
      </c>
      <c r="P188" s="3">
        <v>-16450</v>
      </c>
      <c r="Q188" s="3">
        <v>-16450</v>
      </c>
      <c r="R188" s="3">
        <v>-16450</v>
      </c>
      <c r="S188" s="3">
        <v>-16450</v>
      </c>
      <c r="T188" s="3">
        <v>-16450</v>
      </c>
      <c r="U188" s="3">
        <v>-16450</v>
      </c>
      <c r="V188" s="3">
        <v>-16450</v>
      </c>
      <c r="W188" s="3">
        <v>-16450</v>
      </c>
      <c r="X188" s="3">
        <v>-16450</v>
      </c>
      <c r="Y188" s="3">
        <v>-16450</v>
      </c>
      <c r="Z188" s="3">
        <v>-197400</v>
      </c>
    </row>
    <row r="189" spans="1:26" hidden="1" x14ac:dyDescent="0.3">
      <c r="A189" s="2" t="s">
        <v>467</v>
      </c>
      <c r="B189" s="2" t="s">
        <v>274</v>
      </c>
      <c r="C189" s="2" t="s">
        <v>274</v>
      </c>
      <c r="D189" s="2" t="s">
        <v>82</v>
      </c>
      <c r="E189" s="2" t="s">
        <v>82</v>
      </c>
      <c r="F189" s="2" t="s">
        <v>53</v>
      </c>
      <c r="G189" s="2" t="s">
        <v>53</v>
      </c>
      <c r="H189" s="2" t="s">
        <v>287</v>
      </c>
      <c r="I189" s="2" t="s">
        <v>287</v>
      </c>
      <c r="J189" s="2" t="s">
        <v>288</v>
      </c>
      <c r="K189" s="2" t="s">
        <v>285</v>
      </c>
      <c r="L189" s="2" t="s">
        <v>56</v>
      </c>
      <c r="M189" s="2" t="s">
        <v>72</v>
      </c>
      <c r="N189" s="3">
        <v>16450</v>
      </c>
      <c r="O189" s="3">
        <v>16450</v>
      </c>
      <c r="P189" s="3">
        <v>16450</v>
      </c>
      <c r="Q189" s="3">
        <v>16450</v>
      </c>
      <c r="R189" s="3">
        <v>16450</v>
      </c>
      <c r="S189" s="3">
        <v>16450</v>
      </c>
      <c r="T189" s="3">
        <v>16450</v>
      </c>
      <c r="U189" s="3">
        <v>16450</v>
      </c>
      <c r="V189" s="3">
        <v>16450</v>
      </c>
      <c r="W189" s="3">
        <v>16450</v>
      </c>
      <c r="X189" s="3">
        <v>16450</v>
      </c>
      <c r="Y189" s="3">
        <v>16450</v>
      </c>
      <c r="Z189" s="3">
        <v>197400</v>
      </c>
    </row>
    <row r="190" spans="1:26" hidden="1" x14ac:dyDescent="0.3">
      <c r="A190" s="2" t="s">
        <v>467</v>
      </c>
      <c r="B190" s="2" t="s">
        <v>274</v>
      </c>
      <c r="C190" s="2" t="s">
        <v>274</v>
      </c>
      <c r="D190" s="2" t="s">
        <v>82</v>
      </c>
      <c r="E190" s="2" t="s">
        <v>82</v>
      </c>
      <c r="F190" s="2" t="s">
        <v>53</v>
      </c>
      <c r="G190" s="2" t="s">
        <v>53</v>
      </c>
      <c r="H190" s="2" t="s">
        <v>54</v>
      </c>
      <c r="I190" s="2" t="s">
        <v>54</v>
      </c>
      <c r="J190" s="2" t="s">
        <v>288</v>
      </c>
      <c r="K190" s="2" t="s">
        <v>285</v>
      </c>
      <c r="L190" s="2" t="s">
        <v>56</v>
      </c>
      <c r="M190" s="2" t="s">
        <v>72</v>
      </c>
      <c r="N190" s="3">
        <v>18550</v>
      </c>
      <c r="O190" s="3">
        <v>18550</v>
      </c>
      <c r="P190" s="3">
        <v>18550</v>
      </c>
      <c r="Q190" s="3">
        <v>18550</v>
      </c>
      <c r="R190" s="3">
        <v>18550</v>
      </c>
      <c r="S190" s="3">
        <v>18550</v>
      </c>
      <c r="T190" s="3">
        <v>18550</v>
      </c>
      <c r="U190" s="3">
        <v>18550</v>
      </c>
      <c r="V190" s="3">
        <v>18550</v>
      </c>
      <c r="W190" s="3">
        <v>18550</v>
      </c>
      <c r="X190" s="3">
        <v>18550</v>
      </c>
      <c r="Y190" s="3">
        <v>18550</v>
      </c>
      <c r="Z190" s="3">
        <v>222600</v>
      </c>
    </row>
    <row r="191" spans="1:26" hidden="1" x14ac:dyDescent="0.3">
      <c r="A191" s="2" t="s">
        <v>467</v>
      </c>
      <c r="B191" s="2" t="s">
        <v>274</v>
      </c>
      <c r="C191" s="2" t="s">
        <v>274</v>
      </c>
      <c r="D191" s="2" t="s">
        <v>82</v>
      </c>
      <c r="E191" s="2" t="s">
        <v>82</v>
      </c>
      <c r="F191" s="2" t="s">
        <v>53</v>
      </c>
      <c r="G191" s="2" t="s">
        <v>53</v>
      </c>
      <c r="H191" s="2" t="s">
        <v>287</v>
      </c>
      <c r="I191" s="2" t="s">
        <v>287</v>
      </c>
      <c r="J191" s="2" t="s">
        <v>289</v>
      </c>
      <c r="K191" s="2" t="s">
        <v>285</v>
      </c>
      <c r="L191" s="2" t="s">
        <v>56</v>
      </c>
      <c r="M191" s="2" t="s">
        <v>72</v>
      </c>
      <c r="N191" s="3">
        <v>11162.5</v>
      </c>
      <c r="O191" s="3">
        <v>11162.5</v>
      </c>
      <c r="P191" s="3">
        <v>11162.5</v>
      </c>
      <c r="Q191" s="3">
        <v>11162.5</v>
      </c>
      <c r="R191" s="3">
        <v>11162.5</v>
      </c>
      <c r="S191" s="3">
        <v>11162.5</v>
      </c>
      <c r="T191" s="3">
        <v>11162.5</v>
      </c>
      <c r="U191" s="3">
        <v>11162.03</v>
      </c>
      <c r="V191" s="3">
        <v>11162.5</v>
      </c>
      <c r="W191" s="3">
        <v>11162.5</v>
      </c>
      <c r="X191" s="3">
        <v>11162.5</v>
      </c>
      <c r="Y191" s="3">
        <v>11162.5</v>
      </c>
      <c r="Z191" s="3">
        <v>133949.53</v>
      </c>
    </row>
    <row r="192" spans="1:26" hidden="1" x14ac:dyDescent="0.3">
      <c r="A192" s="2" t="s">
        <v>467</v>
      </c>
      <c r="B192" s="2" t="s">
        <v>274</v>
      </c>
      <c r="C192" s="2" t="s">
        <v>274</v>
      </c>
      <c r="D192" s="2" t="s">
        <v>82</v>
      </c>
      <c r="E192" s="2" t="s">
        <v>82</v>
      </c>
      <c r="F192" s="2" t="s">
        <v>286</v>
      </c>
      <c r="G192" s="2" t="s">
        <v>286</v>
      </c>
      <c r="H192" s="2" t="s">
        <v>287</v>
      </c>
      <c r="I192" s="2" t="s">
        <v>287</v>
      </c>
      <c r="J192" s="2" t="s">
        <v>289</v>
      </c>
      <c r="K192" s="2" t="s">
        <v>285</v>
      </c>
      <c r="L192" s="2" t="s">
        <v>56</v>
      </c>
      <c r="M192" s="2" t="s">
        <v>72</v>
      </c>
      <c r="N192" s="3">
        <v>-11162.5</v>
      </c>
      <c r="O192" s="3">
        <v>-11162.5</v>
      </c>
      <c r="P192" s="3">
        <v>-11162.5</v>
      </c>
      <c r="Q192" s="3">
        <v>-11162.5</v>
      </c>
      <c r="R192" s="3">
        <v>-11162.5</v>
      </c>
      <c r="S192" s="3">
        <v>-11162.5</v>
      </c>
      <c r="T192" s="3">
        <v>-11162.5</v>
      </c>
      <c r="U192" s="3">
        <v>-11162.03</v>
      </c>
      <c r="V192" s="3">
        <v>-11162.5</v>
      </c>
      <c r="W192" s="3">
        <v>-11162.5</v>
      </c>
      <c r="X192" s="3">
        <v>-11162.5</v>
      </c>
      <c r="Y192" s="3">
        <v>-11162.5</v>
      </c>
      <c r="Z192" s="3">
        <v>-133949.53</v>
      </c>
    </row>
    <row r="193" spans="1:26" hidden="1" x14ac:dyDescent="0.3">
      <c r="A193" s="2" t="s">
        <v>467</v>
      </c>
      <c r="B193" s="2" t="s">
        <v>274</v>
      </c>
      <c r="C193" s="2" t="s">
        <v>274</v>
      </c>
      <c r="D193" s="2" t="s">
        <v>82</v>
      </c>
      <c r="E193" s="2" t="s">
        <v>82</v>
      </c>
      <c r="F193" s="2"/>
      <c r="G193" s="2"/>
      <c r="H193" s="2" t="s">
        <v>290</v>
      </c>
      <c r="I193" s="2" t="s">
        <v>290</v>
      </c>
      <c r="J193" s="2" t="s">
        <v>289</v>
      </c>
      <c r="K193" s="2" t="s">
        <v>285</v>
      </c>
      <c r="L193" s="2" t="s">
        <v>56</v>
      </c>
      <c r="M193" s="2" t="s">
        <v>72</v>
      </c>
      <c r="N193" s="3">
        <v>12587.5</v>
      </c>
      <c r="O193" s="3">
        <v>12587.5</v>
      </c>
      <c r="P193" s="3">
        <v>12587.5</v>
      </c>
      <c r="Q193" s="3">
        <v>12587.5</v>
      </c>
      <c r="R193" s="3">
        <v>12587.5</v>
      </c>
      <c r="S193" s="3">
        <v>12587.5</v>
      </c>
      <c r="T193" s="3">
        <v>12587.5</v>
      </c>
      <c r="U193" s="3">
        <v>12586.97</v>
      </c>
      <c r="V193" s="3">
        <v>12587.5</v>
      </c>
      <c r="W193" s="3">
        <v>12587.5</v>
      </c>
      <c r="X193" s="3">
        <v>12587.5</v>
      </c>
      <c r="Y193" s="3">
        <v>12587.5</v>
      </c>
      <c r="Z193" s="3">
        <v>151049.47</v>
      </c>
    </row>
    <row r="194" spans="1:26" hidden="1" x14ac:dyDescent="0.3">
      <c r="A194" s="2" t="s">
        <v>467</v>
      </c>
      <c r="B194" s="2" t="s">
        <v>274</v>
      </c>
      <c r="C194" s="2" t="s">
        <v>274</v>
      </c>
      <c r="D194" s="2" t="s">
        <v>82</v>
      </c>
      <c r="E194" s="2" t="s">
        <v>82</v>
      </c>
      <c r="F194" s="2" t="s">
        <v>53</v>
      </c>
      <c r="G194" s="2" t="s">
        <v>53</v>
      </c>
      <c r="H194" s="2" t="s">
        <v>54</v>
      </c>
      <c r="I194" s="2" t="s">
        <v>54</v>
      </c>
      <c r="J194" s="2" t="s">
        <v>291</v>
      </c>
      <c r="K194" s="2" t="s">
        <v>285</v>
      </c>
      <c r="L194" s="2" t="s">
        <v>56</v>
      </c>
      <c r="M194" s="2" t="s">
        <v>72</v>
      </c>
      <c r="N194" s="3">
        <v>1000</v>
      </c>
      <c r="O194" s="3">
        <v>1000</v>
      </c>
      <c r="P194" s="3">
        <v>1000</v>
      </c>
      <c r="Q194" s="3">
        <v>1000</v>
      </c>
      <c r="R194" s="3">
        <v>1000</v>
      </c>
      <c r="S194" s="3">
        <v>1000</v>
      </c>
      <c r="T194" s="3">
        <v>1000</v>
      </c>
      <c r="U194" s="3">
        <v>1000</v>
      </c>
      <c r="V194" s="3">
        <v>1000</v>
      </c>
      <c r="W194" s="3">
        <v>1000</v>
      </c>
      <c r="X194" s="3">
        <v>1000</v>
      </c>
      <c r="Y194" s="3">
        <v>1000</v>
      </c>
      <c r="Z194" s="3">
        <v>12000</v>
      </c>
    </row>
    <row r="195" spans="1:26" hidden="1" x14ac:dyDescent="0.3">
      <c r="A195" s="2" t="s">
        <v>467</v>
      </c>
      <c r="B195" s="2" t="s">
        <v>274</v>
      </c>
      <c r="C195" s="2" t="s">
        <v>274</v>
      </c>
      <c r="D195" s="2" t="s">
        <v>82</v>
      </c>
      <c r="E195" s="2" t="s">
        <v>82</v>
      </c>
      <c r="F195" s="2" t="s">
        <v>53</v>
      </c>
      <c r="G195" s="2" t="s">
        <v>53</v>
      </c>
      <c r="H195" s="2" t="s">
        <v>54</v>
      </c>
      <c r="I195" s="2" t="s">
        <v>54</v>
      </c>
      <c r="J195" s="2" t="s">
        <v>292</v>
      </c>
      <c r="K195" s="2" t="s">
        <v>285</v>
      </c>
      <c r="L195" s="2" t="s">
        <v>56</v>
      </c>
      <c r="M195" s="2" t="s">
        <v>72</v>
      </c>
      <c r="N195" s="3">
        <v>2650</v>
      </c>
      <c r="O195" s="3">
        <v>2650</v>
      </c>
      <c r="P195" s="3">
        <v>2650</v>
      </c>
      <c r="Q195" s="3">
        <v>2650</v>
      </c>
      <c r="R195" s="3">
        <v>2650</v>
      </c>
      <c r="S195" s="3">
        <v>2650</v>
      </c>
      <c r="T195" s="3">
        <v>2650</v>
      </c>
      <c r="U195" s="3">
        <v>2650</v>
      </c>
      <c r="V195" s="3">
        <v>2650</v>
      </c>
      <c r="W195" s="3">
        <v>2650</v>
      </c>
      <c r="X195" s="3">
        <v>2650</v>
      </c>
      <c r="Y195" s="3">
        <v>2650</v>
      </c>
      <c r="Z195" s="3">
        <v>31800</v>
      </c>
    </row>
    <row r="196" spans="1:26" hidden="1" x14ac:dyDescent="0.3">
      <c r="A196" s="2" t="s">
        <v>467</v>
      </c>
      <c r="B196" s="2" t="s">
        <v>274</v>
      </c>
      <c r="C196" s="2" t="s">
        <v>274</v>
      </c>
      <c r="D196" s="2" t="s">
        <v>82</v>
      </c>
      <c r="E196" s="2" t="s">
        <v>82</v>
      </c>
      <c r="F196" s="2" t="s">
        <v>53</v>
      </c>
      <c r="G196" s="2" t="s">
        <v>53</v>
      </c>
      <c r="H196" s="2" t="s">
        <v>54</v>
      </c>
      <c r="I196" s="2" t="s">
        <v>54</v>
      </c>
      <c r="J196" s="2" t="s">
        <v>293</v>
      </c>
      <c r="K196" s="2" t="s">
        <v>285</v>
      </c>
      <c r="L196" s="2" t="s">
        <v>56</v>
      </c>
      <c r="M196" s="2" t="s">
        <v>72</v>
      </c>
      <c r="N196" s="3">
        <v>2500</v>
      </c>
      <c r="O196" s="3">
        <v>2500</v>
      </c>
      <c r="P196" s="3">
        <v>2500</v>
      </c>
      <c r="Q196" s="3">
        <v>2500</v>
      </c>
      <c r="R196" s="3">
        <v>2500</v>
      </c>
      <c r="S196" s="3">
        <v>2500</v>
      </c>
      <c r="T196" s="3">
        <v>2500</v>
      </c>
      <c r="U196" s="3">
        <v>2500</v>
      </c>
      <c r="V196" s="3">
        <v>2500</v>
      </c>
      <c r="W196" s="3">
        <v>2500</v>
      </c>
      <c r="X196" s="3">
        <v>2500</v>
      </c>
      <c r="Y196" s="3">
        <v>2500</v>
      </c>
      <c r="Z196" s="3">
        <v>30000</v>
      </c>
    </row>
    <row r="197" spans="1:26" hidden="1" x14ac:dyDescent="0.3">
      <c r="A197" s="2" t="s">
        <v>467</v>
      </c>
      <c r="B197" s="2" t="s">
        <v>274</v>
      </c>
      <c r="C197" s="2" t="s">
        <v>274</v>
      </c>
      <c r="D197" s="2" t="s">
        <v>82</v>
      </c>
      <c r="E197" s="2" t="s">
        <v>82</v>
      </c>
      <c r="F197" s="2" t="s">
        <v>53</v>
      </c>
      <c r="G197" s="2" t="s">
        <v>53</v>
      </c>
      <c r="H197" s="2" t="s">
        <v>287</v>
      </c>
      <c r="I197" s="2" t="s">
        <v>287</v>
      </c>
      <c r="J197" s="2" t="s">
        <v>294</v>
      </c>
      <c r="K197" s="2" t="s">
        <v>285</v>
      </c>
      <c r="L197" s="2" t="s">
        <v>56</v>
      </c>
      <c r="M197" s="2" t="s">
        <v>72</v>
      </c>
      <c r="N197" s="3">
        <v>35720</v>
      </c>
      <c r="O197" s="3">
        <v>35720</v>
      </c>
      <c r="P197" s="3">
        <v>35720</v>
      </c>
      <c r="Q197" s="3">
        <v>35720</v>
      </c>
      <c r="R197" s="3">
        <v>35720</v>
      </c>
      <c r="S197" s="3">
        <v>35720</v>
      </c>
      <c r="T197" s="3">
        <v>35720</v>
      </c>
      <c r="U197" s="3">
        <v>35720</v>
      </c>
      <c r="V197" s="3">
        <v>35720</v>
      </c>
      <c r="W197" s="3">
        <v>35720</v>
      </c>
      <c r="X197" s="3">
        <v>35720</v>
      </c>
      <c r="Y197" s="3">
        <v>35720</v>
      </c>
      <c r="Z197" s="3">
        <v>428640</v>
      </c>
    </row>
    <row r="198" spans="1:26" hidden="1" x14ac:dyDescent="0.3">
      <c r="A198" s="2" t="s">
        <v>467</v>
      </c>
      <c r="B198" s="2" t="s">
        <v>274</v>
      </c>
      <c r="C198" s="2" t="s">
        <v>274</v>
      </c>
      <c r="D198" s="2" t="s">
        <v>82</v>
      </c>
      <c r="E198" s="2" t="s">
        <v>82</v>
      </c>
      <c r="F198" s="2" t="s">
        <v>286</v>
      </c>
      <c r="G198" s="2" t="s">
        <v>286</v>
      </c>
      <c r="H198" s="2" t="s">
        <v>287</v>
      </c>
      <c r="I198" s="2" t="s">
        <v>287</v>
      </c>
      <c r="J198" s="2" t="s">
        <v>294</v>
      </c>
      <c r="K198" s="2" t="s">
        <v>285</v>
      </c>
      <c r="L198" s="2" t="s">
        <v>56</v>
      </c>
      <c r="M198" s="2" t="s">
        <v>72</v>
      </c>
      <c r="N198" s="3">
        <v>-35720</v>
      </c>
      <c r="O198" s="3">
        <v>-35720</v>
      </c>
      <c r="P198" s="3">
        <v>-35720</v>
      </c>
      <c r="Q198" s="3">
        <v>-35720</v>
      </c>
      <c r="R198" s="3">
        <v>-35720</v>
      </c>
      <c r="S198" s="3">
        <v>-35720</v>
      </c>
      <c r="T198" s="3">
        <v>-35720</v>
      </c>
      <c r="U198" s="3">
        <v>-35720</v>
      </c>
      <c r="V198" s="3">
        <v>-35720</v>
      </c>
      <c r="W198" s="3">
        <v>-35720</v>
      </c>
      <c r="X198" s="3">
        <v>-35720</v>
      </c>
      <c r="Y198" s="3">
        <v>-35720</v>
      </c>
      <c r="Z198" s="3">
        <v>-428640</v>
      </c>
    </row>
    <row r="199" spans="1:26" hidden="1" x14ac:dyDescent="0.3">
      <c r="A199" s="2" t="s">
        <v>467</v>
      </c>
      <c r="B199" s="2" t="s">
        <v>274</v>
      </c>
      <c r="C199" s="2" t="s">
        <v>274</v>
      </c>
      <c r="D199" s="2" t="s">
        <v>82</v>
      </c>
      <c r="E199" s="2" t="s">
        <v>82</v>
      </c>
      <c r="F199" s="2" t="s">
        <v>53</v>
      </c>
      <c r="G199" s="2" t="s">
        <v>53</v>
      </c>
      <c r="H199" s="2" t="s">
        <v>54</v>
      </c>
      <c r="I199" s="2" t="s">
        <v>54</v>
      </c>
      <c r="J199" s="2" t="s">
        <v>294</v>
      </c>
      <c r="K199" s="2" t="s">
        <v>285</v>
      </c>
      <c r="L199" s="2" t="s">
        <v>56</v>
      </c>
      <c r="M199" s="2" t="s">
        <v>72</v>
      </c>
      <c r="N199" s="3">
        <v>40280</v>
      </c>
      <c r="O199" s="3">
        <v>40280</v>
      </c>
      <c r="P199" s="3">
        <v>40280</v>
      </c>
      <c r="Q199" s="3">
        <v>40280</v>
      </c>
      <c r="R199" s="3">
        <v>40280</v>
      </c>
      <c r="S199" s="3">
        <v>40280</v>
      </c>
      <c r="T199" s="3">
        <v>40280</v>
      </c>
      <c r="U199" s="3">
        <v>40280</v>
      </c>
      <c r="V199" s="3">
        <v>40280</v>
      </c>
      <c r="W199" s="3">
        <v>40280</v>
      </c>
      <c r="X199" s="3">
        <v>40280</v>
      </c>
      <c r="Y199" s="3">
        <v>40280</v>
      </c>
      <c r="Z199" s="3">
        <v>483360</v>
      </c>
    </row>
    <row r="200" spans="1:26" hidden="1" x14ac:dyDescent="0.3">
      <c r="A200" s="2" t="s">
        <v>467</v>
      </c>
      <c r="B200" s="2" t="s">
        <v>274</v>
      </c>
      <c r="C200" s="2" t="s">
        <v>274</v>
      </c>
      <c r="D200" s="2" t="s">
        <v>200</v>
      </c>
      <c r="E200" s="2" t="s">
        <v>200</v>
      </c>
      <c r="F200" s="2" t="s">
        <v>53</v>
      </c>
      <c r="G200" s="2" t="s">
        <v>53</v>
      </c>
      <c r="H200" s="2" t="s">
        <v>54</v>
      </c>
      <c r="I200" s="2" t="s">
        <v>54</v>
      </c>
      <c r="J200" s="2" t="s">
        <v>295</v>
      </c>
      <c r="K200" s="2" t="s">
        <v>285</v>
      </c>
      <c r="L200" s="2" t="s">
        <v>56</v>
      </c>
      <c r="M200" s="2" t="s">
        <v>72</v>
      </c>
      <c r="N200" s="3">
        <v>7900</v>
      </c>
      <c r="O200" s="3">
        <v>7900</v>
      </c>
      <c r="P200" s="3">
        <v>7900</v>
      </c>
      <c r="Q200" s="3">
        <v>7900</v>
      </c>
      <c r="R200" s="3">
        <v>7900</v>
      </c>
      <c r="S200" s="3">
        <v>7900</v>
      </c>
      <c r="T200" s="3">
        <v>7900</v>
      </c>
      <c r="U200" s="3">
        <v>7900</v>
      </c>
      <c r="V200" s="3">
        <v>7900</v>
      </c>
      <c r="W200" s="3">
        <v>7900</v>
      </c>
      <c r="X200" s="3">
        <v>7900</v>
      </c>
      <c r="Y200" s="3">
        <v>7900</v>
      </c>
      <c r="Z200" s="3">
        <v>94800</v>
      </c>
    </row>
    <row r="201" spans="1:26" hidden="1" x14ac:dyDescent="0.3">
      <c r="A201" s="2" t="s">
        <v>467</v>
      </c>
      <c r="B201" s="2" t="s">
        <v>274</v>
      </c>
      <c r="C201" s="2" t="s">
        <v>274</v>
      </c>
      <c r="D201" s="2" t="s">
        <v>82</v>
      </c>
      <c r="E201" s="2" t="s">
        <v>82</v>
      </c>
      <c r="F201" s="2" t="s">
        <v>53</v>
      </c>
      <c r="G201" s="2" t="s">
        <v>53</v>
      </c>
      <c r="H201" s="2" t="s">
        <v>54</v>
      </c>
      <c r="I201" s="2" t="s">
        <v>54</v>
      </c>
      <c r="J201" s="2" t="s">
        <v>296</v>
      </c>
      <c r="K201" s="2" t="s">
        <v>297</v>
      </c>
      <c r="L201" s="2" t="s">
        <v>56</v>
      </c>
      <c r="M201" s="2" t="s">
        <v>72</v>
      </c>
      <c r="N201" s="3">
        <v>9423.33</v>
      </c>
      <c r="O201" s="3">
        <v>9424.33</v>
      </c>
      <c r="P201" s="3">
        <v>9425.33</v>
      </c>
      <c r="Q201" s="3">
        <v>9426.33</v>
      </c>
      <c r="R201" s="3">
        <v>9427.33</v>
      </c>
      <c r="S201" s="3">
        <v>9428.33</v>
      </c>
      <c r="T201" s="3">
        <v>9429.33</v>
      </c>
      <c r="U201" s="3">
        <v>9430.33</v>
      </c>
      <c r="V201" s="3">
        <v>9431.33</v>
      </c>
      <c r="W201" s="3">
        <v>9432.33</v>
      </c>
      <c r="X201" s="3">
        <v>9433.33</v>
      </c>
      <c r="Y201" s="3">
        <v>9434.33</v>
      </c>
      <c r="Z201" s="3">
        <v>113145.96</v>
      </c>
    </row>
    <row r="202" spans="1:26" hidden="1" x14ac:dyDescent="0.3">
      <c r="A202" s="2" t="s">
        <v>467</v>
      </c>
      <c r="B202" s="2" t="s">
        <v>274</v>
      </c>
      <c r="C202" s="2" t="s">
        <v>274</v>
      </c>
      <c r="D202" s="2" t="s">
        <v>82</v>
      </c>
      <c r="E202" s="2" t="s">
        <v>82</v>
      </c>
      <c r="F202" s="2" t="s">
        <v>53</v>
      </c>
      <c r="G202" s="2" t="s">
        <v>53</v>
      </c>
      <c r="H202" s="2" t="s">
        <v>54</v>
      </c>
      <c r="I202" s="2" t="s">
        <v>54</v>
      </c>
      <c r="J202" s="2" t="s">
        <v>298</v>
      </c>
      <c r="K202" s="2" t="s">
        <v>297</v>
      </c>
      <c r="L202" s="2" t="s">
        <v>56</v>
      </c>
      <c r="M202" s="2" t="s">
        <v>72</v>
      </c>
      <c r="N202" s="3">
        <v>8090</v>
      </c>
      <c r="O202" s="3">
        <v>8091</v>
      </c>
      <c r="P202" s="3">
        <v>8092</v>
      </c>
      <c r="Q202" s="3">
        <v>8093</v>
      </c>
      <c r="R202" s="3">
        <v>8094</v>
      </c>
      <c r="S202" s="3">
        <v>8095</v>
      </c>
      <c r="T202" s="3">
        <v>8096</v>
      </c>
      <c r="U202" s="3">
        <v>8097</v>
      </c>
      <c r="V202" s="3">
        <v>8098</v>
      </c>
      <c r="W202" s="3">
        <v>8099</v>
      </c>
      <c r="X202" s="3">
        <v>8100</v>
      </c>
      <c r="Y202" s="3">
        <v>8101</v>
      </c>
      <c r="Z202" s="3">
        <v>97146</v>
      </c>
    </row>
    <row r="203" spans="1:26" hidden="1" x14ac:dyDescent="0.3">
      <c r="A203" s="2" t="s">
        <v>467</v>
      </c>
      <c r="B203" s="2" t="s">
        <v>274</v>
      </c>
      <c r="C203" s="2" t="s">
        <v>274</v>
      </c>
      <c r="D203" s="2" t="s">
        <v>82</v>
      </c>
      <c r="E203" s="2" t="s">
        <v>82</v>
      </c>
      <c r="F203" s="2" t="s">
        <v>53</v>
      </c>
      <c r="G203" s="2" t="s">
        <v>53</v>
      </c>
      <c r="H203" s="2" t="s">
        <v>54</v>
      </c>
      <c r="I203" s="2" t="s">
        <v>54</v>
      </c>
      <c r="J203" s="2" t="s">
        <v>299</v>
      </c>
      <c r="K203" s="2" t="s">
        <v>300</v>
      </c>
      <c r="L203" s="2" t="s">
        <v>56</v>
      </c>
      <c r="M203" s="2" t="s">
        <v>72</v>
      </c>
      <c r="N203" s="3">
        <v>1090</v>
      </c>
      <c r="O203" s="3">
        <v>1091</v>
      </c>
      <c r="P203" s="3">
        <v>1092</v>
      </c>
      <c r="Q203" s="3">
        <v>1093</v>
      </c>
      <c r="R203" s="3">
        <v>1094</v>
      </c>
      <c r="S203" s="3">
        <v>1095</v>
      </c>
      <c r="T203" s="3">
        <v>1096</v>
      </c>
      <c r="U203" s="3">
        <v>1097</v>
      </c>
      <c r="V203" s="3">
        <v>1098</v>
      </c>
      <c r="W203" s="3">
        <v>1099</v>
      </c>
      <c r="X203" s="3">
        <v>1100</v>
      </c>
      <c r="Y203" s="3">
        <v>1101</v>
      </c>
      <c r="Z203" s="3">
        <v>13146</v>
      </c>
    </row>
    <row r="204" spans="1:26" hidden="1" x14ac:dyDescent="0.3">
      <c r="A204" s="2" t="s">
        <v>467</v>
      </c>
      <c r="B204" s="2" t="s">
        <v>274</v>
      </c>
      <c r="C204" s="2" t="s">
        <v>274</v>
      </c>
      <c r="D204" s="2" t="s">
        <v>82</v>
      </c>
      <c r="E204" s="2" t="s">
        <v>82</v>
      </c>
      <c r="F204" s="2" t="s">
        <v>53</v>
      </c>
      <c r="G204" s="2" t="s">
        <v>53</v>
      </c>
      <c r="H204" s="2" t="s">
        <v>54</v>
      </c>
      <c r="I204" s="2" t="s">
        <v>54</v>
      </c>
      <c r="J204" s="2" t="s">
        <v>301</v>
      </c>
      <c r="K204" s="2" t="s">
        <v>302</v>
      </c>
      <c r="L204" s="2" t="s">
        <v>56</v>
      </c>
      <c r="M204" s="2" t="s">
        <v>72</v>
      </c>
      <c r="N204" s="3">
        <v>3000</v>
      </c>
      <c r="O204" s="3">
        <v>3000</v>
      </c>
      <c r="P204" s="3">
        <v>3000</v>
      </c>
      <c r="Q204" s="3">
        <v>3000</v>
      </c>
      <c r="R204" s="3">
        <v>3000</v>
      </c>
      <c r="S204" s="3">
        <v>3000</v>
      </c>
      <c r="T204" s="3">
        <v>3000</v>
      </c>
      <c r="U204" s="3">
        <v>3000</v>
      </c>
      <c r="V204" s="3">
        <v>3000</v>
      </c>
      <c r="W204" s="3">
        <v>3000</v>
      </c>
      <c r="X204" s="3">
        <v>3000</v>
      </c>
      <c r="Y204" s="3">
        <v>3000</v>
      </c>
      <c r="Z204" s="3">
        <v>36000</v>
      </c>
    </row>
    <row r="205" spans="1:26" hidden="1" x14ac:dyDescent="0.3">
      <c r="A205" s="2" t="s">
        <v>467</v>
      </c>
      <c r="B205" s="2" t="s">
        <v>274</v>
      </c>
      <c r="C205" s="2" t="s">
        <v>274</v>
      </c>
      <c r="D205" s="2" t="s">
        <v>135</v>
      </c>
      <c r="E205" s="2" t="s">
        <v>135</v>
      </c>
      <c r="F205" s="2" t="s">
        <v>53</v>
      </c>
      <c r="G205" s="2" t="s">
        <v>53</v>
      </c>
      <c r="H205" s="2" t="s">
        <v>54</v>
      </c>
      <c r="I205" s="2" t="s">
        <v>54</v>
      </c>
      <c r="J205" s="2" t="s">
        <v>303</v>
      </c>
      <c r="K205" s="2" t="s">
        <v>304</v>
      </c>
      <c r="L205" s="2" t="s">
        <v>56</v>
      </c>
      <c r="M205" s="2" t="s">
        <v>72</v>
      </c>
      <c r="N205" s="3">
        <v>2600</v>
      </c>
      <c r="O205" s="3">
        <v>2600</v>
      </c>
      <c r="P205" s="3">
        <v>2600</v>
      </c>
      <c r="Q205" s="3">
        <v>2600</v>
      </c>
      <c r="R205" s="3">
        <v>2600</v>
      </c>
      <c r="S205" s="3">
        <v>2600</v>
      </c>
      <c r="T205" s="3">
        <v>2600</v>
      </c>
      <c r="U205" s="3">
        <v>2600</v>
      </c>
      <c r="V205" s="3">
        <v>2600</v>
      </c>
      <c r="W205" s="3">
        <v>2600</v>
      </c>
      <c r="X205" s="3">
        <v>2600</v>
      </c>
      <c r="Y205" s="3">
        <v>2600</v>
      </c>
      <c r="Z205" s="3">
        <v>31200</v>
      </c>
    </row>
    <row r="206" spans="1:26" hidden="1" x14ac:dyDescent="0.3">
      <c r="A206" s="2" t="s">
        <v>467</v>
      </c>
      <c r="B206" s="2" t="s">
        <v>274</v>
      </c>
      <c r="C206" s="2" t="s">
        <v>274</v>
      </c>
      <c r="D206" s="2" t="s">
        <v>82</v>
      </c>
      <c r="E206" s="2" t="s">
        <v>82</v>
      </c>
      <c r="F206" s="2" t="s">
        <v>53</v>
      </c>
      <c r="G206" s="2" t="s">
        <v>53</v>
      </c>
      <c r="H206" s="2" t="s">
        <v>54</v>
      </c>
      <c r="I206" s="2" t="s">
        <v>54</v>
      </c>
      <c r="J206" s="2" t="s">
        <v>305</v>
      </c>
      <c r="K206" s="2" t="s">
        <v>306</v>
      </c>
      <c r="L206" s="2" t="s">
        <v>56</v>
      </c>
      <c r="M206" s="2" t="s">
        <v>72</v>
      </c>
      <c r="N206" s="3">
        <v>1200</v>
      </c>
      <c r="O206" s="3">
        <v>1200</v>
      </c>
      <c r="P206" s="3">
        <v>1200</v>
      </c>
      <c r="Q206" s="3">
        <v>1200</v>
      </c>
      <c r="R206" s="3">
        <v>1200</v>
      </c>
      <c r="S206" s="3">
        <v>1200</v>
      </c>
      <c r="T206" s="3">
        <v>1200</v>
      </c>
      <c r="U206" s="3">
        <v>1200</v>
      </c>
      <c r="V206" s="3">
        <v>1200</v>
      </c>
      <c r="W206" s="3">
        <v>1200</v>
      </c>
      <c r="X206" s="3">
        <v>1200</v>
      </c>
      <c r="Y206" s="3">
        <v>1200</v>
      </c>
      <c r="Z206" s="3">
        <v>14400</v>
      </c>
    </row>
    <row r="207" spans="1:26" hidden="1" x14ac:dyDescent="0.3">
      <c r="A207" s="2" t="s">
        <v>467</v>
      </c>
      <c r="B207" s="2" t="s">
        <v>274</v>
      </c>
      <c r="C207" s="2" t="s">
        <v>274</v>
      </c>
      <c r="D207" s="2" t="s">
        <v>151</v>
      </c>
      <c r="E207" s="2" t="s">
        <v>151</v>
      </c>
      <c r="F207" s="2" t="s">
        <v>286</v>
      </c>
      <c r="G207" s="2" t="s">
        <v>286</v>
      </c>
      <c r="H207" s="2" t="s">
        <v>287</v>
      </c>
      <c r="I207" s="2" t="s">
        <v>287</v>
      </c>
      <c r="J207" s="2" t="s">
        <v>307</v>
      </c>
      <c r="K207" s="2" t="s">
        <v>308</v>
      </c>
      <c r="L207" s="2" t="s">
        <v>56</v>
      </c>
      <c r="M207" s="2" t="s">
        <v>72</v>
      </c>
      <c r="N207" s="3">
        <v>-15307.9</v>
      </c>
      <c r="O207" s="3">
        <v>-15307.9</v>
      </c>
      <c r="P207" s="3">
        <v>-15307.9</v>
      </c>
      <c r="Q207" s="3">
        <v>-15307.9</v>
      </c>
      <c r="R207" s="3">
        <v>-15307.9</v>
      </c>
      <c r="S207" s="3">
        <v>-15307.9</v>
      </c>
      <c r="T207" s="3">
        <v>-15307.9</v>
      </c>
      <c r="U207" s="3">
        <v>-15307.9</v>
      </c>
      <c r="V207" s="3">
        <v>-15308.37</v>
      </c>
      <c r="W207" s="3">
        <v>-15308.84</v>
      </c>
      <c r="X207" s="3">
        <v>-15309.31</v>
      </c>
      <c r="Y207" s="3">
        <v>-15309.78</v>
      </c>
      <c r="Z207" s="3">
        <v>-183699.49999999997</v>
      </c>
    </row>
    <row r="208" spans="1:26" hidden="1" x14ac:dyDescent="0.3">
      <c r="A208" s="2" t="s">
        <v>467</v>
      </c>
      <c r="B208" s="2" t="s">
        <v>274</v>
      </c>
      <c r="C208" s="2" t="s">
        <v>274</v>
      </c>
      <c r="D208" s="2" t="s">
        <v>151</v>
      </c>
      <c r="E208" s="2" t="s">
        <v>151</v>
      </c>
      <c r="F208" s="2" t="s">
        <v>53</v>
      </c>
      <c r="G208" s="2" t="s">
        <v>53</v>
      </c>
      <c r="H208" s="2" t="s">
        <v>287</v>
      </c>
      <c r="I208" s="2" t="s">
        <v>287</v>
      </c>
      <c r="J208" s="2" t="s">
        <v>307</v>
      </c>
      <c r="K208" s="2" t="s">
        <v>308</v>
      </c>
      <c r="L208" s="2" t="s">
        <v>56</v>
      </c>
      <c r="M208" s="2" t="s">
        <v>72</v>
      </c>
      <c r="N208" s="3">
        <v>15307.9</v>
      </c>
      <c r="O208" s="3">
        <v>15307.9</v>
      </c>
      <c r="P208" s="3">
        <v>15307.9</v>
      </c>
      <c r="Q208" s="3">
        <v>15307.9</v>
      </c>
      <c r="R208" s="3">
        <v>15307.9</v>
      </c>
      <c r="S208" s="3">
        <v>15307.9</v>
      </c>
      <c r="T208" s="3">
        <v>15307.9</v>
      </c>
      <c r="U208" s="3">
        <v>15307.9</v>
      </c>
      <c r="V208" s="3">
        <v>15308.37</v>
      </c>
      <c r="W208" s="3">
        <v>15308.84</v>
      </c>
      <c r="X208" s="3">
        <v>15309.31</v>
      </c>
      <c r="Y208" s="3">
        <v>15309.78</v>
      </c>
      <c r="Z208" s="3">
        <v>183699.49999999997</v>
      </c>
    </row>
    <row r="209" spans="1:26" hidden="1" x14ac:dyDescent="0.3">
      <c r="A209" s="2" t="s">
        <v>467</v>
      </c>
      <c r="B209" s="2" t="s">
        <v>274</v>
      </c>
      <c r="C209" s="2" t="s">
        <v>274</v>
      </c>
      <c r="D209" s="2" t="s">
        <v>151</v>
      </c>
      <c r="E209" s="2" t="s">
        <v>151</v>
      </c>
      <c r="F209" s="2" t="s">
        <v>53</v>
      </c>
      <c r="G209" s="2" t="s">
        <v>53</v>
      </c>
      <c r="H209" s="2" t="s">
        <v>290</v>
      </c>
      <c r="I209" s="2" t="s">
        <v>290</v>
      </c>
      <c r="J209" s="2" t="s">
        <v>307</v>
      </c>
      <c r="K209" s="2" t="s">
        <v>308</v>
      </c>
      <c r="L209" s="2" t="s">
        <v>56</v>
      </c>
      <c r="M209" s="2" t="s">
        <v>72</v>
      </c>
      <c r="N209" s="3">
        <v>17262.099999999999</v>
      </c>
      <c r="O209" s="3">
        <v>17262.099999999999</v>
      </c>
      <c r="P209" s="3">
        <v>17262.099999999999</v>
      </c>
      <c r="Q209" s="3">
        <v>17262.099999999999</v>
      </c>
      <c r="R209" s="3">
        <v>17262.099999999999</v>
      </c>
      <c r="S209" s="3">
        <v>17262.099999999999</v>
      </c>
      <c r="T209" s="3">
        <v>17262.099999999999</v>
      </c>
      <c r="U209" s="3">
        <v>17262.099999999999</v>
      </c>
      <c r="V209" s="3">
        <v>17262.63</v>
      </c>
      <c r="W209" s="3">
        <v>17263.16</v>
      </c>
      <c r="X209" s="3">
        <v>17263.689999999999</v>
      </c>
      <c r="Y209" s="3">
        <v>17264.22</v>
      </c>
      <c r="Z209" s="3">
        <v>207150.50000000003</v>
      </c>
    </row>
    <row r="210" spans="1:26" hidden="1" x14ac:dyDescent="0.3">
      <c r="A210" s="2" t="s">
        <v>467</v>
      </c>
      <c r="B210" s="2" t="s">
        <v>274</v>
      </c>
      <c r="C210" s="2" t="s">
        <v>274</v>
      </c>
      <c r="D210" s="2" t="s">
        <v>151</v>
      </c>
      <c r="E210" s="2" t="s">
        <v>151</v>
      </c>
      <c r="F210" s="2" t="s">
        <v>53</v>
      </c>
      <c r="G210" s="2" t="s">
        <v>53</v>
      </c>
      <c r="H210" s="2" t="s">
        <v>309</v>
      </c>
      <c r="I210" s="2" t="s">
        <v>309</v>
      </c>
      <c r="J210" s="2" t="s">
        <v>310</v>
      </c>
      <c r="K210" s="2" t="s">
        <v>311</v>
      </c>
      <c r="L210" s="2" t="s">
        <v>56</v>
      </c>
      <c r="M210" s="2" t="s">
        <v>72</v>
      </c>
      <c r="N210" s="3">
        <v>10500</v>
      </c>
      <c r="O210" s="3">
        <v>10500</v>
      </c>
      <c r="P210" s="3">
        <v>10500</v>
      </c>
      <c r="Q210" s="3">
        <v>10500</v>
      </c>
      <c r="R210" s="3">
        <v>10500</v>
      </c>
      <c r="S210" s="3">
        <v>10500</v>
      </c>
      <c r="T210" s="3">
        <v>10500</v>
      </c>
      <c r="U210" s="3">
        <v>10500</v>
      </c>
      <c r="V210" s="3">
        <v>10500</v>
      </c>
      <c r="W210" s="3">
        <v>10500</v>
      </c>
      <c r="X210" s="3">
        <v>10500</v>
      </c>
      <c r="Y210" s="3">
        <v>10500</v>
      </c>
      <c r="Z210" s="3">
        <v>126000</v>
      </c>
    </row>
    <row r="211" spans="1:26" hidden="1" x14ac:dyDescent="0.3">
      <c r="A211" s="2" t="s">
        <v>467</v>
      </c>
      <c r="B211" s="2" t="s">
        <v>274</v>
      </c>
      <c r="C211" s="2" t="s">
        <v>274</v>
      </c>
      <c r="D211" s="2" t="s">
        <v>151</v>
      </c>
      <c r="E211" s="2" t="s">
        <v>151</v>
      </c>
      <c r="F211" s="2" t="s">
        <v>53</v>
      </c>
      <c r="G211" s="2" t="s">
        <v>53</v>
      </c>
      <c r="H211" s="2" t="s">
        <v>54</v>
      </c>
      <c r="I211" s="2" t="s">
        <v>54</v>
      </c>
      <c r="J211" s="2" t="s">
        <v>312</v>
      </c>
      <c r="K211" s="2" t="s">
        <v>311</v>
      </c>
      <c r="L211" s="2" t="s">
        <v>56</v>
      </c>
      <c r="M211" s="2" t="s">
        <v>72</v>
      </c>
      <c r="N211" s="3">
        <v>4000</v>
      </c>
      <c r="O211" s="3">
        <v>4000</v>
      </c>
      <c r="P211" s="3">
        <v>4000</v>
      </c>
      <c r="Q211" s="3">
        <v>4000</v>
      </c>
      <c r="R211" s="3">
        <v>4000</v>
      </c>
      <c r="S211" s="3">
        <v>4000</v>
      </c>
      <c r="T211" s="3">
        <v>4000</v>
      </c>
      <c r="U211" s="3">
        <v>4000</v>
      </c>
      <c r="V211" s="3">
        <v>4000</v>
      </c>
      <c r="W211" s="3">
        <v>4000</v>
      </c>
      <c r="X211" s="3">
        <v>4000</v>
      </c>
      <c r="Y211" s="3">
        <v>4000</v>
      </c>
      <c r="Z211" s="3">
        <v>48000</v>
      </c>
    </row>
    <row r="212" spans="1:26" hidden="1" x14ac:dyDescent="0.3">
      <c r="A212" s="2" t="s">
        <v>467</v>
      </c>
      <c r="B212" s="2" t="s">
        <v>274</v>
      </c>
      <c r="C212" s="2" t="s">
        <v>274</v>
      </c>
      <c r="D212" s="2" t="s">
        <v>200</v>
      </c>
      <c r="E212" s="2" t="s">
        <v>200</v>
      </c>
      <c r="F212" s="2" t="s">
        <v>53</v>
      </c>
      <c r="G212" s="2" t="s">
        <v>53</v>
      </c>
      <c r="H212" s="2" t="s">
        <v>54</v>
      </c>
      <c r="I212" s="2" t="s">
        <v>54</v>
      </c>
      <c r="J212" s="2" t="s">
        <v>313</v>
      </c>
      <c r="K212" s="2"/>
      <c r="L212" s="2" t="s">
        <v>56</v>
      </c>
      <c r="M212" s="2" t="s">
        <v>72</v>
      </c>
      <c r="N212" s="3">
        <v>19746</v>
      </c>
      <c r="O212" s="3">
        <v>19746</v>
      </c>
      <c r="P212" s="3">
        <v>19746</v>
      </c>
      <c r="Q212" s="3">
        <v>19746</v>
      </c>
      <c r="R212" s="3">
        <v>19746</v>
      </c>
      <c r="S212" s="3">
        <v>19746</v>
      </c>
      <c r="T212" s="3">
        <v>19746</v>
      </c>
      <c r="U212" s="3">
        <v>19746</v>
      </c>
      <c r="V212" s="3">
        <v>19746</v>
      </c>
      <c r="W212" s="3">
        <v>19746</v>
      </c>
      <c r="X212" s="3">
        <v>19746</v>
      </c>
      <c r="Y212" s="3">
        <v>19746</v>
      </c>
      <c r="Z212" s="3">
        <v>236952</v>
      </c>
    </row>
    <row r="213" spans="1:26" hidden="1" x14ac:dyDescent="0.3">
      <c r="A213" s="2" t="s">
        <v>467</v>
      </c>
      <c r="B213" s="2" t="s">
        <v>274</v>
      </c>
      <c r="C213" s="2" t="s">
        <v>274</v>
      </c>
      <c r="D213" s="2" t="s">
        <v>151</v>
      </c>
      <c r="E213" s="2" t="s">
        <v>151</v>
      </c>
      <c r="F213" s="2" t="s">
        <v>53</v>
      </c>
      <c r="G213" s="2" t="s">
        <v>53</v>
      </c>
      <c r="H213" s="2" t="s">
        <v>54</v>
      </c>
      <c r="I213" s="2" t="s">
        <v>54</v>
      </c>
      <c r="J213" s="2" t="s">
        <v>314</v>
      </c>
      <c r="K213" s="2"/>
      <c r="L213" s="2" t="s">
        <v>56</v>
      </c>
      <c r="M213" s="2" t="s">
        <v>72</v>
      </c>
      <c r="N213" s="3">
        <v>5000</v>
      </c>
      <c r="O213" s="3">
        <v>5000</v>
      </c>
      <c r="P213" s="3">
        <v>5000</v>
      </c>
      <c r="Q213" s="3">
        <v>5000</v>
      </c>
      <c r="R213" s="3">
        <v>5000</v>
      </c>
      <c r="S213" s="3">
        <v>5000</v>
      </c>
      <c r="T213" s="3">
        <v>5000</v>
      </c>
      <c r="U213" s="3">
        <v>5000</v>
      </c>
      <c r="V213" s="3">
        <v>5000</v>
      </c>
      <c r="W213" s="3">
        <v>5000</v>
      </c>
      <c r="X213" s="3">
        <v>5000</v>
      </c>
      <c r="Y213" s="3">
        <v>5000</v>
      </c>
      <c r="Z213" s="3">
        <v>60000</v>
      </c>
    </row>
    <row r="214" spans="1:26" hidden="1" x14ac:dyDescent="0.3">
      <c r="A214" s="2" t="s">
        <v>467</v>
      </c>
      <c r="B214" s="2" t="s">
        <v>274</v>
      </c>
      <c r="C214" s="2" t="s">
        <v>274</v>
      </c>
      <c r="D214" s="2" t="s">
        <v>200</v>
      </c>
      <c r="E214" s="2" t="s">
        <v>200</v>
      </c>
      <c r="F214" s="2" t="s">
        <v>53</v>
      </c>
      <c r="G214" s="2" t="s">
        <v>53</v>
      </c>
      <c r="H214" s="2" t="s">
        <v>54</v>
      </c>
      <c r="I214" s="2" t="s">
        <v>54</v>
      </c>
      <c r="J214" s="2" t="s">
        <v>315</v>
      </c>
      <c r="K214" s="2"/>
      <c r="L214" s="2" t="s">
        <v>56</v>
      </c>
      <c r="M214" s="2" t="s">
        <v>72</v>
      </c>
      <c r="N214" s="3">
        <v>16000</v>
      </c>
      <c r="O214" s="3">
        <v>16000</v>
      </c>
      <c r="P214" s="3">
        <v>16000</v>
      </c>
      <c r="Q214" s="3">
        <v>16000</v>
      </c>
      <c r="R214" s="3">
        <v>16000</v>
      </c>
      <c r="S214" s="3">
        <v>16000</v>
      </c>
      <c r="T214" s="3">
        <v>16000</v>
      </c>
      <c r="U214" s="3">
        <v>16000</v>
      </c>
      <c r="V214" s="3">
        <v>16000</v>
      </c>
      <c r="W214" s="3">
        <v>16000</v>
      </c>
      <c r="X214" s="3">
        <v>16000</v>
      </c>
      <c r="Y214" s="3">
        <v>16000</v>
      </c>
      <c r="Z214" s="3">
        <v>192000</v>
      </c>
    </row>
    <row r="215" spans="1:26" hidden="1" x14ac:dyDescent="0.3">
      <c r="A215" s="2" t="s">
        <v>467</v>
      </c>
      <c r="B215" s="2" t="s">
        <v>274</v>
      </c>
      <c r="C215" s="2" t="s">
        <v>274</v>
      </c>
      <c r="D215" s="2" t="s">
        <v>200</v>
      </c>
      <c r="E215" s="2" t="s">
        <v>200</v>
      </c>
      <c r="F215" s="2" t="s">
        <v>53</v>
      </c>
      <c r="G215" s="2" t="s">
        <v>53</v>
      </c>
      <c r="H215" s="2" t="s">
        <v>54</v>
      </c>
      <c r="I215" s="2" t="s">
        <v>54</v>
      </c>
      <c r="J215" s="2" t="s">
        <v>316</v>
      </c>
      <c r="K215" s="2"/>
      <c r="L215" s="2" t="s">
        <v>56</v>
      </c>
      <c r="M215" s="2" t="s">
        <v>72</v>
      </c>
      <c r="N215" s="3">
        <v>7000</v>
      </c>
      <c r="O215" s="3">
        <v>7000</v>
      </c>
      <c r="P215" s="3">
        <v>7000</v>
      </c>
      <c r="Q215" s="3">
        <v>7000</v>
      </c>
      <c r="R215" s="3">
        <v>7000</v>
      </c>
      <c r="S215" s="3">
        <v>7000</v>
      </c>
      <c r="T215" s="3">
        <v>7000</v>
      </c>
      <c r="U215" s="3">
        <v>7000</v>
      </c>
      <c r="V215" s="3">
        <v>7000</v>
      </c>
      <c r="W215" s="3">
        <v>7000</v>
      </c>
      <c r="X215" s="3">
        <v>7000</v>
      </c>
      <c r="Y215" s="3">
        <v>7000</v>
      </c>
      <c r="Z215" s="3">
        <v>84000</v>
      </c>
    </row>
    <row r="216" spans="1:26" hidden="1" x14ac:dyDescent="0.3">
      <c r="A216" s="2" t="s">
        <v>467</v>
      </c>
      <c r="B216" s="2" t="s">
        <v>274</v>
      </c>
      <c r="C216" s="2" t="s">
        <v>274</v>
      </c>
      <c r="D216" s="2" t="s">
        <v>200</v>
      </c>
      <c r="E216" s="2" t="s">
        <v>200</v>
      </c>
      <c r="F216" s="2" t="s">
        <v>53</v>
      </c>
      <c r="G216" s="2" t="s">
        <v>53</v>
      </c>
      <c r="H216" s="2" t="s">
        <v>54</v>
      </c>
      <c r="I216" s="2" t="s">
        <v>54</v>
      </c>
      <c r="J216" s="2" t="s">
        <v>317</v>
      </c>
      <c r="K216" s="2"/>
      <c r="L216" s="2" t="s">
        <v>56</v>
      </c>
      <c r="M216" s="2" t="s">
        <v>72</v>
      </c>
      <c r="N216" s="3">
        <v>8333.33</v>
      </c>
      <c r="O216" s="3">
        <v>8333.33</v>
      </c>
      <c r="P216" s="3">
        <v>8333.33</v>
      </c>
      <c r="Q216" s="3">
        <v>8333.33</v>
      </c>
      <c r="R216" s="3">
        <v>8333.33</v>
      </c>
      <c r="S216" s="3">
        <v>8333.33</v>
      </c>
      <c r="T216" s="3">
        <v>8333.33</v>
      </c>
      <c r="U216" s="3">
        <v>8333.33</v>
      </c>
      <c r="V216" s="3">
        <v>8333.33</v>
      </c>
      <c r="W216" s="3">
        <v>8333.33</v>
      </c>
      <c r="X216" s="3">
        <v>8333.33</v>
      </c>
      <c r="Y216" s="3">
        <v>8333.33</v>
      </c>
      <c r="Z216" s="3">
        <v>99999.96</v>
      </c>
    </row>
    <row r="217" spans="1:26" hidden="1" x14ac:dyDescent="0.3">
      <c r="A217" s="2" t="s">
        <v>467</v>
      </c>
      <c r="B217" s="2" t="s">
        <v>274</v>
      </c>
      <c r="C217" s="2" t="s">
        <v>274</v>
      </c>
      <c r="D217" s="2" t="s">
        <v>200</v>
      </c>
      <c r="E217" s="2" t="s">
        <v>200</v>
      </c>
      <c r="F217" s="2" t="s">
        <v>53</v>
      </c>
      <c r="G217" s="2" t="s">
        <v>53</v>
      </c>
      <c r="H217" s="2" t="s">
        <v>54</v>
      </c>
      <c r="I217" s="2" t="s">
        <v>54</v>
      </c>
      <c r="J217" s="2" t="s">
        <v>318</v>
      </c>
      <c r="K217" s="2"/>
      <c r="L217" s="2" t="s">
        <v>56</v>
      </c>
      <c r="M217" s="2" t="s">
        <v>72</v>
      </c>
      <c r="N217" s="3">
        <v>0</v>
      </c>
      <c r="O217" s="3">
        <v>0</v>
      </c>
      <c r="P217" s="3">
        <v>0</v>
      </c>
      <c r="Q217" s="3">
        <v>0</v>
      </c>
      <c r="R217" s="3">
        <v>10000</v>
      </c>
      <c r="S217" s="3">
        <v>20000</v>
      </c>
      <c r="T217" s="3">
        <v>20000</v>
      </c>
      <c r="U217" s="3">
        <v>20000</v>
      </c>
      <c r="V217" s="3">
        <v>30000</v>
      </c>
      <c r="W217" s="3">
        <v>10000</v>
      </c>
      <c r="X217" s="3">
        <v>10000</v>
      </c>
      <c r="Y217" s="3">
        <v>0</v>
      </c>
      <c r="Z217" s="3">
        <v>120000</v>
      </c>
    </row>
    <row r="218" spans="1:26" hidden="1" x14ac:dyDescent="0.3">
      <c r="A218" s="2" t="s">
        <v>467</v>
      </c>
      <c r="B218" s="2" t="s">
        <v>274</v>
      </c>
      <c r="C218" s="2" t="s">
        <v>274</v>
      </c>
      <c r="D218" s="2" t="s">
        <v>200</v>
      </c>
      <c r="E218" s="2" t="s">
        <v>200</v>
      </c>
      <c r="F218" s="2" t="s">
        <v>53</v>
      </c>
      <c r="G218" s="2" t="s">
        <v>53</v>
      </c>
      <c r="H218" s="2" t="s">
        <v>54</v>
      </c>
      <c r="I218" s="2" t="s">
        <v>54</v>
      </c>
      <c r="J218" s="2" t="s">
        <v>319</v>
      </c>
      <c r="K218" s="2"/>
      <c r="L218" s="2" t="s">
        <v>56</v>
      </c>
      <c r="M218" s="2" t="s">
        <v>72</v>
      </c>
      <c r="N218" s="3">
        <v>0</v>
      </c>
      <c r="O218" s="3">
        <v>0</v>
      </c>
      <c r="P218" s="3">
        <v>0</v>
      </c>
      <c r="Q218" s="3">
        <v>10000</v>
      </c>
      <c r="R218" s="3">
        <v>15000</v>
      </c>
      <c r="S218" s="3">
        <v>20000</v>
      </c>
      <c r="T218" s="3">
        <v>20000</v>
      </c>
      <c r="U218" s="3">
        <v>25000</v>
      </c>
      <c r="V218" s="3">
        <v>10000</v>
      </c>
      <c r="W218" s="3">
        <v>0</v>
      </c>
      <c r="X218" s="3">
        <v>0</v>
      </c>
      <c r="Y218" s="3">
        <v>0</v>
      </c>
      <c r="Z218" s="3">
        <v>100000</v>
      </c>
    </row>
    <row r="219" spans="1:26" hidden="1" x14ac:dyDescent="0.3">
      <c r="A219" s="2" t="s">
        <v>467</v>
      </c>
      <c r="B219" s="2" t="s">
        <v>274</v>
      </c>
      <c r="C219" s="2" t="s">
        <v>274</v>
      </c>
      <c r="D219" s="2" t="s">
        <v>200</v>
      </c>
      <c r="E219" s="2" t="s">
        <v>200</v>
      </c>
      <c r="F219" s="2" t="s">
        <v>53</v>
      </c>
      <c r="G219" s="2" t="s">
        <v>53</v>
      </c>
      <c r="H219" s="2" t="s">
        <v>54</v>
      </c>
      <c r="I219" s="2" t="s">
        <v>54</v>
      </c>
      <c r="J219" s="2" t="s">
        <v>320</v>
      </c>
      <c r="K219" s="2"/>
      <c r="L219" s="2" t="s">
        <v>56</v>
      </c>
      <c r="M219" s="2" t="s">
        <v>72</v>
      </c>
      <c r="N219" s="3"/>
      <c r="O219" s="3"/>
      <c r="P219" s="3"/>
      <c r="Q219" s="3"/>
      <c r="R219" s="3">
        <v>20000</v>
      </c>
      <c r="S219" s="3">
        <v>10000</v>
      </c>
      <c r="T219" s="3">
        <v>26000</v>
      </c>
      <c r="U219" s="3"/>
      <c r="V219" s="3"/>
      <c r="W219" s="3"/>
      <c r="X219" s="3"/>
      <c r="Y219" s="3"/>
      <c r="Z219" s="3">
        <v>56000</v>
      </c>
    </row>
    <row r="220" spans="1:26" hidden="1" x14ac:dyDescent="0.3">
      <c r="A220" s="2" t="s">
        <v>467</v>
      </c>
      <c r="B220" s="2" t="s">
        <v>274</v>
      </c>
      <c r="C220" s="2" t="s">
        <v>274</v>
      </c>
      <c r="D220" s="2" t="s">
        <v>200</v>
      </c>
      <c r="E220" s="2" t="s">
        <v>200</v>
      </c>
      <c r="F220" s="2" t="s">
        <v>53</v>
      </c>
      <c r="G220" s="2" t="s">
        <v>53</v>
      </c>
      <c r="H220" s="2" t="s">
        <v>54</v>
      </c>
      <c r="I220" s="2" t="s">
        <v>54</v>
      </c>
      <c r="J220" s="2" t="s">
        <v>321</v>
      </c>
      <c r="K220" s="2"/>
      <c r="L220" s="2" t="s">
        <v>56</v>
      </c>
      <c r="M220" s="2" t="s">
        <v>72</v>
      </c>
      <c r="N220" s="3"/>
      <c r="O220" s="3"/>
      <c r="P220" s="3">
        <v>30000</v>
      </c>
      <c r="Q220" s="3">
        <v>20000</v>
      </c>
      <c r="R220" s="3">
        <v>17500</v>
      </c>
      <c r="S220" s="3"/>
      <c r="T220" s="3"/>
      <c r="U220" s="3"/>
      <c r="V220" s="3"/>
      <c r="W220" s="3"/>
      <c r="X220" s="3"/>
      <c r="Y220" s="3"/>
      <c r="Z220" s="3">
        <v>67500</v>
      </c>
    </row>
    <row r="221" spans="1:26" hidden="1" x14ac:dyDescent="0.3">
      <c r="A221" s="2" t="s">
        <v>467</v>
      </c>
      <c r="B221" s="2" t="s">
        <v>274</v>
      </c>
      <c r="C221" s="2" t="s">
        <v>274</v>
      </c>
      <c r="D221" s="2" t="s">
        <v>200</v>
      </c>
      <c r="E221" s="2" t="s">
        <v>200</v>
      </c>
      <c r="F221" s="2" t="s">
        <v>53</v>
      </c>
      <c r="G221" s="2" t="s">
        <v>53</v>
      </c>
      <c r="H221" s="2" t="s">
        <v>54</v>
      </c>
      <c r="I221" s="2" t="s">
        <v>54</v>
      </c>
      <c r="J221" s="2" t="s">
        <v>322</v>
      </c>
      <c r="K221" s="2"/>
      <c r="L221" s="2" t="s">
        <v>56</v>
      </c>
      <c r="M221" s="2" t="s">
        <v>72</v>
      </c>
      <c r="N221" s="3"/>
      <c r="O221" s="3"/>
      <c r="P221" s="3"/>
      <c r="Q221" s="3"/>
      <c r="R221" s="3"/>
      <c r="S221" s="3"/>
      <c r="T221" s="3">
        <v>10000</v>
      </c>
      <c r="U221" s="3">
        <v>10000</v>
      </c>
      <c r="V221" s="3">
        <v>25000</v>
      </c>
      <c r="W221" s="3"/>
      <c r="X221" s="3"/>
      <c r="Y221" s="3"/>
      <c r="Z221" s="3">
        <v>45000</v>
      </c>
    </row>
    <row r="222" spans="1:26" hidden="1" x14ac:dyDescent="0.3">
      <c r="A222" s="2" t="s">
        <v>467</v>
      </c>
      <c r="B222" s="2" t="s">
        <v>274</v>
      </c>
      <c r="C222" s="2" t="s">
        <v>274</v>
      </c>
      <c r="D222" s="2" t="s">
        <v>200</v>
      </c>
      <c r="E222" s="2" t="s">
        <v>200</v>
      </c>
      <c r="F222" s="2" t="s">
        <v>53</v>
      </c>
      <c r="G222" s="2" t="s">
        <v>53</v>
      </c>
      <c r="H222" s="2" t="s">
        <v>54</v>
      </c>
      <c r="I222" s="2" t="s">
        <v>54</v>
      </c>
      <c r="J222" s="2" t="s">
        <v>323</v>
      </c>
      <c r="K222" s="2"/>
      <c r="L222" s="2" t="s">
        <v>56</v>
      </c>
      <c r="M222" s="2" t="s">
        <v>72</v>
      </c>
      <c r="N222" s="3">
        <v>0</v>
      </c>
      <c r="O222" s="3">
        <v>0</v>
      </c>
      <c r="P222" s="3">
        <v>0</v>
      </c>
      <c r="Q222" s="3">
        <v>0</v>
      </c>
      <c r="R222" s="3">
        <v>0</v>
      </c>
      <c r="S222" s="3">
        <v>0</v>
      </c>
      <c r="T222" s="3">
        <v>0</v>
      </c>
      <c r="U222" s="3">
        <v>50000</v>
      </c>
      <c r="V222" s="3">
        <v>0</v>
      </c>
      <c r="W222" s="3">
        <v>0</v>
      </c>
      <c r="X222" s="3">
        <v>0</v>
      </c>
      <c r="Y222" s="3">
        <v>0</v>
      </c>
      <c r="Z222" s="3">
        <v>50000</v>
      </c>
    </row>
    <row r="223" spans="1:26" hidden="1" x14ac:dyDescent="0.3">
      <c r="A223" s="2" t="s">
        <v>467</v>
      </c>
      <c r="B223" s="2" t="s">
        <v>324</v>
      </c>
      <c r="C223" s="2" t="s">
        <v>324</v>
      </c>
      <c r="D223" s="2" t="s">
        <v>69</v>
      </c>
      <c r="E223" s="2" t="s">
        <v>69</v>
      </c>
      <c r="F223" s="2" t="s">
        <v>53</v>
      </c>
      <c r="G223" s="2" t="s">
        <v>53</v>
      </c>
      <c r="H223" s="2" t="s">
        <v>54</v>
      </c>
      <c r="I223" s="2" t="s">
        <v>54</v>
      </c>
      <c r="J223" s="2" t="s">
        <v>70</v>
      </c>
      <c r="K223" s="2" t="s">
        <v>71</v>
      </c>
      <c r="L223" s="2" t="s">
        <v>56</v>
      </c>
      <c r="M223" s="2" t="s">
        <v>72</v>
      </c>
      <c r="N223" s="3">
        <v>154</v>
      </c>
      <c r="O223" s="3">
        <v>154</v>
      </c>
      <c r="P223" s="3">
        <v>155</v>
      </c>
      <c r="Q223" s="3">
        <v>155</v>
      </c>
      <c r="R223" s="3">
        <v>156</v>
      </c>
      <c r="S223" s="3">
        <v>157</v>
      </c>
      <c r="T223" s="3">
        <v>157</v>
      </c>
      <c r="U223" s="3">
        <v>157</v>
      </c>
      <c r="V223" s="3">
        <v>157</v>
      </c>
      <c r="W223" s="3">
        <v>156</v>
      </c>
      <c r="X223" s="3">
        <v>157</v>
      </c>
      <c r="Y223" s="3">
        <v>157</v>
      </c>
      <c r="Z223" s="3">
        <v>1872</v>
      </c>
    </row>
    <row r="224" spans="1:26" hidden="1" x14ac:dyDescent="0.3">
      <c r="A224" s="2" t="s">
        <v>467</v>
      </c>
      <c r="B224" s="2" t="s">
        <v>325</v>
      </c>
      <c r="C224" s="2" t="s">
        <v>325</v>
      </c>
      <c r="D224" s="2" t="s">
        <v>151</v>
      </c>
      <c r="E224" s="2" t="s">
        <v>151</v>
      </c>
      <c r="F224" s="2" t="s">
        <v>53</v>
      </c>
      <c r="G224" s="2" t="s">
        <v>53</v>
      </c>
      <c r="H224" s="2" t="s">
        <v>54</v>
      </c>
      <c r="I224" s="2" t="s">
        <v>54</v>
      </c>
      <c r="J224" s="2" t="s">
        <v>326</v>
      </c>
      <c r="K224" s="2" t="s">
        <v>327</v>
      </c>
      <c r="L224" s="2" t="s">
        <v>56</v>
      </c>
      <c r="M224" s="2" t="s">
        <v>57</v>
      </c>
      <c r="N224" s="3">
        <v>3833</v>
      </c>
      <c r="O224" s="3">
        <v>3833</v>
      </c>
      <c r="P224" s="3">
        <v>3833</v>
      </c>
      <c r="Q224" s="3">
        <v>3833</v>
      </c>
      <c r="R224" s="3">
        <v>3833</v>
      </c>
      <c r="S224" s="3">
        <v>3833</v>
      </c>
      <c r="T224" s="3">
        <v>3833</v>
      </c>
      <c r="U224" s="3">
        <v>3833</v>
      </c>
      <c r="V224" s="3">
        <v>3833</v>
      </c>
      <c r="W224" s="3">
        <v>3833</v>
      </c>
      <c r="X224" s="3">
        <v>3833</v>
      </c>
      <c r="Y224" s="3">
        <v>3833</v>
      </c>
      <c r="Z224" s="3">
        <v>45996</v>
      </c>
    </row>
    <row r="225" spans="1:26" hidden="1" x14ac:dyDescent="0.3">
      <c r="A225" s="2" t="s">
        <v>467</v>
      </c>
      <c r="B225" s="2" t="s">
        <v>325</v>
      </c>
      <c r="C225" s="2" t="s">
        <v>325</v>
      </c>
      <c r="D225" s="2" t="s">
        <v>132</v>
      </c>
      <c r="E225" s="2" t="s">
        <v>132</v>
      </c>
      <c r="F225" s="2" t="s">
        <v>53</v>
      </c>
      <c r="G225" s="2" t="s">
        <v>53</v>
      </c>
      <c r="H225" s="2" t="s">
        <v>54</v>
      </c>
      <c r="I225" s="2" t="s">
        <v>54</v>
      </c>
      <c r="J225" s="2" t="s">
        <v>328</v>
      </c>
      <c r="K225" s="2" t="s">
        <v>329</v>
      </c>
      <c r="L225" s="2" t="s">
        <v>56</v>
      </c>
      <c r="M225" s="2" t="s">
        <v>57</v>
      </c>
      <c r="N225" s="3">
        <v>2548</v>
      </c>
      <c r="O225" s="3">
        <v>2548</v>
      </c>
      <c r="P225" s="3">
        <v>2548</v>
      </c>
      <c r="Q225" s="3">
        <v>2548</v>
      </c>
      <c r="R225" s="3">
        <v>2548</v>
      </c>
      <c r="S225" s="3">
        <v>2548</v>
      </c>
      <c r="T225" s="3">
        <v>2548</v>
      </c>
      <c r="U225" s="3">
        <v>2548</v>
      </c>
      <c r="V225" s="3">
        <v>2548</v>
      </c>
      <c r="W225" s="3">
        <v>2548</v>
      </c>
      <c r="X225" s="3">
        <v>2548</v>
      </c>
      <c r="Y225" s="3">
        <v>2548</v>
      </c>
      <c r="Z225" s="3">
        <v>30576</v>
      </c>
    </row>
    <row r="226" spans="1:26" hidden="1" x14ac:dyDescent="0.3">
      <c r="A226" s="2" t="s">
        <v>467</v>
      </c>
      <c r="B226" s="2" t="s">
        <v>325</v>
      </c>
      <c r="C226" s="2" t="s">
        <v>325</v>
      </c>
      <c r="D226" s="2" t="s">
        <v>132</v>
      </c>
      <c r="E226" s="2" t="s">
        <v>132</v>
      </c>
      <c r="F226" s="2" t="s">
        <v>53</v>
      </c>
      <c r="G226" s="2" t="s">
        <v>53</v>
      </c>
      <c r="H226" s="2" t="s">
        <v>54</v>
      </c>
      <c r="I226" s="2" t="s">
        <v>54</v>
      </c>
      <c r="J226" s="2" t="s">
        <v>330</v>
      </c>
      <c r="K226" s="2" t="s">
        <v>331</v>
      </c>
      <c r="L226" s="2" t="s">
        <v>56</v>
      </c>
      <c r="M226" s="2" t="s">
        <v>57</v>
      </c>
      <c r="N226" s="3">
        <v>1274</v>
      </c>
      <c r="O226" s="3">
        <v>1274</v>
      </c>
      <c r="P226" s="3">
        <v>1274</v>
      </c>
      <c r="Q226" s="3">
        <v>1274</v>
      </c>
      <c r="R226" s="3">
        <v>1274</v>
      </c>
      <c r="S226" s="3">
        <v>1274</v>
      </c>
      <c r="T226" s="3">
        <v>1274</v>
      </c>
      <c r="U226" s="3">
        <v>1274</v>
      </c>
      <c r="V226" s="3">
        <v>1274</v>
      </c>
      <c r="W226" s="3">
        <v>1274</v>
      </c>
      <c r="X226" s="3">
        <v>1274</v>
      </c>
      <c r="Y226" s="3">
        <v>1274</v>
      </c>
      <c r="Z226" s="3">
        <v>15288</v>
      </c>
    </row>
    <row r="227" spans="1:26" hidden="1" x14ac:dyDescent="0.3">
      <c r="A227" s="2" t="s">
        <v>467</v>
      </c>
      <c r="B227" s="2" t="s">
        <v>325</v>
      </c>
      <c r="C227" s="2" t="s">
        <v>325</v>
      </c>
      <c r="D227" s="2" t="s">
        <v>151</v>
      </c>
      <c r="E227" s="2" t="s">
        <v>151</v>
      </c>
      <c r="F227" s="2" t="s">
        <v>53</v>
      </c>
      <c r="G227" s="2" t="s">
        <v>53</v>
      </c>
      <c r="H227" s="2" t="s">
        <v>54</v>
      </c>
      <c r="I227" s="2" t="s">
        <v>54</v>
      </c>
      <c r="J227" s="2" t="s">
        <v>332</v>
      </c>
      <c r="K227" s="2" t="s">
        <v>333</v>
      </c>
      <c r="L227" s="2" t="s">
        <v>56</v>
      </c>
      <c r="M227" s="2" t="s">
        <v>57</v>
      </c>
      <c r="N227" s="3">
        <v>11667</v>
      </c>
      <c r="O227" s="3">
        <v>11667</v>
      </c>
      <c r="P227" s="3">
        <v>11667</v>
      </c>
      <c r="Q227" s="3">
        <v>11667</v>
      </c>
      <c r="R227" s="3">
        <v>11667</v>
      </c>
      <c r="S227" s="3">
        <v>11667</v>
      </c>
      <c r="T227" s="3">
        <v>11667</v>
      </c>
      <c r="U227" s="3">
        <v>11667</v>
      </c>
      <c r="V227" s="3">
        <v>11667</v>
      </c>
      <c r="W227" s="3">
        <v>11667</v>
      </c>
      <c r="X227" s="3">
        <v>11667</v>
      </c>
      <c r="Y227" s="3">
        <v>11667</v>
      </c>
      <c r="Z227" s="3">
        <v>140004</v>
      </c>
    </row>
    <row r="228" spans="1:26" hidden="1" x14ac:dyDescent="0.3">
      <c r="A228" s="2" t="s">
        <v>467</v>
      </c>
      <c r="B228" s="2" t="s">
        <v>325</v>
      </c>
      <c r="C228" s="2" t="s">
        <v>325</v>
      </c>
      <c r="D228" s="2" t="s">
        <v>82</v>
      </c>
      <c r="E228" s="2" t="s">
        <v>82</v>
      </c>
      <c r="F228" s="2" t="s">
        <v>53</v>
      </c>
      <c r="G228" s="2" t="s">
        <v>53</v>
      </c>
      <c r="H228" s="2" t="s">
        <v>54</v>
      </c>
      <c r="I228" s="2" t="s">
        <v>54</v>
      </c>
      <c r="J228" s="2" t="s">
        <v>334</v>
      </c>
      <c r="K228" s="2" t="s">
        <v>335</v>
      </c>
      <c r="L228" s="2" t="s">
        <v>56</v>
      </c>
      <c r="M228" s="2" t="s">
        <v>57</v>
      </c>
      <c r="N228" s="3">
        <v>1000</v>
      </c>
      <c r="O228" s="3">
        <v>1000</v>
      </c>
      <c r="P228" s="3">
        <v>1000</v>
      </c>
      <c r="Q228" s="3">
        <v>1000</v>
      </c>
      <c r="R228" s="3">
        <v>1000</v>
      </c>
      <c r="S228" s="3">
        <v>1000</v>
      </c>
      <c r="T228" s="3">
        <v>1000</v>
      </c>
      <c r="U228" s="3">
        <v>1000</v>
      </c>
      <c r="V228" s="3">
        <v>1000</v>
      </c>
      <c r="W228" s="3">
        <v>1000</v>
      </c>
      <c r="X228" s="3">
        <v>1000</v>
      </c>
      <c r="Y228" s="3">
        <v>1000</v>
      </c>
      <c r="Z228" s="3">
        <v>12000</v>
      </c>
    </row>
    <row r="229" spans="1:26" hidden="1" x14ac:dyDescent="0.3">
      <c r="A229" s="2" t="s">
        <v>467</v>
      </c>
      <c r="B229" s="2" t="s">
        <v>325</v>
      </c>
      <c r="C229" s="2" t="s">
        <v>325</v>
      </c>
      <c r="D229" s="2" t="s">
        <v>82</v>
      </c>
      <c r="E229" s="2" t="s">
        <v>82</v>
      </c>
      <c r="F229" s="2" t="s">
        <v>53</v>
      </c>
      <c r="G229" s="2" t="s">
        <v>53</v>
      </c>
      <c r="H229" s="2" t="s">
        <v>54</v>
      </c>
      <c r="I229" s="2" t="s">
        <v>54</v>
      </c>
      <c r="J229" s="2" t="s">
        <v>336</v>
      </c>
      <c r="K229" s="2" t="s">
        <v>337</v>
      </c>
      <c r="L229" s="2" t="s">
        <v>56</v>
      </c>
      <c r="M229" s="2" t="s">
        <v>57</v>
      </c>
      <c r="N229" s="3">
        <v>3333</v>
      </c>
      <c r="O229" s="3">
        <v>3333</v>
      </c>
      <c r="P229" s="3">
        <v>3333</v>
      </c>
      <c r="Q229" s="3">
        <v>3333</v>
      </c>
      <c r="R229" s="3">
        <v>3333</v>
      </c>
      <c r="S229" s="3">
        <v>3333</v>
      </c>
      <c r="T229" s="3">
        <v>3333</v>
      </c>
      <c r="U229" s="3">
        <v>3333</v>
      </c>
      <c r="V229" s="3">
        <v>3333</v>
      </c>
      <c r="W229" s="3">
        <v>3333</v>
      </c>
      <c r="X229" s="3">
        <v>3333</v>
      </c>
      <c r="Y229" s="3">
        <v>3333</v>
      </c>
      <c r="Z229" s="3">
        <v>39996</v>
      </c>
    </row>
    <row r="230" spans="1:26" hidden="1" x14ac:dyDescent="0.3">
      <c r="A230" s="2" t="s">
        <v>467</v>
      </c>
      <c r="B230" s="2" t="s">
        <v>325</v>
      </c>
      <c r="C230" s="2" t="s">
        <v>325</v>
      </c>
      <c r="D230" s="2" t="s">
        <v>132</v>
      </c>
      <c r="E230" s="2" t="s">
        <v>132</v>
      </c>
      <c r="F230" s="2" t="s">
        <v>53</v>
      </c>
      <c r="G230" s="2" t="s">
        <v>53</v>
      </c>
      <c r="H230" s="2" t="s">
        <v>54</v>
      </c>
      <c r="I230" s="2" t="s">
        <v>54</v>
      </c>
      <c r="J230" s="2" t="s">
        <v>338</v>
      </c>
      <c r="K230" s="2"/>
      <c r="L230" s="2" t="s">
        <v>56</v>
      </c>
      <c r="M230" s="2" t="s">
        <v>57</v>
      </c>
      <c r="N230" s="3">
        <v>1698</v>
      </c>
      <c r="O230" s="3">
        <v>1698</v>
      </c>
      <c r="P230" s="3">
        <v>1698</v>
      </c>
      <c r="Q230" s="3">
        <v>1698</v>
      </c>
      <c r="R230" s="3">
        <v>1698</v>
      </c>
      <c r="S230" s="3">
        <v>1698</v>
      </c>
      <c r="T230" s="3">
        <v>1698</v>
      </c>
      <c r="U230" s="3">
        <v>1698</v>
      </c>
      <c r="V230" s="3">
        <v>1698</v>
      </c>
      <c r="W230" s="3">
        <v>1698</v>
      </c>
      <c r="X230" s="3">
        <v>1698</v>
      </c>
      <c r="Y230" s="3">
        <v>1698</v>
      </c>
      <c r="Z230" s="3">
        <v>20376</v>
      </c>
    </row>
    <row r="231" spans="1:26" hidden="1" x14ac:dyDescent="0.3">
      <c r="A231" s="2" t="s">
        <v>467</v>
      </c>
      <c r="B231" s="2" t="s">
        <v>325</v>
      </c>
      <c r="C231" s="2" t="s">
        <v>325</v>
      </c>
      <c r="D231" s="2" t="s">
        <v>82</v>
      </c>
      <c r="E231" s="2" t="s">
        <v>82</v>
      </c>
      <c r="F231" s="2" t="s">
        <v>53</v>
      </c>
      <c r="G231" s="2" t="s">
        <v>53</v>
      </c>
      <c r="H231" s="2" t="s">
        <v>54</v>
      </c>
      <c r="I231" s="2" t="s">
        <v>54</v>
      </c>
      <c r="J231" s="2" t="s">
        <v>339</v>
      </c>
      <c r="K231" s="2"/>
      <c r="L231" s="2" t="s">
        <v>56</v>
      </c>
      <c r="M231" s="2" t="s">
        <v>57</v>
      </c>
      <c r="N231" s="3">
        <v>7133</v>
      </c>
      <c r="O231" s="3">
        <v>7133</v>
      </c>
      <c r="P231" s="3">
        <v>7133</v>
      </c>
      <c r="Q231" s="3">
        <v>7133</v>
      </c>
      <c r="R231" s="3">
        <v>7133</v>
      </c>
      <c r="S231" s="3">
        <v>7133</v>
      </c>
      <c r="T231" s="3">
        <v>7133</v>
      </c>
      <c r="U231" s="3">
        <v>7133</v>
      </c>
      <c r="V231" s="3">
        <v>7133</v>
      </c>
      <c r="W231" s="3">
        <v>7133</v>
      </c>
      <c r="X231" s="3">
        <v>7133</v>
      </c>
      <c r="Y231" s="3">
        <v>7133</v>
      </c>
      <c r="Z231" s="3">
        <v>85596</v>
      </c>
    </row>
    <row r="232" spans="1:26" hidden="1" x14ac:dyDescent="0.3">
      <c r="A232" s="2" t="s">
        <v>467</v>
      </c>
      <c r="B232" s="2" t="s">
        <v>325</v>
      </c>
      <c r="C232" s="2" t="s">
        <v>325</v>
      </c>
      <c r="D232" s="2" t="s">
        <v>151</v>
      </c>
      <c r="E232" s="2" t="s">
        <v>151</v>
      </c>
      <c r="F232" s="2" t="s">
        <v>53</v>
      </c>
      <c r="G232" s="2" t="s">
        <v>53</v>
      </c>
      <c r="H232" s="2" t="s">
        <v>54</v>
      </c>
      <c r="I232" s="2" t="s">
        <v>54</v>
      </c>
      <c r="J232" s="2" t="s">
        <v>340</v>
      </c>
      <c r="K232" s="2"/>
      <c r="L232" s="2" t="s">
        <v>56</v>
      </c>
      <c r="M232" s="2" t="s">
        <v>57</v>
      </c>
      <c r="N232" s="3">
        <v>425</v>
      </c>
      <c r="O232" s="3">
        <v>425</v>
      </c>
      <c r="P232" s="3">
        <v>425</v>
      </c>
      <c r="Q232" s="3">
        <v>425</v>
      </c>
      <c r="R232" s="3">
        <v>425</v>
      </c>
      <c r="S232" s="3">
        <v>425</v>
      </c>
      <c r="T232" s="3">
        <v>425</v>
      </c>
      <c r="U232" s="3">
        <v>425</v>
      </c>
      <c r="V232" s="3">
        <v>425</v>
      </c>
      <c r="W232" s="3">
        <v>425</v>
      </c>
      <c r="X232" s="3">
        <v>425</v>
      </c>
      <c r="Y232" s="3">
        <v>425</v>
      </c>
      <c r="Z232" s="3">
        <v>5100</v>
      </c>
    </row>
    <row r="233" spans="1:26" hidden="1" x14ac:dyDescent="0.3">
      <c r="A233" s="2" t="s">
        <v>467</v>
      </c>
      <c r="B233" s="2" t="s">
        <v>341</v>
      </c>
      <c r="C233" s="2" t="s">
        <v>341</v>
      </c>
      <c r="D233" s="2" t="s">
        <v>69</v>
      </c>
      <c r="E233" s="2" t="s">
        <v>69</v>
      </c>
      <c r="F233" s="2" t="s">
        <v>53</v>
      </c>
      <c r="G233" s="2" t="s">
        <v>53</v>
      </c>
      <c r="H233" s="2" t="s">
        <v>54</v>
      </c>
      <c r="I233" s="2" t="s">
        <v>54</v>
      </c>
      <c r="J233" s="2" t="s">
        <v>70</v>
      </c>
      <c r="K233" s="2" t="s">
        <v>71</v>
      </c>
      <c r="L233" s="2" t="s">
        <v>56</v>
      </c>
      <c r="M233" s="2" t="s">
        <v>72</v>
      </c>
      <c r="N233" s="3">
        <v>379</v>
      </c>
      <c r="O233" s="3">
        <v>393</v>
      </c>
      <c r="P233" s="3">
        <v>410</v>
      </c>
      <c r="Q233" s="3">
        <v>412</v>
      </c>
      <c r="R233" s="3">
        <v>411</v>
      </c>
      <c r="S233" s="3">
        <v>409</v>
      </c>
      <c r="T233" s="3">
        <v>405</v>
      </c>
      <c r="U233" s="3">
        <v>407</v>
      </c>
      <c r="V233" s="3">
        <v>409</v>
      </c>
      <c r="W233" s="3">
        <v>409</v>
      </c>
      <c r="X233" s="3">
        <v>409</v>
      </c>
      <c r="Y233" s="3">
        <v>409</v>
      </c>
      <c r="Z233" s="3">
        <v>4862</v>
      </c>
    </row>
    <row r="234" spans="1:26" x14ac:dyDescent="0.3">
      <c r="A234" s="2" t="s">
        <v>467</v>
      </c>
      <c r="B234" s="2" t="s">
        <v>342</v>
      </c>
      <c r="C234" s="2" t="s">
        <v>342</v>
      </c>
      <c r="D234" s="2" t="s">
        <v>82</v>
      </c>
      <c r="E234" s="2" t="s">
        <v>82</v>
      </c>
      <c r="F234" s="2" t="s">
        <v>53</v>
      </c>
      <c r="G234" s="2" t="s">
        <v>53</v>
      </c>
      <c r="H234" s="2" t="s">
        <v>54</v>
      </c>
      <c r="I234" s="2" t="s">
        <v>54</v>
      </c>
      <c r="J234" s="2" t="s">
        <v>343</v>
      </c>
      <c r="K234" s="2" t="s">
        <v>344</v>
      </c>
      <c r="L234" s="2" t="s">
        <v>56</v>
      </c>
      <c r="M234" s="2" t="s">
        <v>57</v>
      </c>
      <c r="N234" s="3">
        <v>3750</v>
      </c>
      <c r="O234" s="3">
        <v>3750</v>
      </c>
      <c r="P234" s="3">
        <v>3750</v>
      </c>
      <c r="Q234" s="3">
        <v>3750</v>
      </c>
      <c r="R234" s="3">
        <v>3750</v>
      </c>
      <c r="S234" s="3">
        <v>3750</v>
      </c>
      <c r="T234" s="3">
        <v>3750</v>
      </c>
      <c r="U234" s="3">
        <v>3750</v>
      </c>
      <c r="V234" s="3">
        <v>3750</v>
      </c>
      <c r="W234" s="3">
        <v>3750</v>
      </c>
      <c r="X234" s="3">
        <v>3750</v>
      </c>
      <c r="Y234" s="3">
        <v>3750</v>
      </c>
      <c r="Z234" s="3">
        <v>45000</v>
      </c>
    </row>
    <row r="235" spans="1:26" x14ac:dyDescent="0.3">
      <c r="A235" s="2" t="s">
        <v>467</v>
      </c>
      <c r="B235" s="2" t="s">
        <v>342</v>
      </c>
      <c r="C235" s="2" t="s">
        <v>342</v>
      </c>
      <c r="D235" s="2" t="s">
        <v>82</v>
      </c>
      <c r="E235" s="2" t="s">
        <v>82</v>
      </c>
      <c r="F235" s="2" t="s">
        <v>53</v>
      </c>
      <c r="G235" s="2" t="s">
        <v>53</v>
      </c>
      <c r="H235" s="2" t="s">
        <v>54</v>
      </c>
      <c r="I235" s="2" t="s">
        <v>54</v>
      </c>
      <c r="J235" s="2" t="s">
        <v>345</v>
      </c>
      <c r="K235" s="2" t="s">
        <v>345</v>
      </c>
      <c r="L235" s="2" t="s">
        <v>56</v>
      </c>
      <c r="M235" s="2" t="s">
        <v>57</v>
      </c>
      <c r="N235" s="3">
        <v>500</v>
      </c>
      <c r="O235" s="3">
        <v>500</v>
      </c>
      <c r="P235" s="3">
        <v>500</v>
      </c>
      <c r="Q235" s="3">
        <v>500</v>
      </c>
      <c r="R235" s="3">
        <v>500</v>
      </c>
      <c r="S235" s="3">
        <v>500</v>
      </c>
      <c r="T235" s="3">
        <v>500</v>
      </c>
      <c r="U235" s="3">
        <v>500</v>
      </c>
      <c r="V235" s="3">
        <v>500</v>
      </c>
      <c r="W235" s="3">
        <v>500</v>
      </c>
      <c r="X235" s="3">
        <v>500</v>
      </c>
      <c r="Y235" s="3">
        <v>500</v>
      </c>
      <c r="Z235" s="3">
        <v>6000</v>
      </c>
    </row>
    <row r="236" spans="1:26" x14ac:dyDescent="0.3">
      <c r="A236" s="2" t="s">
        <v>467</v>
      </c>
      <c r="B236" s="2" t="s">
        <v>342</v>
      </c>
      <c r="C236" s="2" t="s">
        <v>342</v>
      </c>
      <c r="D236" s="2" t="s">
        <v>82</v>
      </c>
      <c r="E236" s="2" t="s">
        <v>82</v>
      </c>
      <c r="F236" s="2" t="s">
        <v>53</v>
      </c>
      <c r="G236" s="2" t="s">
        <v>53</v>
      </c>
      <c r="H236" s="2" t="s">
        <v>346</v>
      </c>
      <c r="I236" s="2" t="s">
        <v>346</v>
      </c>
      <c r="J236" s="2" t="s">
        <v>347</v>
      </c>
      <c r="K236" s="2" t="s">
        <v>348</v>
      </c>
      <c r="L236" s="2" t="s">
        <v>56</v>
      </c>
      <c r="M236" s="2" t="s">
        <v>57</v>
      </c>
      <c r="N236" s="3"/>
      <c r="O236" s="3"/>
      <c r="P236" s="3"/>
      <c r="Q236" s="3"/>
      <c r="R236" s="3"/>
      <c r="S236" s="3"/>
      <c r="T236" s="3">
        <v>128058</v>
      </c>
      <c r="U236" s="3">
        <v>128058</v>
      </c>
      <c r="V236" s="3">
        <v>128058</v>
      </c>
      <c r="W236" s="3">
        <v>128058</v>
      </c>
      <c r="X236" s="3">
        <v>128058</v>
      </c>
      <c r="Y236" s="3">
        <v>128058</v>
      </c>
      <c r="Z236" s="3">
        <v>768348</v>
      </c>
    </row>
    <row r="237" spans="1:26" x14ac:dyDescent="0.3">
      <c r="A237" s="2" t="s">
        <v>467</v>
      </c>
      <c r="B237" s="2" t="s">
        <v>342</v>
      </c>
      <c r="C237" s="2" t="s">
        <v>342</v>
      </c>
      <c r="D237" s="2" t="s">
        <v>82</v>
      </c>
      <c r="E237" s="2" t="s">
        <v>82</v>
      </c>
      <c r="F237" s="2" t="s">
        <v>53</v>
      </c>
      <c r="G237" s="2" t="s">
        <v>53</v>
      </c>
      <c r="H237" s="2" t="s">
        <v>54</v>
      </c>
      <c r="I237" s="2" t="s">
        <v>54</v>
      </c>
      <c r="J237" s="2" t="s">
        <v>349</v>
      </c>
      <c r="K237" s="2" t="s">
        <v>350</v>
      </c>
      <c r="L237" s="2" t="s">
        <v>56</v>
      </c>
      <c r="M237" s="2" t="s">
        <v>57</v>
      </c>
      <c r="N237" s="3">
        <v>3583</v>
      </c>
      <c r="O237" s="3">
        <v>3583</v>
      </c>
      <c r="P237" s="3">
        <v>3583</v>
      </c>
      <c r="Q237" s="3">
        <v>3583</v>
      </c>
      <c r="R237" s="3">
        <v>3583</v>
      </c>
      <c r="S237" s="3">
        <v>3583</v>
      </c>
      <c r="T237" s="3">
        <v>3583</v>
      </c>
      <c r="U237" s="3">
        <v>3583</v>
      </c>
      <c r="V237" s="3">
        <v>3583</v>
      </c>
      <c r="W237" s="3">
        <v>3583</v>
      </c>
      <c r="X237" s="3">
        <v>3583</v>
      </c>
      <c r="Y237" s="3">
        <v>3583</v>
      </c>
      <c r="Z237" s="3">
        <v>42996</v>
      </c>
    </row>
    <row r="238" spans="1:26" x14ac:dyDescent="0.3">
      <c r="A238" s="2" t="s">
        <v>467</v>
      </c>
      <c r="B238" s="2" t="s">
        <v>342</v>
      </c>
      <c r="C238" s="2" t="s">
        <v>342</v>
      </c>
      <c r="D238" s="2" t="s">
        <v>82</v>
      </c>
      <c r="E238" s="2" t="s">
        <v>82</v>
      </c>
      <c r="F238" s="2" t="s">
        <v>53</v>
      </c>
      <c r="G238" s="2" t="s">
        <v>53</v>
      </c>
      <c r="H238" s="2" t="s">
        <v>54</v>
      </c>
      <c r="I238" s="2" t="s">
        <v>54</v>
      </c>
      <c r="J238" s="2" t="s">
        <v>351</v>
      </c>
      <c r="K238" s="2" t="s">
        <v>351</v>
      </c>
      <c r="L238" s="2" t="s">
        <v>56</v>
      </c>
      <c r="M238" s="2" t="s">
        <v>57</v>
      </c>
      <c r="N238" s="3">
        <v>3333</v>
      </c>
      <c r="O238" s="3">
        <v>3333</v>
      </c>
      <c r="P238" s="3">
        <v>3333</v>
      </c>
      <c r="Q238" s="3">
        <v>3333</v>
      </c>
      <c r="R238" s="3">
        <v>3333</v>
      </c>
      <c r="S238" s="3">
        <v>3333</v>
      </c>
      <c r="T238" s="3">
        <v>3333</v>
      </c>
      <c r="U238" s="3">
        <v>3333</v>
      </c>
      <c r="V238" s="3">
        <v>3333</v>
      </c>
      <c r="W238" s="3">
        <v>3333</v>
      </c>
      <c r="X238" s="3">
        <v>3333</v>
      </c>
      <c r="Y238" s="3">
        <v>3333</v>
      </c>
      <c r="Z238" s="3">
        <v>39996</v>
      </c>
    </row>
    <row r="239" spans="1:26" x14ac:dyDescent="0.3">
      <c r="A239" s="2" t="s">
        <v>467</v>
      </c>
      <c r="B239" s="2" t="s">
        <v>342</v>
      </c>
      <c r="C239" s="2" t="s">
        <v>342</v>
      </c>
      <c r="D239" s="2" t="s">
        <v>82</v>
      </c>
      <c r="E239" s="2" t="s">
        <v>82</v>
      </c>
      <c r="F239" s="2" t="s">
        <v>53</v>
      </c>
      <c r="G239" s="2" t="s">
        <v>53</v>
      </c>
      <c r="H239" s="2" t="s">
        <v>54</v>
      </c>
      <c r="I239" s="2" t="s">
        <v>54</v>
      </c>
      <c r="J239" s="2" t="s">
        <v>352</v>
      </c>
      <c r="K239" s="2" t="s">
        <v>352</v>
      </c>
      <c r="L239" s="2" t="s">
        <v>56</v>
      </c>
      <c r="M239" s="2" t="s">
        <v>57</v>
      </c>
      <c r="N239" s="3">
        <v>2250</v>
      </c>
      <c r="O239" s="3">
        <v>2250</v>
      </c>
      <c r="P239" s="3">
        <v>2250</v>
      </c>
      <c r="Q239" s="3">
        <v>2250</v>
      </c>
      <c r="R239" s="3">
        <v>2250</v>
      </c>
      <c r="S239" s="3">
        <v>2250</v>
      </c>
      <c r="T239" s="3">
        <v>2250</v>
      </c>
      <c r="U239" s="3">
        <v>2250</v>
      </c>
      <c r="V239" s="3">
        <v>2250</v>
      </c>
      <c r="W239" s="3">
        <v>2250</v>
      </c>
      <c r="X239" s="3">
        <v>2250</v>
      </c>
      <c r="Y239" s="3">
        <v>2250</v>
      </c>
      <c r="Z239" s="3">
        <v>27000</v>
      </c>
    </row>
    <row r="240" spans="1:26" x14ac:dyDescent="0.3">
      <c r="A240" s="2" t="s">
        <v>467</v>
      </c>
      <c r="B240" s="2" t="s">
        <v>342</v>
      </c>
      <c r="C240" s="2" t="s">
        <v>342</v>
      </c>
      <c r="D240" s="2" t="s">
        <v>82</v>
      </c>
      <c r="E240" s="2" t="s">
        <v>82</v>
      </c>
      <c r="F240" s="2" t="s">
        <v>53</v>
      </c>
      <c r="G240" s="2" t="s">
        <v>53</v>
      </c>
      <c r="H240" s="2" t="s">
        <v>54</v>
      </c>
      <c r="I240" s="2" t="s">
        <v>54</v>
      </c>
      <c r="J240" s="2" t="s">
        <v>353</v>
      </c>
      <c r="K240" s="2" t="s">
        <v>353</v>
      </c>
      <c r="L240" s="2" t="s">
        <v>56</v>
      </c>
      <c r="M240" s="2" t="s">
        <v>57</v>
      </c>
      <c r="N240" s="3">
        <v>917</v>
      </c>
      <c r="O240" s="3">
        <v>917</v>
      </c>
      <c r="P240" s="3">
        <v>917</v>
      </c>
      <c r="Q240" s="3">
        <v>917</v>
      </c>
      <c r="R240" s="3">
        <v>917</v>
      </c>
      <c r="S240" s="3">
        <v>917</v>
      </c>
      <c r="T240" s="3">
        <v>917</v>
      </c>
      <c r="U240" s="3">
        <v>917</v>
      </c>
      <c r="V240" s="3">
        <v>917</v>
      </c>
      <c r="W240" s="3">
        <v>917</v>
      </c>
      <c r="X240" s="3">
        <v>917</v>
      </c>
      <c r="Y240" s="3">
        <v>917</v>
      </c>
      <c r="Z240" s="3">
        <v>11004</v>
      </c>
    </row>
    <row r="241" spans="1:26" x14ac:dyDescent="0.3">
      <c r="A241" s="2" t="s">
        <v>467</v>
      </c>
      <c r="B241" s="2" t="s">
        <v>342</v>
      </c>
      <c r="C241" s="2" t="s">
        <v>342</v>
      </c>
      <c r="D241" s="2" t="s">
        <v>82</v>
      </c>
      <c r="E241" s="2" t="s">
        <v>82</v>
      </c>
      <c r="F241" s="2" t="s">
        <v>53</v>
      </c>
      <c r="G241" s="2" t="s">
        <v>53</v>
      </c>
      <c r="H241" s="2" t="s">
        <v>54</v>
      </c>
      <c r="I241" s="2" t="s">
        <v>54</v>
      </c>
      <c r="J241" s="2" t="s">
        <v>354</v>
      </c>
      <c r="K241" s="2" t="s">
        <v>355</v>
      </c>
      <c r="L241" s="2" t="s">
        <v>56</v>
      </c>
      <c r="M241" s="2" t="s">
        <v>57</v>
      </c>
      <c r="N241" s="3">
        <v>2083</v>
      </c>
      <c r="O241" s="3">
        <v>2083</v>
      </c>
      <c r="P241" s="3">
        <v>2083</v>
      </c>
      <c r="Q241" s="3">
        <v>2083</v>
      </c>
      <c r="R241" s="3">
        <v>2083</v>
      </c>
      <c r="S241" s="3">
        <v>2083</v>
      </c>
      <c r="T241" s="3">
        <v>2083</v>
      </c>
      <c r="U241" s="3">
        <v>2083</v>
      </c>
      <c r="V241" s="3">
        <v>2083</v>
      </c>
      <c r="W241" s="3">
        <v>2083</v>
      </c>
      <c r="X241" s="3">
        <v>2083</v>
      </c>
      <c r="Y241" s="3">
        <v>2083</v>
      </c>
      <c r="Z241" s="3">
        <v>24996</v>
      </c>
    </row>
    <row r="242" spans="1:26" x14ac:dyDescent="0.3">
      <c r="A242" s="2" t="s">
        <v>467</v>
      </c>
      <c r="B242" s="2" t="s">
        <v>342</v>
      </c>
      <c r="C242" s="2" t="s">
        <v>342</v>
      </c>
      <c r="D242" s="2" t="s">
        <v>82</v>
      </c>
      <c r="E242" s="2" t="s">
        <v>82</v>
      </c>
      <c r="F242" s="2" t="s">
        <v>53</v>
      </c>
      <c r="G242" s="2" t="s">
        <v>53</v>
      </c>
      <c r="H242" s="2" t="s">
        <v>54</v>
      </c>
      <c r="I242" s="2" t="s">
        <v>54</v>
      </c>
      <c r="J242" s="2" t="s">
        <v>356</v>
      </c>
      <c r="K242" s="2" t="s">
        <v>357</v>
      </c>
      <c r="L242" s="2" t="s">
        <v>56</v>
      </c>
      <c r="M242" s="2" t="s">
        <v>57</v>
      </c>
      <c r="N242" s="3">
        <v>2167</v>
      </c>
      <c r="O242" s="3">
        <v>2167</v>
      </c>
      <c r="P242" s="3">
        <v>2167</v>
      </c>
      <c r="Q242" s="3">
        <v>2167</v>
      </c>
      <c r="R242" s="3">
        <v>2167</v>
      </c>
      <c r="S242" s="3">
        <v>2167</v>
      </c>
      <c r="T242" s="3">
        <v>2167</v>
      </c>
      <c r="U242" s="3">
        <v>2167</v>
      </c>
      <c r="V242" s="3">
        <v>2167</v>
      </c>
      <c r="W242" s="3">
        <v>2167</v>
      </c>
      <c r="X242" s="3">
        <v>2167</v>
      </c>
      <c r="Y242" s="3">
        <v>2167</v>
      </c>
      <c r="Z242" s="3">
        <v>26004</v>
      </c>
    </row>
    <row r="243" spans="1:26" x14ac:dyDescent="0.3">
      <c r="A243" s="2" t="s">
        <v>467</v>
      </c>
      <c r="B243" s="2" t="s">
        <v>342</v>
      </c>
      <c r="C243" s="2" t="s">
        <v>342</v>
      </c>
      <c r="D243" s="2" t="s">
        <v>200</v>
      </c>
      <c r="E243" s="2" t="s">
        <v>200</v>
      </c>
      <c r="F243" s="2" t="s">
        <v>53</v>
      </c>
      <c r="G243" s="2" t="s">
        <v>53</v>
      </c>
      <c r="H243" s="2" t="s">
        <v>767</v>
      </c>
      <c r="I243" s="2" t="s">
        <v>767</v>
      </c>
      <c r="J243" s="2" t="s">
        <v>358</v>
      </c>
      <c r="K243" s="2"/>
      <c r="L243" s="2" t="s">
        <v>56</v>
      </c>
      <c r="M243" s="2" t="s">
        <v>57</v>
      </c>
      <c r="N243" s="3">
        <v>-29167</v>
      </c>
      <c r="O243" s="3">
        <v>-29167</v>
      </c>
      <c r="P243" s="3">
        <v>-29167</v>
      </c>
      <c r="Q243" s="3">
        <v>-29167</v>
      </c>
      <c r="R243" s="3">
        <v>-29167</v>
      </c>
      <c r="S243" s="3">
        <v>-29167</v>
      </c>
      <c r="T243" s="3">
        <v>-29167</v>
      </c>
      <c r="U243" s="3">
        <v>-29167</v>
      </c>
      <c r="V243" s="3">
        <v>-29167</v>
      </c>
      <c r="W243" s="3">
        <v>-29167</v>
      </c>
      <c r="X243" s="3">
        <v>-29167</v>
      </c>
      <c r="Y243" s="3">
        <v>-29167</v>
      </c>
      <c r="Z243" s="3">
        <v>-350004</v>
      </c>
    </row>
    <row r="244" spans="1:26" x14ac:dyDescent="0.3">
      <c r="A244" s="2" t="s">
        <v>467</v>
      </c>
      <c r="B244" s="2" t="s">
        <v>342</v>
      </c>
      <c r="C244" s="2" t="s">
        <v>342</v>
      </c>
      <c r="D244" s="2" t="s">
        <v>200</v>
      </c>
      <c r="E244" s="2" t="s">
        <v>200</v>
      </c>
      <c r="F244" s="2" t="s">
        <v>53</v>
      </c>
      <c r="G244" s="2" t="s">
        <v>53</v>
      </c>
      <c r="H244" s="2" t="s">
        <v>54</v>
      </c>
      <c r="I244" s="2" t="s">
        <v>54</v>
      </c>
      <c r="J244" s="2" t="s">
        <v>358</v>
      </c>
      <c r="K244" s="2"/>
      <c r="L244" s="2" t="s">
        <v>56</v>
      </c>
      <c r="M244" s="2" t="s">
        <v>57</v>
      </c>
      <c r="N244" s="3">
        <v>29167</v>
      </c>
      <c r="O244" s="3">
        <v>29167</v>
      </c>
      <c r="P244" s="3">
        <v>29167</v>
      </c>
      <c r="Q244" s="3">
        <v>29167</v>
      </c>
      <c r="R244" s="3">
        <v>29167</v>
      </c>
      <c r="S244" s="3">
        <v>29167</v>
      </c>
      <c r="T244" s="3">
        <v>29167</v>
      </c>
      <c r="U244" s="3">
        <v>29167</v>
      </c>
      <c r="V244" s="3">
        <v>29167</v>
      </c>
      <c r="W244" s="3">
        <v>29167</v>
      </c>
      <c r="X244" s="3">
        <v>29167</v>
      </c>
      <c r="Y244" s="3">
        <v>29167</v>
      </c>
      <c r="Z244" s="3">
        <v>350004</v>
      </c>
    </row>
    <row r="245" spans="1:26" x14ac:dyDescent="0.3">
      <c r="A245" s="2" t="s">
        <v>467</v>
      </c>
      <c r="B245" s="2" t="s">
        <v>342</v>
      </c>
      <c r="C245" s="2" t="s">
        <v>342</v>
      </c>
      <c r="D245" s="2" t="s">
        <v>151</v>
      </c>
      <c r="E245" s="2" t="s">
        <v>151</v>
      </c>
      <c r="F245" s="2" t="s">
        <v>53</v>
      </c>
      <c r="G245" s="2" t="s">
        <v>53</v>
      </c>
      <c r="H245" s="2" t="s">
        <v>767</v>
      </c>
      <c r="I245" s="2" t="s">
        <v>767</v>
      </c>
      <c r="J245" s="2" t="s">
        <v>787</v>
      </c>
      <c r="K245" s="2"/>
      <c r="L245" s="2" t="s">
        <v>56</v>
      </c>
      <c r="M245" s="2" t="s">
        <v>57</v>
      </c>
      <c r="N245" s="3">
        <v>-4167</v>
      </c>
      <c r="O245" s="3">
        <v>-4167</v>
      </c>
      <c r="P245" s="3">
        <v>-4167</v>
      </c>
      <c r="Q245" s="3">
        <v>-4167</v>
      </c>
      <c r="R245" s="3">
        <v>-4167</v>
      </c>
      <c r="S245" s="3">
        <v>-4167</v>
      </c>
      <c r="T245" s="3">
        <v>-4167</v>
      </c>
      <c r="U245" s="3">
        <v>-4167</v>
      </c>
      <c r="V245" s="3">
        <v>-4167</v>
      </c>
      <c r="W245" s="3">
        <v>-4167</v>
      </c>
      <c r="X245" s="3">
        <v>-4167</v>
      </c>
      <c r="Y245" s="3">
        <v>-4167</v>
      </c>
      <c r="Z245" s="3">
        <v>-50004</v>
      </c>
    </row>
    <row r="246" spans="1:26" x14ac:dyDescent="0.3">
      <c r="A246" s="2" t="s">
        <v>467</v>
      </c>
      <c r="B246" s="2" t="s">
        <v>359</v>
      </c>
      <c r="C246" s="2" t="s">
        <v>359</v>
      </c>
      <c r="D246" s="2" t="s">
        <v>82</v>
      </c>
      <c r="E246" s="2" t="s">
        <v>82</v>
      </c>
      <c r="F246" s="2" t="s">
        <v>53</v>
      </c>
      <c r="G246" s="2" t="s">
        <v>53</v>
      </c>
      <c r="H246" s="2" t="s">
        <v>54</v>
      </c>
      <c r="I246" s="2" t="s">
        <v>54</v>
      </c>
      <c r="J246" s="2" t="s">
        <v>360</v>
      </c>
      <c r="K246" s="2" t="s">
        <v>361</v>
      </c>
      <c r="L246" s="2" t="s">
        <v>56</v>
      </c>
      <c r="M246" s="2" t="s">
        <v>72</v>
      </c>
      <c r="N246" s="3">
        <v>9500</v>
      </c>
      <c r="O246" s="3">
        <v>9500</v>
      </c>
      <c r="P246" s="3">
        <v>9500</v>
      </c>
      <c r="Q246" s="3">
        <v>9500</v>
      </c>
      <c r="R246" s="3">
        <v>9500</v>
      </c>
      <c r="S246" s="3">
        <v>9500</v>
      </c>
      <c r="T246" s="3">
        <v>9500</v>
      </c>
      <c r="U246" s="3">
        <v>9500</v>
      </c>
      <c r="V246" s="3">
        <v>9500</v>
      </c>
      <c r="W246" s="3">
        <v>9500</v>
      </c>
      <c r="X246" s="3">
        <v>9500</v>
      </c>
      <c r="Y246" s="3">
        <v>9500</v>
      </c>
      <c r="Z246" s="3">
        <v>114000</v>
      </c>
    </row>
    <row r="247" spans="1:26" x14ac:dyDescent="0.3">
      <c r="A247" s="2" t="s">
        <v>467</v>
      </c>
      <c r="B247" s="2" t="s">
        <v>359</v>
      </c>
      <c r="C247" s="2" t="s">
        <v>359</v>
      </c>
      <c r="D247" s="2" t="s">
        <v>151</v>
      </c>
      <c r="E247" s="2" t="s">
        <v>151</v>
      </c>
      <c r="F247" s="2" t="s">
        <v>53</v>
      </c>
      <c r="G247" s="2" t="s">
        <v>53</v>
      </c>
      <c r="H247" s="2" t="s">
        <v>54</v>
      </c>
      <c r="I247" s="2" t="s">
        <v>54</v>
      </c>
      <c r="J247" s="2" t="s">
        <v>362</v>
      </c>
      <c r="K247" s="2" t="s">
        <v>363</v>
      </c>
      <c r="L247" s="2" t="s">
        <v>56</v>
      </c>
      <c r="M247" s="2" t="s">
        <v>72</v>
      </c>
      <c r="N247" s="3">
        <v>3333</v>
      </c>
      <c r="O247" s="3">
        <v>3333</v>
      </c>
      <c r="P247" s="3">
        <v>3333</v>
      </c>
      <c r="Q247" s="3">
        <v>3333</v>
      </c>
      <c r="R247" s="3">
        <v>3333</v>
      </c>
      <c r="S247" s="3">
        <v>3333</v>
      </c>
      <c r="T247" s="3">
        <v>3333</v>
      </c>
      <c r="U247" s="3">
        <v>3333</v>
      </c>
      <c r="V247" s="3">
        <v>3333</v>
      </c>
      <c r="W247" s="3">
        <v>3333</v>
      </c>
      <c r="X247" s="3">
        <v>3333</v>
      </c>
      <c r="Y247" s="3">
        <v>3333</v>
      </c>
      <c r="Z247" s="3">
        <v>39996</v>
      </c>
    </row>
    <row r="248" spans="1:26" x14ac:dyDescent="0.3">
      <c r="A248" s="2" t="s">
        <v>467</v>
      </c>
      <c r="B248" s="2" t="s">
        <v>359</v>
      </c>
      <c r="C248" s="2" t="s">
        <v>359</v>
      </c>
      <c r="D248" s="2" t="s">
        <v>151</v>
      </c>
      <c r="E248" s="2" t="s">
        <v>151</v>
      </c>
      <c r="F248" s="2" t="s">
        <v>53</v>
      </c>
      <c r="G248" s="2" t="s">
        <v>53</v>
      </c>
      <c r="H248" s="2" t="s">
        <v>54</v>
      </c>
      <c r="I248" s="2" t="s">
        <v>54</v>
      </c>
      <c r="J248" s="2" t="s">
        <v>364</v>
      </c>
      <c r="K248" s="2" t="s">
        <v>363</v>
      </c>
      <c r="L248" s="2" t="s">
        <v>56</v>
      </c>
      <c r="M248" s="2" t="s">
        <v>72</v>
      </c>
      <c r="N248" s="3">
        <v>10000</v>
      </c>
      <c r="O248" s="3">
        <v>10000</v>
      </c>
      <c r="P248" s="3">
        <v>10000</v>
      </c>
      <c r="Q248" s="3">
        <v>10000</v>
      </c>
      <c r="R248" s="3">
        <v>10000</v>
      </c>
      <c r="S248" s="3">
        <v>10000</v>
      </c>
      <c r="T248" s="3">
        <v>10000</v>
      </c>
      <c r="U248" s="3">
        <v>10000</v>
      </c>
      <c r="V248" s="3">
        <v>10000</v>
      </c>
      <c r="W248" s="3">
        <v>10000</v>
      </c>
      <c r="X248" s="3">
        <v>10000</v>
      </c>
      <c r="Y248" s="3">
        <v>10000</v>
      </c>
      <c r="Z248" s="3">
        <v>120000</v>
      </c>
    </row>
    <row r="249" spans="1:26" x14ac:dyDescent="0.3">
      <c r="A249" s="2" t="s">
        <v>467</v>
      </c>
      <c r="B249" s="2" t="s">
        <v>359</v>
      </c>
      <c r="C249" s="2" t="s">
        <v>359</v>
      </c>
      <c r="D249" s="2" t="s">
        <v>82</v>
      </c>
      <c r="E249" s="2" t="s">
        <v>82</v>
      </c>
      <c r="F249" s="2" t="s">
        <v>53</v>
      </c>
      <c r="G249" s="2" t="s">
        <v>53</v>
      </c>
      <c r="H249" s="2" t="s">
        <v>54</v>
      </c>
      <c r="I249" s="2" t="s">
        <v>54</v>
      </c>
      <c r="J249" s="2" t="s">
        <v>365</v>
      </c>
      <c r="K249" s="2" t="s">
        <v>366</v>
      </c>
      <c r="L249" s="2" t="s">
        <v>56</v>
      </c>
      <c r="M249" s="2" t="s">
        <v>72</v>
      </c>
      <c r="N249" s="3">
        <v>225</v>
      </c>
      <c r="O249" s="3">
        <v>225</v>
      </c>
      <c r="P249" s="3">
        <v>225</v>
      </c>
      <c r="Q249" s="3">
        <v>225</v>
      </c>
      <c r="R249" s="3">
        <v>225</v>
      </c>
      <c r="S249" s="3">
        <v>225</v>
      </c>
      <c r="T249" s="3">
        <v>225</v>
      </c>
      <c r="U249" s="3">
        <v>225</v>
      </c>
      <c r="V249" s="3">
        <v>225</v>
      </c>
      <c r="W249" s="3">
        <v>225</v>
      </c>
      <c r="X249" s="3">
        <v>225</v>
      </c>
      <c r="Y249" s="3">
        <v>225</v>
      </c>
      <c r="Z249" s="3">
        <v>2700</v>
      </c>
    </row>
    <row r="250" spans="1:26" x14ac:dyDescent="0.3">
      <c r="A250" s="2" t="s">
        <v>467</v>
      </c>
      <c r="B250" s="2" t="s">
        <v>359</v>
      </c>
      <c r="C250" s="2" t="s">
        <v>359</v>
      </c>
      <c r="D250" s="2" t="s">
        <v>82</v>
      </c>
      <c r="E250" s="2" t="s">
        <v>82</v>
      </c>
      <c r="F250" s="2" t="s">
        <v>53</v>
      </c>
      <c r="G250" s="2" t="s">
        <v>53</v>
      </c>
      <c r="H250" s="2" t="s">
        <v>54</v>
      </c>
      <c r="I250" s="2" t="s">
        <v>54</v>
      </c>
      <c r="J250" s="2" t="s">
        <v>367</v>
      </c>
      <c r="K250" s="2" t="s">
        <v>366</v>
      </c>
      <c r="L250" s="2" t="s">
        <v>56</v>
      </c>
      <c r="M250" s="2" t="s">
        <v>72</v>
      </c>
      <c r="N250" s="3">
        <v>4167</v>
      </c>
      <c r="O250" s="3">
        <v>4167</v>
      </c>
      <c r="P250" s="3">
        <v>4167</v>
      </c>
      <c r="Q250" s="3">
        <v>4167</v>
      </c>
      <c r="R250" s="3">
        <v>4167</v>
      </c>
      <c r="S250" s="3">
        <v>4167</v>
      </c>
      <c r="T250" s="3">
        <v>4167</v>
      </c>
      <c r="U250" s="3">
        <v>4167</v>
      </c>
      <c r="V250" s="3">
        <v>4167</v>
      </c>
      <c r="W250" s="3">
        <v>4167</v>
      </c>
      <c r="X250" s="3">
        <v>4167</v>
      </c>
      <c r="Y250" s="3">
        <v>4167</v>
      </c>
      <c r="Z250" s="3">
        <v>50004</v>
      </c>
    </row>
    <row r="251" spans="1:26" x14ac:dyDescent="0.3">
      <c r="A251" s="2" t="s">
        <v>467</v>
      </c>
      <c r="B251" s="2" t="s">
        <v>359</v>
      </c>
      <c r="C251" s="2" t="s">
        <v>359</v>
      </c>
      <c r="D251" s="2" t="s">
        <v>69</v>
      </c>
      <c r="E251" s="2" t="s">
        <v>69</v>
      </c>
      <c r="F251" s="2" t="s">
        <v>53</v>
      </c>
      <c r="G251" s="2" t="s">
        <v>53</v>
      </c>
      <c r="H251" s="2" t="s">
        <v>54</v>
      </c>
      <c r="I251" s="2" t="s">
        <v>54</v>
      </c>
      <c r="J251" s="2" t="s">
        <v>70</v>
      </c>
      <c r="K251" s="2" t="s">
        <v>71</v>
      </c>
      <c r="L251" s="2" t="s">
        <v>56</v>
      </c>
      <c r="M251" s="2" t="s">
        <v>72</v>
      </c>
      <c r="N251" s="3">
        <v>1783</v>
      </c>
      <c r="O251" s="3">
        <v>1784</v>
      </c>
      <c r="P251" s="3">
        <v>1847</v>
      </c>
      <c r="Q251" s="3">
        <v>1847</v>
      </c>
      <c r="R251" s="3">
        <v>1843</v>
      </c>
      <c r="S251" s="3">
        <v>1843</v>
      </c>
      <c r="T251" s="3">
        <v>1844</v>
      </c>
      <c r="U251" s="3">
        <v>1845</v>
      </c>
      <c r="V251" s="3">
        <v>1845</v>
      </c>
      <c r="W251" s="3">
        <v>1845</v>
      </c>
      <c r="X251" s="3">
        <v>1845</v>
      </c>
      <c r="Y251" s="3">
        <v>1844</v>
      </c>
      <c r="Z251" s="3">
        <v>22015</v>
      </c>
    </row>
    <row r="252" spans="1:26" x14ac:dyDescent="0.3">
      <c r="A252" s="2" t="s">
        <v>467</v>
      </c>
      <c r="B252" s="2" t="s">
        <v>359</v>
      </c>
      <c r="C252" s="2" t="s">
        <v>359</v>
      </c>
      <c r="D252" s="2" t="s">
        <v>82</v>
      </c>
      <c r="E252" s="2" t="s">
        <v>82</v>
      </c>
      <c r="F252" s="2" t="s">
        <v>53</v>
      </c>
      <c r="G252" s="2" t="s">
        <v>53</v>
      </c>
      <c r="H252" s="2" t="s">
        <v>54</v>
      </c>
      <c r="I252" s="2" t="s">
        <v>54</v>
      </c>
      <c r="J252" s="2" t="s">
        <v>368</v>
      </c>
      <c r="K252" s="2" t="s">
        <v>369</v>
      </c>
      <c r="L252" s="2" t="s">
        <v>56</v>
      </c>
      <c r="M252" s="2" t="s">
        <v>72</v>
      </c>
      <c r="N252" s="3">
        <v>33333.333330000001</v>
      </c>
      <c r="O252" s="3">
        <v>33333.333330000001</v>
      </c>
      <c r="P252" s="3">
        <v>33333.333330000001</v>
      </c>
      <c r="Q252" s="3">
        <v>33333.333330000001</v>
      </c>
      <c r="R252" s="3">
        <v>33333.333330000001</v>
      </c>
      <c r="S252" s="3">
        <v>33333.333330000001</v>
      </c>
      <c r="T252" s="3">
        <v>33333.333330000001</v>
      </c>
      <c r="U252" s="3">
        <v>33333.333330000001</v>
      </c>
      <c r="V252" s="3">
        <v>33333.333330000001</v>
      </c>
      <c r="W252" s="3">
        <v>33333.333330000001</v>
      </c>
      <c r="X252" s="3">
        <v>33333.333330000001</v>
      </c>
      <c r="Y252" s="3">
        <v>33333.333330000001</v>
      </c>
      <c r="Z252" s="3">
        <v>399999.99995999999</v>
      </c>
    </row>
    <row r="253" spans="1:26" x14ac:dyDescent="0.3">
      <c r="A253" s="2" t="s">
        <v>467</v>
      </c>
      <c r="B253" s="2" t="s">
        <v>359</v>
      </c>
      <c r="C253" s="2" t="s">
        <v>359</v>
      </c>
      <c r="D253" s="2" t="s">
        <v>151</v>
      </c>
      <c r="E253" s="2" t="s">
        <v>151</v>
      </c>
      <c r="F253" s="2" t="s">
        <v>53</v>
      </c>
      <c r="G253" s="2" t="s">
        <v>53</v>
      </c>
      <c r="H253" s="2" t="s">
        <v>54</v>
      </c>
      <c r="I253" s="2" t="s">
        <v>54</v>
      </c>
      <c r="J253" s="2" t="s">
        <v>370</v>
      </c>
      <c r="K253" s="2" t="s">
        <v>371</v>
      </c>
      <c r="L253" s="2" t="s">
        <v>56</v>
      </c>
      <c r="M253" s="2" t="s">
        <v>72</v>
      </c>
      <c r="N253" s="3">
        <v>1750</v>
      </c>
      <c r="O253" s="3">
        <v>1750</v>
      </c>
      <c r="P253" s="3">
        <v>1750</v>
      </c>
      <c r="Q253" s="3">
        <v>1750</v>
      </c>
      <c r="R253" s="3">
        <v>1750</v>
      </c>
      <c r="S253" s="3">
        <v>1750</v>
      </c>
      <c r="T253" s="3">
        <v>1750</v>
      </c>
      <c r="U253" s="3">
        <v>1750</v>
      </c>
      <c r="V253" s="3">
        <v>1750</v>
      </c>
      <c r="W253" s="3">
        <v>1750</v>
      </c>
      <c r="X253" s="3">
        <v>1750</v>
      </c>
      <c r="Y253" s="3">
        <v>1750</v>
      </c>
      <c r="Z253" s="3">
        <v>21000</v>
      </c>
    </row>
    <row r="254" spans="1:26" x14ac:dyDescent="0.3">
      <c r="A254" s="2" t="s">
        <v>467</v>
      </c>
      <c r="B254" s="2" t="s">
        <v>359</v>
      </c>
      <c r="C254" s="2" t="s">
        <v>359</v>
      </c>
      <c r="D254" s="2" t="s">
        <v>82</v>
      </c>
      <c r="E254" s="2" t="s">
        <v>82</v>
      </c>
      <c r="F254" s="2" t="s">
        <v>53</v>
      </c>
      <c r="G254" s="2" t="s">
        <v>53</v>
      </c>
      <c r="H254" s="2" t="s">
        <v>54</v>
      </c>
      <c r="I254" s="2" t="s">
        <v>54</v>
      </c>
      <c r="J254" s="2" t="s">
        <v>372</v>
      </c>
      <c r="K254" s="2" t="s">
        <v>373</v>
      </c>
      <c r="L254" s="2" t="s">
        <v>56</v>
      </c>
      <c r="M254" s="2" t="s">
        <v>72</v>
      </c>
      <c r="N254" s="3">
        <v>5000</v>
      </c>
      <c r="O254" s="3">
        <v>5000</v>
      </c>
      <c r="P254" s="3">
        <v>5000</v>
      </c>
      <c r="Q254" s="3">
        <v>5000</v>
      </c>
      <c r="R254" s="3">
        <v>5000</v>
      </c>
      <c r="S254" s="3">
        <v>5000</v>
      </c>
      <c r="T254" s="3">
        <v>5000</v>
      </c>
      <c r="U254" s="3">
        <v>5000</v>
      </c>
      <c r="V254" s="3">
        <v>5000</v>
      </c>
      <c r="W254" s="3">
        <v>5000</v>
      </c>
      <c r="X254" s="3">
        <v>5000</v>
      </c>
      <c r="Y254" s="3">
        <v>5000</v>
      </c>
      <c r="Z254" s="3">
        <v>60000</v>
      </c>
    </row>
    <row r="255" spans="1:26" x14ac:dyDescent="0.3">
      <c r="A255" s="2" t="s">
        <v>467</v>
      </c>
      <c r="B255" s="2" t="s">
        <v>359</v>
      </c>
      <c r="C255" s="2" t="s">
        <v>359</v>
      </c>
      <c r="D255" s="2" t="s">
        <v>82</v>
      </c>
      <c r="E255" s="2" t="s">
        <v>82</v>
      </c>
      <c r="F255" s="2" t="s">
        <v>53</v>
      </c>
      <c r="G255" s="2" t="s">
        <v>53</v>
      </c>
      <c r="H255" s="2" t="s">
        <v>54</v>
      </c>
      <c r="I255" s="2" t="s">
        <v>54</v>
      </c>
      <c r="J255" s="2" t="s">
        <v>374</v>
      </c>
      <c r="K255" s="2" t="s">
        <v>375</v>
      </c>
      <c r="L255" s="2" t="s">
        <v>56</v>
      </c>
      <c r="M255" s="2" t="s">
        <v>72</v>
      </c>
      <c r="N255" s="3">
        <v>2667</v>
      </c>
      <c r="O255" s="3">
        <v>2667</v>
      </c>
      <c r="P255" s="3">
        <v>2667</v>
      </c>
      <c r="Q255" s="3">
        <v>2667</v>
      </c>
      <c r="R255" s="3">
        <v>2667</v>
      </c>
      <c r="S255" s="3">
        <v>2667</v>
      </c>
      <c r="T255" s="3">
        <v>2667</v>
      </c>
      <c r="U255" s="3">
        <v>2667</v>
      </c>
      <c r="V255" s="3">
        <v>2667</v>
      </c>
      <c r="W255" s="3">
        <v>2667</v>
      </c>
      <c r="X255" s="3">
        <v>2667</v>
      </c>
      <c r="Y255" s="3">
        <v>2667</v>
      </c>
      <c r="Z255" s="3">
        <v>32004</v>
      </c>
    </row>
    <row r="256" spans="1:26" x14ac:dyDescent="0.3">
      <c r="A256" s="2" t="s">
        <v>467</v>
      </c>
      <c r="B256" s="2" t="s">
        <v>359</v>
      </c>
      <c r="C256" s="2" t="s">
        <v>359</v>
      </c>
      <c r="D256" s="2" t="s">
        <v>151</v>
      </c>
      <c r="E256" s="2" t="s">
        <v>151</v>
      </c>
      <c r="F256" s="2" t="s">
        <v>53</v>
      </c>
      <c r="G256" s="2" t="s">
        <v>53</v>
      </c>
      <c r="H256" s="2" t="s">
        <v>54</v>
      </c>
      <c r="I256" s="2" t="s">
        <v>54</v>
      </c>
      <c r="J256" s="2" t="s">
        <v>376</v>
      </c>
      <c r="K256" s="2" t="s">
        <v>377</v>
      </c>
      <c r="L256" s="2" t="s">
        <v>56</v>
      </c>
      <c r="M256" s="2" t="s">
        <v>72</v>
      </c>
      <c r="N256" s="3">
        <v>1083</v>
      </c>
      <c r="O256" s="3">
        <v>1083</v>
      </c>
      <c r="P256" s="3">
        <v>1083</v>
      </c>
      <c r="Q256" s="3">
        <v>1083</v>
      </c>
      <c r="R256" s="3">
        <v>1083</v>
      </c>
      <c r="S256" s="3">
        <v>1083</v>
      </c>
      <c r="T256" s="3">
        <v>1083</v>
      </c>
      <c r="U256" s="3">
        <v>1083</v>
      </c>
      <c r="V256" s="3">
        <v>1083</v>
      </c>
      <c r="W256" s="3">
        <v>1083</v>
      </c>
      <c r="X256" s="3">
        <v>1083</v>
      </c>
      <c r="Y256" s="3">
        <v>1083</v>
      </c>
      <c r="Z256" s="3">
        <v>12996</v>
      </c>
    </row>
    <row r="257" spans="1:26" x14ac:dyDescent="0.3">
      <c r="A257" s="2" t="s">
        <v>467</v>
      </c>
      <c r="B257" s="2" t="s">
        <v>359</v>
      </c>
      <c r="C257" s="2" t="s">
        <v>359</v>
      </c>
      <c r="D257" s="2" t="s">
        <v>151</v>
      </c>
      <c r="E257" s="2" t="s">
        <v>151</v>
      </c>
      <c r="F257" s="2" t="s">
        <v>53</v>
      </c>
      <c r="G257" s="2" t="s">
        <v>53</v>
      </c>
      <c r="H257" s="2" t="s">
        <v>54</v>
      </c>
      <c r="I257" s="2" t="s">
        <v>54</v>
      </c>
      <c r="J257" s="2" t="s">
        <v>378</v>
      </c>
      <c r="K257" s="2" t="s">
        <v>379</v>
      </c>
      <c r="L257" s="2" t="s">
        <v>56</v>
      </c>
      <c r="M257" s="2" t="s">
        <v>72</v>
      </c>
      <c r="N257" s="3">
        <v>3333</v>
      </c>
      <c r="O257" s="3">
        <v>3333</v>
      </c>
      <c r="P257" s="3">
        <v>3333</v>
      </c>
      <c r="Q257" s="3">
        <v>3333</v>
      </c>
      <c r="R257" s="3">
        <v>3333</v>
      </c>
      <c r="S257" s="3">
        <v>3333</v>
      </c>
      <c r="T257" s="3">
        <v>3333</v>
      </c>
      <c r="U257" s="3">
        <v>3333</v>
      </c>
      <c r="V257" s="3">
        <v>3333</v>
      </c>
      <c r="W257" s="3">
        <v>3333</v>
      </c>
      <c r="X257" s="3">
        <v>3333</v>
      </c>
      <c r="Y257" s="3">
        <v>3333</v>
      </c>
      <c r="Z257" s="3">
        <v>39996</v>
      </c>
    </row>
    <row r="258" spans="1:26" x14ac:dyDescent="0.3">
      <c r="A258" s="2" t="s">
        <v>467</v>
      </c>
      <c r="B258" s="2" t="s">
        <v>359</v>
      </c>
      <c r="C258" s="2" t="s">
        <v>359</v>
      </c>
      <c r="D258" s="2" t="s">
        <v>151</v>
      </c>
      <c r="E258" s="2" t="s">
        <v>151</v>
      </c>
      <c r="F258" s="2" t="s">
        <v>53</v>
      </c>
      <c r="G258" s="2" t="s">
        <v>53</v>
      </c>
      <c r="H258" s="2" t="s">
        <v>54</v>
      </c>
      <c r="I258" s="2" t="s">
        <v>54</v>
      </c>
      <c r="J258" s="2" t="s">
        <v>380</v>
      </c>
      <c r="K258" s="2" t="s">
        <v>381</v>
      </c>
      <c r="L258" s="2" t="s">
        <v>56</v>
      </c>
      <c r="M258" s="2" t="s">
        <v>72</v>
      </c>
      <c r="N258" s="3">
        <v>417</v>
      </c>
      <c r="O258" s="3">
        <v>417</v>
      </c>
      <c r="P258" s="3">
        <v>417</v>
      </c>
      <c r="Q258" s="3">
        <v>417</v>
      </c>
      <c r="R258" s="3">
        <v>417</v>
      </c>
      <c r="S258" s="3">
        <v>417</v>
      </c>
      <c r="T258" s="3">
        <v>417</v>
      </c>
      <c r="U258" s="3">
        <v>417</v>
      </c>
      <c r="V258" s="3">
        <v>417</v>
      </c>
      <c r="W258" s="3">
        <v>417</v>
      </c>
      <c r="X258" s="3">
        <v>417</v>
      </c>
      <c r="Y258" s="3">
        <v>417</v>
      </c>
      <c r="Z258" s="3">
        <v>5004</v>
      </c>
    </row>
    <row r="259" spans="1:26" x14ac:dyDescent="0.3">
      <c r="A259" s="2" t="s">
        <v>467</v>
      </c>
      <c r="B259" s="2" t="s">
        <v>359</v>
      </c>
      <c r="C259" s="2" t="s">
        <v>359</v>
      </c>
      <c r="D259" s="2" t="s">
        <v>151</v>
      </c>
      <c r="E259" s="2" t="s">
        <v>151</v>
      </c>
      <c r="F259" s="2" t="s">
        <v>53</v>
      </c>
      <c r="G259" s="2" t="s">
        <v>53</v>
      </c>
      <c r="H259" s="2" t="s">
        <v>54</v>
      </c>
      <c r="I259" s="2" t="s">
        <v>54</v>
      </c>
      <c r="J259" s="2" t="s">
        <v>382</v>
      </c>
      <c r="K259" s="2" t="s">
        <v>383</v>
      </c>
      <c r="L259" s="2" t="s">
        <v>56</v>
      </c>
      <c r="M259" s="2" t="s">
        <v>72</v>
      </c>
      <c r="N259" s="3">
        <v>3333</v>
      </c>
      <c r="O259" s="3">
        <v>3333</v>
      </c>
      <c r="P259" s="3">
        <v>3333</v>
      </c>
      <c r="Q259" s="3">
        <v>3333</v>
      </c>
      <c r="R259" s="3">
        <v>3333</v>
      </c>
      <c r="S259" s="3">
        <v>3333</v>
      </c>
      <c r="T259" s="3">
        <v>3333</v>
      </c>
      <c r="U259" s="3">
        <v>3333</v>
      </c>
      <c r="V259" s="3">
        <v>3333</v>
      </c>
      <c r="W259" s="3">
        <v>3333</v>
      </c>
      <c r="X259" s="3">
        <v>3333</v>
      </c>
      <c r="Y259" s="3">
        <v>3333</v>
      </c>
      <c r="Z259" s="3">
        <v>39996</v>
      </c>
    </row>
    <row r="260" spans="1:26" x14ac:dyDescent="0.3">
      <c r="A260" s="2" t="s">
        <v>467</v>
      </c>
      <c r="B260" s="2" t="s">
        <v>359</v>
      </c>
      <c r="C260" s="2" t="s">
        <v>359</v>
      </c>
      <c r="D260" s="2" t="s">
        <v>82</v>
      </c>
      <c r="E260" s="2" t="s">
        <v>82</v>
      </c>
      <c r="F260" s="2" t="s">
        <v>53</v>
      </c>
      <c r="G260" s="2" t="s">
        <v>53</v>
      </c>
      <c r="H260" s="2" t="s">
        <v>54</v>
      </c>
      <c r="I260" s="2" t="s">
        <v>54</v>
      </c>
      <c r="J260" s="2" t="s">
        <v>384</v>
      </c>
      <c r="K260" s="2" t="s">
        <v>385</v>
      </c>
      <c r="L260" s="2" t="s">
        <v>56</v>
      </c>
      <c r="M260" s="2" t="s">
        <v>72</v>
      </c>
      <c r="N260" s="3">
        <v>3167</v>
      </c>
      <c r="O260" s="3">
        <v>3167</v>
      </c>
      <c r="P260" s="3">
        <v>3167</v>
      </c>
      <c r="Q260" s="3">
        <v>3167</v>
      </c>
      <c r="R260" s="3">
        <v>3167</v>
      </c>
      <c r="S260" s="3">
        <v>3167</v>
      </c>
      <c r="T260" s="3">
        <v>3167</v>
      </c>
      <c r="U260" s="3">
        <v>3167</v>
      </c>
      <c r="V260" s="3">
        <v>3167</v>
      </c>
      <c r="W260" s="3">
        <v>3167</v>
      </c>
      <c r="X260" s="3">
        <v>3167</v>
      </c>
      <c r="Y260" s="3">
        <v>3167</v>
      </c>
      <c r="Z260" s="3">
        <v>38004</v>
      </c>
    </row>
    <row r="261" spans="1:26" x14ac:dyDescent="0.3">
      <c r="A261" s="2" t="s">
        <v>467</v>
      </c>
      <c r="B261" s="2" t="s">
        <v>359</v>
      </c>
      <c r="C261" s="2" t="s">
        <v>359</v>
      </c>
      <c r="D261" s="2" t="s">
        <v>82</v>
      </c>
      <c r="E261" s="2" t="s">
        <v>82</v>
      </c>
      <c r="F261" s="2" t="s">
        <v>53</v>
      </c>
      <c r="G261" s="2" t="s">
        <v>53</v>
      </c>
      <c r="H261" s="2" t="s">
        <v>54</v>
      </c>
      <c r="I261" s="2" t="s">
        <v>54</v>
      </c>
      <c r="J261" s="2" t="s">
        <v>386</v>
      </c>
      <c r="K261" s="2" t="s">
        <v>387</v>
      </c>
      <c r="L261" s="2" t="s">
        <v>56</v>
      </c>
      <c r="M261" s="2" t="s">
        <v>72</v>
      </c>
      <c r="N261" s="3">
        <v>15833</v>
      </c>
      <c r="O261" s="3">
        <v>15833</v>
      </c>
      <c r="P261" s="3">
        <v>15833</v>
      </c>
      <c r="Q261" s="3">
        <v>15833</v>
      </c>
      <c r="R261" s="3">
        <v>15833</v>
      </c>
      <c r="S261" s="3">
        <v>15833</v>
      </c>
      <c r="T261" s="3">
        <v>15833</v>
      </c>
      <c r="U261" s="3">
        <v>15833</v>
      </c>
      <c r="V261" s="3">
        <v>15833</v>
      </c>
      <c r="W261" s="3">
        <v>15833</v>
      </c>
      <c r="X261" s="3">
        <v>15833</v>
      </c>
      <c r="Y261" s="3">
        <v>15833</v>
      </c>
      <c r="Z261" s="3">
        <v>189996</v>
      </c>
    </row>
    <row r="262" spans="1:26" x14ac:dyDescent="0.3">
      <c r="A262" s="2" t="s">
        <v>467</v>
      </c>
      <c r="B262" s="2" t="s">
        <v>359</v>
      </c>
      <c r="C262" s="2" t="s">
        <v>359</v>
      </c>
      <c r="D262" s="2" t="s">
        <v>82</v>
      </c>
      <c r="E262" s="2" t="s">
        <v>82</v>
      </c>
      <c r="F262" s="2" t="s">
        <v>53</v>
      </c>
      <c r="G262" s="2" t="s">
        <v>53</v>
      </c>
      <c r="H262" s="2" t="s">
        <v>54</v>
      </c>
      <c r="I262" s="2" t="s">
        <v>54</v>
      </c>
      <c r="J262" s="2" t="s">
        <v>388</v>
      </c>
      <c r="K262" s="2" t="s">
        <v>389</v>
      </c>
      <c r="L262" s="2" t="s">
        <v>56</v>
      </c>
      <c r="M262" s="2" t="s">
        <v>72</v>
      </c>
      <c r="N262" s="3">
        <v>3833</v>
      </c>
      <c r="O262" s="3">
        <v>3833</v>
      </c>
      <c r="P262" s="3">
        <v>3833</v>
      </c>
      <c r="Q262" s="3">
        <v>3833</v>
      </c>
      <c r="R262" s="3">
        <v>3833</v>
      </c>
      <c r="S262" s="3">
        <v>3833</v>
      </c>
      <c r="T262" s="3">
        <v>3833</v>
      </c>
      <c r="U262" s="3">
        <v>3833</v>
      </c>
      <c r="V262" s="3">
        <v>3833</v>
      </c>
      <c r="W262" s="3">
        <v>3833</v>
      </c>
      <c r="X262" s="3">
        <v>3833</v>
      </c>
      <c r="Y262" s="3">
        <v>3833</v>
      </c>
      <c r="Z262" s="3">
        <v>45996</v>
      </c>
    </row>
    <row r="263" spans="1:26" x14ac:dyDescent="0.3">
      <c r="A263" s="2" t="s">
        <v>467</v>
      </c>
      <c r="B263" s="2" t="s">
        <v>359</v>
      </c>
      <c r="C263" s="2" t="s">
        <v>359</v>
      </c>
      <c r="D263" s="2" t="s">
        <v>151</v>
      </c>
      <c r="E263" s="2" t="s">
        <v>151</v>
      </c>
      <c r="F263" s="2" t="s">
        <v>53</v>
      </c>
      <c r="G263" s="2" t="s">
        <v>53</v>
      </c>
      <c r="H263" s="2" t="s">
        <v>54</v>
      </c>
      <c r="I263" s="2" t="s">
        <v>54</v>
      </c>
      <c r="J263" s="2" t="s">
        <v>390</v>
      </c>
      <c r="K263" s="2" t="s">
        <v>391</v>
      </c>
      <c r="L263" s="2" t="s">
        <v>56</v>
      </c>
      <c r="M263" s="2" t="s">
        <v>72</v>
      </c>
      <c r="N263" s="3">
        <v>1667</v>
      </c>
      <c r="O263" s="3">
        <v>1667</v>
      </c>
      <c r="P263" s="3">
        <v>1667</v>
      </c>
      <c r="Q263" s="3">
        <v>1667</v>
      </c>
      <c r="R263" s="3">
        <v>1667</v>
      </c>
      <c r="S263" s="3">
        <v>1667</v>
      </c>
      <c r="T263" s="3">
        <v>1667</v>
      </c>
      <c r="U263" s="3">
        <v>1667</v>
      </c>
      <c r="V263" s="3">
        <v>1667</v>
      </c>
      <c r="W263" s="3">
        <v>1667</v>
      </c>
      <c r="X263" s="3">
        <v>1667</v>
      </c>
      <c r="Y263" s="3">
        <v>1667</v>
      </c>
      <c r="Z263" s="3">
        <v>20004</v>
      </c>
    </row>
    <row r="264" spans="1:26" x14ac:dyDescent="0.3">
      <c r="A264" s="2" t="s">
        <v>467</v>
      </c>
      <c r="B264" s="2" t="s">
        <v>392</v>
      </c>
      <c r="C264" s="2" t="s">
        <v>392</v>
      </c>
      <c r="D264" s="2" t="s">
        <v>82</v>
      </c>
      <c r="E264" s="2" t="s">
        <v>82</v>
      </c>
      <c r="F264" s="2" t="s">
        <v>53</v>
      </c>
      <c r="G264" s="2" t="s">
        <v>53</v>
      </c>
      <c r="H264" s="2" t="s">
        <v>54</v>
      </c>
      <c r="I264" s="2" t="s">
        <v>54</v>
      </c>
      <c r="J264" s="2" t="s">
        <v>393</v>
      </c>
      <c r="K264" s="2" t="s">
        <v>394</v>
      </c>
      <c r="L264" s="2" t="s">
        <v>56</v>
      </c>
      <c r="M264" s="2" t="s">
        <v>213</v>
      </c>
      <c r="N264" s="3">
        <v>8333</v>
      </c>
      <c r="O264" s="3">
        <v>8333</v>
      </c>
      <c r="P264" s="3">
        <v>8333</v>
      </c>
      <c r="Q264" s="3">
        <v>8333</v>
      </c>
      <c r="R264" s="3">
        <v>8333</v>
      </c>
      <c r="S264" s="3">
        <v>8333</v>
      </c>
      <c r="T264" s="3">
        <v>8333</v>
      </c>
      <c r="U264" s="3">
        <v>8333</v>
      </c>
      <c r="V264" s="3">
        <v>8333</v>
      </c>
      <c r="W264" s="3">
        <v>8333</v>
      </c>
      <c r="X264" s="3">
        <v>8333</v>
      </c>
      <c r="Y264" s="3">
        <v>8333</v>
      </c>
      <c r="Z264" s="3">
        <v>99996</v>
      </c>
    </row>
    <row r="265" spans="1:26" x14ac:dyDescent="0.3">
      <c r="A265" s="2" t="s">
        <v>467</v>
      </c>
      <c r="B265" s="2" t="s">
        <v>392</v>
      </c>
      <c r="C265" s="2" t="s">
        <v>392</v>
      </c>
      <c r="D265" s="2" t="s">
        <v>151</v>
      </c>
      <c r="E265" s="2" t="s">
        <v>151</v>
      </c>
      <c r="F265" s="2" t="s">
        <v>53</v>
      </c>
      <c r="G265" s="2" t="s">
        <v>53</v>
      </c>
      <c r="H265" s="2" t="s">
        <v>54</v>
      </c>
      <c r="I265" s="2" t="s">
        <v>54</v>
      </c>
      <c r="J265" s="2" t="s">
        <v>395</v>
      </c>
      <c r="K265" s="2" t="s">
        <v>391</v>
      </c>
      <c r="L265" s="2" t="s">
        <v>56</v>
      </c>
      <c r="M265" s="2" t="s">
        <v>213</v>
      </c>
      <c r="N265" s="3">
        <v>1667</v>
      </c>
      <c r="O265" s="3">
        <v>1667</v>
      </c>
      <c r="P265" s="3">
        <v>1667</v>
      </c>
      <c r="Q265" s="3">
        <v>1667</v>
      </c>
      <c r="R265" s="3">
        <v>1667</v>
      </c>
      <c r="S265" s="3">
        <v>1667</v>
      </c>
      <c r="T265" s="3">
        <v>1667</v>
      </c>
      <c r="U265" s="3">
        <v>1667</v>
      </c>
      <c r="V265" s="3">
        <v>1667</v>
      </c>
      <c r="W265" s="3">
        <v>1667</v>
      </c>
      <c r="X265" s="3">
        <v>1667</v>
      </c>
      <c r="Y265" s="3">
        <v>1667</v>
      </c>
      <c r="Z265" s="3">
        <v>20004</v>
      </c>
    </row>
    <row r="266" spans="1:26" hidden="1" x14ac:dyDescent="0.3">
      <c r="A266" s="2" t="s">
        <v>467</v>
      </c>
      <c r="B266" s="2" t="s">
        <v>396</v>
      </c>
      <c r="C266" s="2" t="s">
        <v>396</v>
      </c>
      <c r="D266" s="2" t="s">
        <v>82</v>
      </c>
      <c r="E266" s="2" t="s">
        <v>82</v>
      </c>
      <c r="F266" s="2" t="s">
        <v>53</v>
      </c>
      <c r="G266" s="2" t="s">
        <v>53</v>
      </c>
      <c r="H266" s="2" t="s">
        <v>767</v>
      </c>
      <c r="I266" s="2" t="s">
        <v>767</v>
      </c>
      <c r="J266" s="2" t="s">
        <v>397</v>
      </c>
      <c r="K266" s="2" t="s">
        <v>397</v>
      </c>
      <c r="L266" s="2" t="s">
        <v>56</v>
      </c>
      <c r="M266" s="2" t="s">
        <v>57</v>
      </c>
      <c r="N266" s="3">
        <v>-2917</v>
      </c>
      <c r="O266" s="3">
        <v>-2917</v>
      </c>
      <c r="P266" s="3">
        <v>-2917</v>
      </c>
      <c r="Q266" s="3">
        <v>-2917</v>
      </c>
      <c r="R266" s="3">
        <v>-2917</v>
      </c>
      <c r="S266" s="3">
        <v>-2917</v>
      </c>
      <c r="T266" s="3">
        <v>-2917</v>
      </c>
      <c r="U266" s="3">
        <v>-2917</v>
      </c>
      <c r="V266" s="3">
        <v>-2917</v>
      </c>
      <c r="W266" s="3">
        <v>-2917</v>
      </c>
      <c r="X266" s="3">
        <v>-2917</v>
      </c>
      <c r="Y266" s="3">
        <v>-2917</v>
      </c>
      <c r="Z266" s="3">
        <v>-35004</v>
      </c>
    </row>
    <row r="267" spans="1:26" hidden="1" x14ac:dyDescent="0.3">
      <c r="A267" s="2" t="s">
        <v>467</v>
      </c>
      <c r="B267" s="2" t="s">
        <v>396</v>
      </c>
      <c r="C267" s="2" t="s">
        <v>396</v>
      </c>
      <c r="D267" s="2" t="s">
        <v>82</v>
      </c>
      <c r="E267" s="2" t="s">
        <v>82</v>
      </c>
      <c r="F267" s="2" t="s">
        <v>53</v>
      </c>
      <c r="G267" s="2" t="s">
        <v>53</v>
      </c>
      <c r="H267" s="2" t="s">
        <v>54</v>
      </c>
      <c r="I267" s="2" t="s">
        <v>54</v>
      </c>
      <c r="J267" s="2" t="s">
        <v>397</v>
      </c>
      <c r="K267" s="2" t="s">
        <v>397</v>
      </c>
      <c r="L267" s="2" t="s">
        <v>56</v>
      </c>
      <c r="M267" s="2" t="s">
        <v>57</v>
      </c>
      <c r="N267" s="3">
        <v>5833</v>
      </c>
      <c r="O267" s="3">
        <v>5833</v>
      </c>
      <c r="P267" s="3">
        <v>5833</v>
      </c>
      <c r="Q267" s="3">
        <v>5833</v>
      </c>
      <c r="R267" s="3">
        <v>5833</v>
      </c>
      <c r="S267" s="3">
        <v>5833</v>
      </c>
      <c r="T267" s="3">
        <v>5833</v>
      </c>
      <c r="U267" s="3">
        <v>5833</v>
      </c>
      <c r="V267" s="3">
        <v>5833</v>
      </c>
      <c r="W267" s="3">
        <v>5833</v>
      </c>
      <c r="X267" s="3">
        <v>5833</v>
      </c>
      <c r="Y267" s="3">
        <v>5833</v>
      </c>
      <c r="Z267" s="3">
        <v>69996</v>
      </c>
    </row>
    <row r="268" spans="1:26" hidden="1" x14ac:dyDescent="0.3">
      <c r="A268" s="2" t="s">
        <v>467</v>
      </c>
      <c r="B268" s="2" t="s">
        <v>396</v>
      </c>
      <c r="C268" s="2" t="s">
        <v>396</v>
      </c>
      <c r="D268" s="2" t="s">
        <v>82</v>
      </c>
      <c r="E268" s="2" t="s">
        <v>82</v>
      </c>
      <c r="F268" s="2" t="s">
        <v>53</v>
      </c>
      <c r="G268" s="2" t="s">
        <v>53</v>
      </c>
      <c r="H268" s="2" t="s">
        <v>767</v>
      </c>
      <c r="I268" s="2" t="s">
        <v>767</v>
      </c>
      <c r="J268" s="2" t="s">
        <v>398</v>
      </c>
      <c r="K268" s="2" t="s">
        <v>398</v>
      </c>
      <c r="L268" s="2" t="s">
        <v>56</v>
      </c>
      <c r="M268" s="2" t="s">
        <v>57</v>
      </c>
      <c r="N268" s="3">
        <v>-4167</v>
      </c>
      <c r="O268" s="3">
        <v>-4167</v>
      </c>
      <c r="P268" s="3">
        <v>-4167</v>
      </c>
      <c r="Q268" s="3">
        <v>-4167</v>
      </c>
      <c r="R268" s="3">
        <v>-4167</v>
      </c>
      <c r="S268" s="3">
        <v>-4167</v>
      </c>
      <c r="T268" s="3">
        <v>-4167</v>
      </c>
      <c r="U268" s="3">
        <v>-4167</v>
      </c>
      <c r="V268" s="3">
        <v>-4167</v>
      </c>
      <c r="W268" s="3">
        <v>-4167</v>
      </c>
      <c r="X268" s="3">
        <v>-4167</v>
      </c>
      <c r="Y268" s="3">
        <v>-4167</v>
      </c>
      <c r="Z268" s="3">
        <v>-50004</v>
      </c>
    </row>
    <row r="269" spans="1:26" hidden="1" x14ac:dyDescent="0.3">
      <c r="A269" s="2" t="s">
        <v>467</v>
      </c>
      <c r="B269" s="2" t="s">
        <v>396</v>
      </c>
      <c r="C269" s="2" t="s">
        <v>396</v>
      </c>
      <c r="D269" s="2" t="s">
        <v>82</v>
      </c>
      <c r="E269" s="2" t="s">
        <v>82</v>
      </c>
      <c r="F269" s="2" t="s">
        <v>53</v>
      </c>
      <c r="G269" s="2" t="s">
        <v>53</v>
      </c>
      <c r="H269" s="2" t="s">
        <v>54</v>
      </c>
      <c r="I269" s="2" t="s">
        <v>54</v>
      </c>
      <c r="J269" s="2" t="s">
        <v>398</v>
      </c>
      <c r="K269" s="2" t="s">
        <v>398</v>
      </c>
      <c r="L269" s="2" t="s">
        <v>56</v>
      </c>
      <c r="M269" s="2" t="s">
        <v>57</v>
      </c>
      <c r="N269" s="3">
        <v>30500</v>
      </c>
      <c r="O269" s="3">
        <v>30500</v>
      </c>
      <c r="P269" s="3">
        <v>30500</v>
      </c>
      <c r="Q269" s="3">
        <v>30500</v>
      </c>
      <c r="R269" s="3">
        <v>30500</v>
      </c>
      <c r="S269" s="3">
        <v>30500</v>
      </c>
      <c r="T269" s="3">
        <v>30500</v>
      </c>
      <c r="U269" s="3">
        <v>30500</v>
      </c>
      <c r="V269" s="3">
        <v>30500</v>
      </c>
      <c r="W269" s="3">
        <v>30500</v>
      </c>
      <c r="X269" s="3">
        <v>30500</v>
      </c>
      <c r="Y269" s="3">
        <v>30500</v>
      </c>
      <c r="Z269" s="3">
        <v>366000</v>
      </c>
    </row>
    <row r="270" spans="1:26" hidden="1" x14ac:dyDescent="0.3">
      <c r="A270" s="2" t="s">
        <v>467</v>
      </c>
      <c r="B270" s="2" t="s">
        <v>396</v>
      </c>
      <c r="C270" s="2" t="s">
        <v>396</v>
      </c>
      <c r="D270" s="2" t="s">
        <v>82</v>
      </c>
      <c r="E270" s="2" t="s">
        <v>82</v>
      </c>
      <c r="F270" s="2" t="s">
        <v>53</v>
      </c>
      <c r="G270" s="2" t="s">
        <v>53</v>
      </c>
      <c r="H270" s="2" t="s">
        <v>767</v>
      </c>
      <c r="I270" s="2" t="s">
        <v>767</v>
      </c>
      <c r="J270" s="2" t="s">
        <v>399</v>
      </c>
      <c r="K270" s="2" t="s">
        <v>399</v>
      </c>
      <c r="L270" s="2" t="s">
        <v>56</v>
      </c>
      <c r="M270" s="2" t="s">
        <v>57</v>
      </c>
      <c r="N270" s="3">
        <v>-12500</v>
      </c>
      <c r="O270" s="3">
        <v>-12500</v>
      </c>
      <c r="P270" s="3">
        <v>-12500</v>
      </c>
      <c r="Q270" s="3">
        <v>-12500</v>
      </c>
      <c r="R270" s="3">
        <v>-12500</v>
      </c>
      <c r="S270" s="3">
        <v>-12500</v>
      </c>
      <c r="T270" s="3">
        <v>-12500</v>
      </c>
      <c r="U270" s="3">
        <v>-12500</v>
      </c>
      <c r="V270" s="3">
        <v>-12500</v>
      </c>
      <c r="W270" s="3">
        <v>-12500</v>
      </c>
      <c r="X270" s="3">
        <v>-12500</v>
      </c>
      <c r="Y270" s="3">
        <v>-12500</v>
      </c>
      <c r="Z270" s="3">
        <v>-150000</v>
      </c>
    </row>
    <row r="271" spans="1:26" hidden="1" x14ac:dyDescent="0.3">
      <c r="A271" s="2" t="s">
        <v>467</v>
      </c>
      <c r="B271" s="2" t="s">
        <v>396</v>
      </c>
      <c r="C271" s="2" t="s">
        <v>396</v>
      </c>
      <c r="D271" s="2" t="s">
        <v>82</v>
      </c>
      <c r="E271" s="2" t="s">
        <v>82</v>
      </c>
      <c r="F271" s="2" t="s">
        <v>53</v>
      </c>
      <c r="G271" s="2" t="s">
        <v>53</v>
      </c>
      <c r="H271" s="2" t="s">
        <v>54</v>
      </c>
      <c r="I271" s="2" t="s">
        <v>54</v>
      </c>
      <c r="J271" s="2" t="s">
        <v>399</v>
      </c>
      <c r="K271" s="2" t="s">
        <v>399</v>
      </c>
      <c r="L271" s="2" t="s">
        <v>56</v>
      </c>
      <c r="M271" s="2" t="s">
        <v>57</v>
      </c>
      <c r="N271" s="3">
        <v>20833</v>
      </c>
      <c r="O271" s="3">
        <v>20833</v>
      </c>
      <c r="P271" s="3">
        <v>20833</v>
      </c>
      <c r="Q271" s="3">
        <v>20833</v>
      </c>
      <c r="R271" s="3">
        <v>20833</v>
      </c>
      <c r="S271" s="3">
        <v>20833</v>
      </c>
      <c r="T271" s="3">
        <v>20833</v>
      </c>
      <c r="U271" s="3">
        <v>20833</v>
      </c>
      <c r="V271" s="3">
        <v>20833</v>
      </c>
      <c r="W271" s="3">
        <v>20833</v>
      </c>
      <c r="X271" s="3">
        <v>20833</v>
      </c>
      <c r="Y271" s="3">
        <v>20833</v>
      </c>
      <c r="Z271" s="3">
        <v>249996</v>
      </c>
    </row>
    <row r="272" spans="1:26" hidden="1" x14ac:dyDescent="0.3">
      <c r="A272" s="2" t="s">
        <v>467</v>
      </c>
      <c r="B272" s="2" t="s">
        <v>396</v>
      </c>
      <c r="C272" s="2" t="s">
        <v>396</v>
      </c>
      <c r="D272" s="2" t="s">
        <v>400</v>
      </c>
      <c r="E272" s="2" t="s">
        <v>400</v>
      </c>
      <c r="F272" s="2" t="s">
        <v>53</v>
      </c>
      <c r="G272" s="2" t="s">
        <v>53</v>
      </c>
      <c r="H272" s="2" t="s">
        <v>54</v>
      </c>
      <c r="I272" s="2" t="s">
        <v>54</v>
      </c>
      <c r="J272" s="2" t="s">
        <v>401</v>
      </c>
      <c r="K272" s="2"/>
      <c r="L272" s="2" t="s">
        <v>56</v>
      </c>
      <c r="M272" s="2" t="s">
        <v>57</v>
      </c>
      <c r="N272" s="3">
        <v>23333</v>
      </c>
      <c r="O272" s="3">
        <v>23333</v>
      </c>
      <c r="P272" s="3">
        <v>23333</v>
      </c>
      <c r="Q272" s="3">
        <v>23333</v>
      </c>
      <c r="R272" s="3">
        <v>23333</v>
      </c>
      <c r="S272" s="3">
        <v>23333</v>
      </c>
      <c r="T272" s="3">
        <v>23333</v>
      </c>
      <c r="U272" s="3">
        <v>23333</v>
      </c>
      <c r="V272" s="3">
        <v>23333</v>
      </c>
      <c r="W272" s="3">
        <v>23333</v>
      </c>
      <c r="X272" s="3">
        <v>23333</v>
      </c>
      <c r="Y272" s="3">
        <v>23333</v>
      </c>
      <c r="Z272" s="3">
        <v>279996</v>
      </c>
    </row>
    <row r="273" spans="1:26" hidden="1" x14ac:dyDescent="0.3">
      <c r="A273" s="2" t="s">
        <v>467</v>
      </c>
      <c r="B273" s="2" t="s">
        <v>51</v>
      </c>
      <c r="C273" s="2" t="s">
        <v>51</v>
      </c>
      <c r="D273" s="2" t="s">
        <v>52</v>
      </c>
      <c r="E273" s="2" t="s">
        <v>52</v>
      </c>
      <c r="F273" s="2" t="s">
        <v>53</v>
      </c>
      <c r="G273" s="2" t="s">
        <v>53</v>
      </c>
      <c r="H273" s="2" t="s">
        <v>54</v>
      </c>
      <c r="I273" s="2" t="s">
        <v>54</v>
      </c>
      <c r="J273" s="2" t="s">
        <v>803</v>
      </c>
      <c r="K273" s="2"/>
      <c r="L273" s="2" t="s">
        <v>404</v>
      </c>
      <c r="M273" s="2" t="s">
        <v>57</v>
      </c>
      <c r="N273" s="3"/>
      <c r="O273" s="3"/>
      <c r="P273" s="3"/>
      <c r="Q273" s="3"/>
      <c r="R273" s="3"/>
      <c r="S273" s="3"/>
      <c r="T273" s="3"/>
      <c r="U273" s="3"/>
      <c r="V273" s="3"/>
      <c r="W273" s="3"/>
      <c r="X273" s="3"/>
      <c r="Y273" s="3"/>
      <c r="Z273" s="3"/>
    </row>
    <row r="274" spans="1:26" hidden="1" x14ac:dyDescent="0.3">
      <c r="A274" s="2" t="s">
        <v>467</v>
      </c>
      <c r="B274" s="2" t="s">
        <v>51</v>
      </c>
      <c r="C274" s="2" t="s">
        <v>51</v>
      </c>
      <c r="D274" s="2" t="s">
        <v>402</v>
      </c>
      <c r="E274" s="2" t="s">
        <v>402</v>
      </c>
      <c r="F274" s="2" t="s">
        <v>53</v>
      </c>
      <c r="G274" s="2" t="s">
        <v>53</v>
      </c>
      <c r="H274" s="2" t="s">
        <v>54</v>
      </c>
      <c r="I274" s="2" t="s">
        <v>54</v>
      </c>
      <c r="J274" s="2" t="s">
        <v>804</v>
      </c>
      <c r="K274" s="2"/>
      <c r="L274" s="2" t="s">
        <v>404</v>
      </c>
      <c r="M274" s="2" t="s">
        <v>57</v>
      </c>
      <c r="N274" s="3"/>
      <c r="O274" s="3"/>
      <c r="P274" s="3"/>
      <c r="Q274" s="3"/>
      <c r="R274" s="3"/>
      <c r="S274" s="3"/>
      <c r="T274" s="3"/>
      <c r="U274" s="3"/>
      <c r="V274" s="3"/>
      <c r="W274" s="3"/>
      <c r="X274" s="3"/>
      <c r="Y274" s="3"/>
      <c r="Z274" s="3"/>
    </row>
    <row r="275" spans="1:26" hidden="1" x14ac:dyDescent="0.3">
      <c r="A275" s="2" t="s">
        <v>467</v>
      </c>
      <c r="B275" s="2" t="s">
        <v>68</v>
      </c>
      <c r="C275" s="2" t="s">
        <v>68</v>
      </c>
      <c r="D275" s="2" t="s">
        <v>64</v>
      </c>
      <c r="E275" s="2" t="s">
        <v>64</v>
      </c>
      <c r="F275" s="2" t="s">
        <v>53</v>
      </c>
      <c r="G275" s="2" t="s">
        <v>53</v>
      </c>
      <c r="H275" s="2" t="s">
        <v>54</v>
      </c>
      <c r="I275" s="2" t="s">
        <v>54</v>
      </c>
      <c r="J275" s="2"/>
      <c r="K275" s="2"/>
      <c r="L275" s="2" t="s">
        <v>404</v>
      </c>
      <c r="M275" s="2" t="s">
        <v>72</v>
      </c>
      <c r="N275" s="3"/>
      <c r="O275" s="3"/>
      <c r="P275" s="3"/>
      <c r="Q275" s="3"/>
      <c r="R275" s="3"/>
      <c r="S275" s="3"/>
      <c r="T275" s="3"/>
      <c r="U275" s="3"/>
      <c r="V275" s="3"/>
      <c r="W275" s="3"/>
      <c r="X275" s="3"/>
      <c r="Y275" s="3"/>
      <c r="Z275" s="3"/>
    </row>
    <row r="276" spans="1:26" hidden="1" x14ac:dyDescent="0.3">
      <c r="A276" s="2" t="s">
        <v>467</v>
      </c>
      <c r="B276" s="2" t="s">
        <v>68</v>
      </c>
      <c r="C276" s="2" t="s">
        <v>68</v>
      </c>
      <c r="D276" s="2" t="s">
        <v>66</v>
      </c>
      <c r="E276" s="2" t="s">
        <v>66</v>
      </c>
      <c r="F276" s="2" t="s">
        <v>53</v>
      </c>
      <c r="G276" s="2" t="s">
        <v>53</v>
      </c>
      <c r="H276" s="2" t="s">
        <v>54</v>
      </c>
      <c r="I276" s="2" t="s">
        <v>54</v>
      </c>
      <c r="J276" s="2"/>
      <c r="K276" s="2"/>
      <c r="L276" s="2" t="s">
        <v>404</v>
      </c>
      <c r="M276" s="2" t="s">
        <v>72</v>
      </c>
      <c r="N276" s="3"/>
      <c r="O276" s="3"/>
      <c r="P276" s="3"/>
      <c r="Q276" s="3"/>
      <c r="R276" s="3"/>
      <c r="S276" s="3"/>
      <c r="T276" s="3"/>
      <c r="U276" s="3"/>
      <c r="V276" s="3"/>
      <c r="W276" s="3"/>
      <c r="X276" s="3"/>
      <c r="Y276" s="3"/>
      <c r="Z276" s="3"/>
    </row>
    <row r="277" spans="1:26" hidden="1" x14ac:dyDescent="0.3">
      <c r="A277" s="2" t="s">
        <v>467</v>
      </c>
      <c r="B277" s="2" t="s">
        <v>68</v>
      </c>
      <c r="C277" s="2" t="s">
        <v>68</v>
      </c>
      <c r="D277" s="2" t="s">
        <v>58</v>
      </c>
      <c r="E277" s="2" t="s">
        <v>58</v>
      </c>
      <c r="F277" s="2" t="s">
        <v>53</v>
      </c>
      <c r="G277" s="2" t="s">
        <v>53</v>
      </c>
      <c r="H277" s="2" t="s">
        <v>54</v>
      </c>
      <c r="I277" s="2" t="s">
        <v>54</v>
      </c>
      <c r="J277" s="2"/>
      <c r="K277" s="2"/>
      <c r="L277" s="2" t="s">
        <v>404</v>
      </c>
      <c r="M277" s="2" t="s">
        <v>72</v>
      </c>
      <c r="N277" s="3"/>
      <c r="O277" s="3"/>
      <c r="P277" s="3"/>
      <c r="Q277" s="3"/>
      <c r="R277" s="3"/>
      <c r="S277" s="3"/>
      <c r="T277" s="3"/>
      <c r="U277" s="3"/>
      <c r="V277" s="3"/>
      <c r="W277" s="3"/>
      <c r="X277" s="3"/>
      <c r="Y277" s="3"/>
      <c r="Z277" s="3"/>
    </row>
    <row r="278" spans="1:26" hidden="1" x14ac:dyDescent="0.3">
      <c r="A278" s="2" t="s">
        <v>467</v>
      </c>
      <c r="B278" s="2" t="s">
        <v>68</v>
      </c>
      <c r="C278" s="2" t="s">
        <v>68</v>
      </c>
      <c r="D278" s="2" t="s">
        <v>60</v>
      </c>
      <c r="E278" s="2" t="s">
        <v>60</v>
      </c>
      <c r="F278" s="2" t="s">
        <v>53</v>
      </c>
      <c r="G278" s="2" t="s">
        <v>53</v>
      </c>
      <c r="H278" s="2" t="s">
        <v>54</v>
      </c>
      <c r="I278" s="2" t="s">
        <v>54</v>
      </c>
      <c r="J278" s="2"/>
      <c r="K278" s="2"/>
      <c r="L278" s="2" t="s">
        <v>404</v>
      </c>
      <c r="M278" s="2" t="s">
        <v>72</v>
      </c>
      <c r="N278" s="3"/>
      <c r="O278" s="3"/>
      <c r="P278" s="3"/>
      <c r="Q278" s="3"/>
      <c r="R278" s="3"/>
      <c r="S278" s="3"/>
      <c r="T278" s="3"/>
      <c r="U278" s="3"/>
      <c r="V278" s="3"/>
      <c r="W278" s="3"/>
      <c r="X278" s="3"/>
      <c r="Y278" s="3"/>
      <c r="Z278" s="3"/>
    </row>
    <row r="279" spans="1:26" hidden="1" x14ac:dyDescent="0.3">
      <c r="A279" s="2" t="s">
        <v>467</v>
      </c>
      <c r="B279" s="2" t="s">
        <v>68</v>
      </c>
      <c r="C279" s="2" t="s">
        <v>68</v>
      </c>
      <c r="D279" s="2" t="s">
        <v>132</v>
      </c>
      <c r="E279" s="2" t="s">
        <v>132</v>
      </c>
      <c r="F279" s="2" t="s">
        <v>53</v>
      </c>
      <c r="G279" s="2" t="s">
        <v>53</v>
      </c>
      <c r="H279" s="2" t="s">
        <v>54</v>
      </c>
      <c r="I279" s="2" t="s">
        <v>54</v>
      </c>
      <c r="J279" s="2" t="s">
        <v>805</v>
      </c>
      <c r="K279" s="2"/>
      <c r="L279" s="2" t="s">
        <v>404</v>
      </c>
      <c r="M279" s="2" t="s">
        <v>72</v>
      </c>
      <c r="N279" s="3"/>
      <c r="O279" s="3"/>
      <c r="P279" s="3"/>
      <c r="Q279" s="3"/>
      <c r="R279" s="3"/>
      <c r="S279" s="3"/>
      <c r="T279" s="3"/>
      <c r="U279" s="3"/>
      <c r="V279" s="3"/>
      <c r="W279" s="3"/>
      <c r="X279" s="3"/>
      <c r="Y279" s="3"/>
      <c r="Z279" s="3"/>
    </row>
    <row r="280" spans="1:26" hidden="1" x14ac:dyDescent="0.3">
      <c r="A280" s="2" t="s">
        <v>467</v>
      </c>
      <c r="B280" s="2" t="s">
        <v>68</v>
      </c>
      <c r="C280" s="2" t="s">
        <v>68</v>
      </c>
      <c r="D280" s="2" t="s">
        <v>52</v>
      </c>
      <c r="E280" s="2" t="s">
        <v>52</v>
      </c>
      <c r="F280" s="2" t="s">
        <v>53</v>
      </c>
      <c r="G280" s="2" t="s">
        <v>53</v>
      </c>
      <c r="H280" s="2" t="s">
        <v>54</v>
      </c>
      <c r="I280" s="2" t="s">
        <v>54</v>
      </c>
      <c r="J280" s="2" t="s">
        <v>73</v>
      </c>
      <c r="K280" s="2"/>
      <c r="L280" s="2" t="s">
        <v>404</v>
      </c>
      <c r="M280" s="2" t="s">
        <v>72</v>
      </c>
      <c r="N280" s="3"/>
      <c r="O280" s="3"/>
      <c r="P280" s="3"/>
      <c r="Q280" s="3"/>
      <c r="R280" s="3"/>
      <c r="S280" s="3"/>
      <c r="T280" s="3"/>
      <c r="U280" s="3"/>
      <c r="V280" s="3"/>
      <c r="W280" s="3"/>
      <c r="X280" s="3"/>
      <c r="Y280" s="3"/>
      <c r="Z280" s="3"/>
    </row>
    <row r="281" spans="1:26" hidden="1" x14ac:dyDescent="0.3">
      <c r="A281" s="2" t="s">
        <v>467</v>
      </c>
      <c r="B281" s="2" t="s">
        <v>68</v>
      </c>
      <c r="C281" s="2" t="s">
        <v>68</v>
      </c>
      <c r="D281" s="2" t="s">
        <v>402</v>
      </c>
      <c r="E281" s="2" t="s">
        <v>402</v>
      </c>
      <c r="F281" s="2" t="s">
        <v>53</v>
      </c>
      <c r="G281" s="2" t="s">
        <v>53</v>
      </c>
      <c r="H281" s="2" t="s">
        <v>54</v>
      </c>
      <c r="I281" s="2" t="s">
        <v>54</v>
      </c>
      <c r="J281" s="2" t="s">
        <v>403</v>
      </c>
      <c r="K281" s="2"/>
      <c r="L281" s="2" t="s">
        <v>404</v>
      </c>
      <c r="M281" s="2" t="s">
        <v>72</v>
      </c>
      <c r="N281" s="3">
        <v>-13975</v>
      </c>
      <c r="O281" s="3">
        <v>-13975</v>
      </c>
      <c r="P281" s="3">
        <v>-13975</v>
      </c>
      <c r="Q281" s="3">
        <v>-13975</v>
      </c>
      <c r="R281" s="3">
        <v>-13975</v>
      </c>
      <c r="S281" s="3">
        <v>-13975</v>
      </c>
      <c r="T281" s="3">
        <v>-13975</v>
      </c>
      <c r="U281" s="3">
        <v>-13975</v>
      </c>
      <c r="V281" s="3">
        <v>-13975</v>
      </c>
      <c r="W281" s="3">
        <v>-13975</v>
      </c>
      <c r="X281" s="3">
        <v>-13975</v>
      </c>
      <c r="Y281" s="3">
        <v>-13975</v>
      </c>
      <c r="Z281" s="3">
        <v>-167700</v>
      </c>
    </row>
    <row r="282" spans="1:26" hidden="1" x14ac:dyDescent="0.3">
      <c r="A282" s="2" t="s">
        <v>467</v>
      </c>
      <c r="B282" s="2" t="s">
        <v>75</v>
      </c>
      <c r="C282" s="2" t="s">
        <v>75</v>
      </c>
      <c r="D282" s="2" t="s">
        <v>76</v>
      </c>
      <c r="E282" s="2" t="s">
        <v>76</v>
      </c>
      <c r="F282" s="2" t="s">
        <v>53</v>
      </c>
      <c r="G282" s="2" t="s">
        <v>53</v>
      </c>
      <c r="H282" s="2" t="s">
        <v>77</v>
      </c>
      <c r="I282" s="2" t="s">
        <v>77</v>
      </c>
      <c r="J282" s="2"/>
      <c r="K282" s="2" t="s">
        <v>79</v>
      </c>
      <c r="L282" s="2" t="s">
        <v>404</v>
      </c>
      <c r="M282" s="2" t="s">
        <v>57</v>
      </c>
      <c r="N282" s="3"/>
      <c r="O282" s="3"/>
      <c r="P282" s="3"/>
      <c r="Q282" s="3"/>
      <c r="R282" s="3"/>
      <c r="S282" s="3"/>
      <c r="T282" s="3"/>
      <c r="U282" s="3"/>
      <c r="V282" s="3"/>
      <c r="W282" s="3"/>
      <c r="X282" s="3"/>
      <c r="Y282" s="3"/>
      <c r="Z282" s="3"/>
    </row>
    <row r="283" spans="1:26" hidden="1" x14ac:dyDescent="0.3">
      <c r="A283" s="2" t="s">
        <v>467</v>
      </c>
      <c r="B283" s="2" t="s">
        <v>75</v>
      </c>
      <c r="C283" s="2" t="s">
        <v>75</v>
      </c>
      <c r="D283" s="2" t="s">
        <v>76</v>
      </c>
      <c r="E283" s="2" t="s">
        <v>76</v>
      </c>
      <c r="F283" s="2" t="s">
        <v>53</v>
      </c>
      <c r="G283" s="2" t="s">
        <v>53</v>
      </c>
      <c r="H283" s="2" t="s">
        <v>54</v>
      </c>
      <c r="I283" s="2" t="s">
        <v>54</v>
      </c>
      <c r="J283" s="2"/>
      <c r="K283" s="2" t="s">
        <v>81</v>
      </c>
      <c r="L283" s="2" t="s">
        <v>404</v>
      </c>
      <c r="M283" s="2" t="s">
        <v>57</v>
      </c>
      <c r="N283" s="3"/>
      <c r="O283" s="3"/>
      <c r="P283" s="3"/>
      <c r="Q283" s="3"/>
      <c r="R283" s="3"/>
      <c r="S283" s="3"/>
      <c r="T283" s="3"/>
      <c r="U283" s="3"/>
      <c r="V283" s="3"/>
      <c r="W283" s="3"/>
      <c r="X283" s="3"/>
      <c r="Y283" s="3"/>
      <c r="Z283" s="3"/>
    </row>
    <row r="284" spans="1:26" hidden="1" x14ac:dyDescent="0.3">
      <c r="A284" s="2" t="s">
        <v>467</v>
      </c>
      <c r="B284" s="2" t="s">
        <v>75</v>
      </c>
      <c r="C284" s="2" t="s">
        <v>75</v>
      </c>
      <c r="D284" s="2" t="s">
        <v>82</v>
      </c>
      <c r="E284" s="2" t="s">
        <v>82</v>
      </c>
      <c r="F284" s="2" t="s">
        <v>53</v>
      </c>
      <c r="G284" s="2" t="s">
        <v>53</v>
      </c>
      <c r="H284" s="2" t="s">
        <v>54</v>
      </c>
      <c r="I284" s="2" t="s">
        <v>54</v>
      </c>
      <c r="J284" s="2" t="s">
        <v>806</v>
      </c>
      <c r="K284" s="2" t="s">
        <v>84</v>
      </c>
      <c r="L284" s="2" t="s">
        <v>404</v>
      </c>
      <c r="M284" s="2" t="s">
        <v>57</v>
      </c>
      <c r="N284" s="3"/>
      <c r="O284" s="3"/>
      <c r="P284" s="3"/>
      <c r="Q284" s="3"/>
      <c r="R284" s="3"/>
      <c r="S284" s="3"/>
      <c r="T284" s="3"/>
      <c r="U284" s="3"/>
      <c r="V284" s="3"/>
      <c r="W284" s="3"/>
      <c r="X284" s="3"/>
      <c r="Y284" s="3"/>
      <c r="Z284" s="3"/>
    </row>
    <row r="285" spans="1:26" hidden="1" x14ac:dyDescent="0.3">
      <c r="A285" s="2" t="s">
        <v>467</v>
      </c>
      <c r="B285" s="2" t="s">
        <v>75</v>
      </c>
      <c r="C285" s="2" t="s">
        <v>75</v>
      </c>
      <c r="D285" s="2" t="s">
        <v>85</v>
      </c>
      <c r="E285" s="2" t="s">
        <v>85</v>
      </c>
      <c r="F285" s="2" t="s">
        <v>53</v>
      </c>
      <c r="G285" s="2" t="s">
        <v>53</v>
      </c>
      <c r="H285" s="2" t="s">
        <v>54</v>
      </c>
      <c r="I285" s="2" t="s">
        <v>54</v>
      </c>
      <c r="J285" s="2" t="s">
        <v>807</v>
      </c>
      <c r="K285" s="2" t="s">
        <v>87</v>
      </c>
      <c r="L285" s="2" t="s">
        <v>404</v>
      </c>
      <c r="M285" s="2" t="s">
        <v>57</v>
      </c>
      <c r="N285" s="3"/>
      <c r="O285" s="3"/>
      <c r="P285" s="3"/>
      <c r="Q285" s="3"/>
      <c r="R285" s="3"/>
      <c r="S285" s="3"/>
      <c r="T285" s="3"/>
      <c r="U285" s="3"/>
      <c r="V285" s="3"/>
      <c r="W285" s="3"/>
      <c r="X285" s="3"/>
      <c r="Y285" s="3"/>
      <c r="Z285" s="3"/>
    </row>
    <row r="286" spans="1:26" hidden="1" x14ac:dyDescent="0.3">
      <c r="A286" s="2" t="s">
        <v>467</v>
      </c>
      <c r="B286" s="2" t="s">
        <v>75</v>
      </c>
      <c r="C286" s="2" t="s">
        <v>75</v>
      </c>
      <c r="D286" s="2" t="s">
        <v>85</v>
      </c>
      <c r="E286" s="2" t="s">
        <v>85</v>
      </c>
      <c r="F286" s="2" t="s">
        <v>53</v>
      </c>
      <c r="G286" s="2" t="s">
        <v>53</v>
      </c>
      <c r="H286" s="2" t="s">
        <v>54</v>
      </c>
      <c r="I286" s="2" t="s">
        <v>54</v>
      </c>
      <c r="J286" s="2"/>
      <c r="K286" s="2" t="s">
        <v>89</v>
      </c>
      <c r="L286" s="2" t="s">
        <v>404</v>
      </c>
      <c r="M286" s="2" t="s">
        <v>57</v>
      </c>
      <c r="N286" s="3"/>
      <c r="O286" s="3"/>
      <c r="P286" s="3"/>
      <c r="Q286" s="3"/>
      <c r="R286" s="3"/>
      <c r="S286" s="3"/>
      <c r="T286" s="3"/>
      <c r="U286" s="3"/>
      <c r="V286" s="3"/>
      <c r="W286" s="3"/>
      <c r="X286" s="3"/>
      <c r="Y286" s="3"/>
      <c r="Z286" s="3"/>
    </row>
    <row r="287" spans="1:26" hidden="1" x14ac:dyDescent="0.3">
      <c r="A287" s="2" t="s">
        <v>467</v>
      </c>
      <c r="B287" s="2" t="s">
        <v>75</v>
      </c>
      <c r="C287" s="2" t="s">
        <v>75</v>
      </c>
      <c r="D287" s="2" t="s">
        <v>85</v>
      </c>
      <c r="E287" s="2" t="s">
        <v>85</v>
      </c>
      <c r="F287" s="2" t="s">
        <v>53</v>
      </c>
      <c r="G287" s="2" t="s">
        <v>53</v>
      </c>
      <c r="H287" s="2" t="s">
        <v>54</v>
      </c>
      <c r="I287" s="2" t="s">
        <v>54</v>
      </c>
      <c r="J287" s="2" t="s">
        <v>808</v>
      </c>
      <c r="K287" s="2" t="s">
        <v>89</v>
      </c>
      <c r="L287" s="2" t="s">
        <v>404</v>
      </c>
      <c r="M287" s="2" t="s">
        <v>57</v>
      </c>
      <c r="N287" s="3"/>
      <c r="O287" s="3"/>
      <c r="P287" s="3"/>
      <c r="Q287" s="3"/>
      <c r="R287" s="3"/>
      <c r="S287" s="3"/>
      <c r="T287" s="3"/>
      <c r="U287" s="3"/>
      <c r="V287" s="3"/>
      <c r="W287" s="3"/>
      <c r="X287" s="3"/>
      <c r="Y287" s="3"/>
      <c r="Z287" s="3"/>
    </row>
    <row r="288" spans="1:26" hidden="1" x14ac:dyDescent="0.3">
      <c r="A288" s="2" t="s">
        <v>467</v>
      </c>
      <c r="B288" s="2" t="s">
        <v>75</v>
      </c>
      <c r="C288" s="2" t="s">
        <v>75</v>
      </c>
      <c r="D288" s="2" t="s">
        <v>76</v>
      </c>
      <c r="E288" s="2" t="s">
        <v>76</v>
      </c>
      <c r="F288" s="2" t="s">
        <v>53</v>
      </c>
      <c r="G288" s="2" t="s">
        <v>53</v>
      </c>
      <c r="H288" s="2" t="s">
        <v>90</v>
      </c>
      <c r="I288" s="2" t="s">
        <v>90</v>
      </c>
      <c r="J288" s="2" t="s">
        <v>809</v>
      </c>
      <c r="K288" s="2" t="s">
        <v>92</v>
      </c>
      <c r="L288" s="2" t="s">
        <v>404</v>
      </c>
      <c r="M288" s="2" t="s">
        <v>57</v>
      </c>
      <c r="N288" s="3"/>
      <c r="O288" s="3"/>
      <c r="P288" s="3"/>
      <c r="Q288" s="3"/>
      <c r="R288" s="3"/>
      <c r="S288" s="3"/>
      <c r="T288" s="3"/>
      <c r="U288" s="3"/>
      <c r="V288" s="3"/>
      <c r="W288" s="3"/>
      <c r="X288" s="3"/>
      <c r="Y288" s="3"/>
      <c r="Z288" s="3"/>
    </row>
    <row r="289" spans="1:26" hidden="1" x14ac:dyDescent="0.3">
      <c r="A289" s="2" t="s">
        <v>467</v>
      </c>
      <c r="B289" s="2" t="s">
        <v>75</v>
      </c>
      <c r="C289" s="2" t="s">
        <v>75</v>
      </c>
      <c r="D289" s="2" t="s">
        <v>76</v>
      </c>
      <c r="E289" s="2" t="s">
        <v>76</v>
      </c>
      <c r="F289" s="2" t="s">
        <v>53</v>
      </c>
      <c r="G289" s="2" t="s">
        <v>53</v>
      </c>
      <c r="H289" s="2" t="s">
        <v>77</v>
      </c>
      <c r="I289" s="2" t="s">
        <v>77</v>
      </c>
      <c r="J289" s="2"/>
      <c r="K289" s="2" t="s">
        <v>97</v>
      </c>
      <c r="L289" s="2" t="s">
        <v>404</v>
      </c>
      <c r="M289" s="2" t="s">
        <v>57</v>
      </c>
      <c r="N289" s="3"/>
      <c r="O289" s="3"/>
      <c r="P289" s="3"/>
      <c r="Q289" s="3"/>
      <c r="R289" s="3"/>
      <c r="S289" s="3"/>
      <c r="T289" s="3"/>
      <c r="U289" s="3"/>
      <c r="V289" s="3"/>
      <c r="W289" s="3"/>
      <c r="X289" s="3"/>
      <c r="Y289" s="3"/>
      <c r="Z289" s="3"/>
    </row>
    <row r="290" spans="1:26" hidden="1" x14ac:dyDescent="0.3">
      <c r="A290" s="2" t="s">
        <v>467</v>
      </c>
      <c r="B290" s="2" t="s">
        <v>75</v>
      </c>
      <c r="C290" s="2" t="s">
        <v>75</v>
      </c>
      <c r="D290" s="2" t="s">
        <v>93</v>
      </c>
      <c r="E290" s="2" t="s">
        <v>93</v>
      </c>
      <c r="F290" s="2" t="s">
        <v>53</v>
      </c>
      <c r="G290" s="2" t="s">
        <v>53</v>
      </c>
      <c r="H290" s="2" t="s">
        <v>77</v>
      </c>
      <c r="I290" s="2" t="s">
        <v>77</v>
      </c>
      <c r="J290" s="2"/>
      <c r="K290" s="2" t="s">
        <v>97</v>
      </c>
      <c r="L290" s="2" t="s">
        <v>404</v>
      </c>
      <c r="M290" s="2" t="s">
        <v>57</v>
      </c>
      <c r="N290" s="3"/>
      <c r="O290" s="3"/>
      <c r="P290" s="3"/>
      <c r="Q290" s="3"/>
      <c r="R290" s="3"/>
      <c r="S290" s="3"/>
      <c r="T290" s="3"/>
      <c r="U290" s="3"/>
      <c r="V290" s="3"/>
      <c r="W290" s="3"/>
      <c r="X290" s="3"/>
      <c r="Y290" s="3"/>
      <c r="Z290" s="3"/>
    </row>
    <row r="291" spans="1:26" hidden="1" x14ac:dyDescent="0.3">
      <c r="A291" s="2" t="s">
        <v>467</v>
      </c>
      <c r="B291" s="2" t="s">
        <v>75</v>
      </c>
      <c r="C291" s="2" t="s">
        <v>75</v>
      </c>
      <c r="D291" s="2" t="s">
        <v>98</v>
      </c>
      <c r="E291" s="2" t="s">
        <v>98</v>
      </c>
      <c r="F291" s="2" t="s">
        <v>53</v>
      </c>
      <c r="G291" s="2" t="s">
        <v>53</v>
      </c>
      <c r="H291" s="2" t="s">
        <v>99</v>
      </c>
      <c r="I291" s="2" t="s">
        <v>99</v>
      </c>
      <c r="J291" s="2" t="s">
        <v>810</v>
      </c>
      <c r="K291" s="2" t="s">
        <v>97</v>
      </c>
      <c r="L291" s="2" t="s">
        <v>404</v>
      </c>
      <c r="M291" s="2" t="s">
        <v>57</v>
      </c>
      <c r="N291" s="3"/>
      <c r="O291" s="3"/>
      <c r="P291" s="3"/>
      <c r="Q291" s="3"/>
      <c r="R291" s="3"/>
      <c r="S291" s="3"/>
      <c r="T291" s="3"/>
      <c r="U291" s="3"/>
      <c r="V291" s="3"/>
      <c r="W291" s="3"/>
      <c r="X291" s="3"/>
      <c r="Y291" s="3"/>
      <c r="Z291" s="3"/>
    </row>
    <row r="292" spans="1:26" hidden="1" x14ac:dyDescent="0.3">
      <c r="A292" s="2" t="s">
        <v>467</v>
      </c>
      <c r="B292" s="2" t="s">
        <v>75</v>
      </c>
      <c r="C292" s="2" t="s">
        <v>75</v>
      </c>
      <c r="D292" s="2" t="s">
        <v>93</v>
      </c>
      <c r="E292" s="2" t="s">
        <v>93</v>
      </c>
      <c r="F292" s="2" t="s">
        <v>53</v>
      </c>
      <c r="G292" s="2" t="s">
        <v>53</v>
      </c>
      <c r="H292" s="2" t="s">
        <v>77</v>
      </c>
      <c r="I292" s="2" t="s">
        <v>77</v>
      </c>
      <c r="J292" s="2" t="s">
        <v>811</v>
      </c>
      <c r="K292" s="2" t="s">
        <v>97</v>
      </c>
      <c r="L292" s="2" t="s">
        <v>404</v>
      </c>
      <c r="M292" s="2" t="s">
        <v>57</v>
      </c>
      <c r="N292" s="3"/>
      <c r="O292" s="3"/>
      <c r="P292" s="3"/>
      <c r="Q292" s="3"/>
      <c r="R292" s="3"/>
      <c r="S292" s="3"/>
      <c r="T292" s="3"/>
      <c r="U292" s="3"/>
      <c r="V292" s="3"/>
      <c r="W292" s="3"/>
      <c r="X292" s="3"/>
      <c r="Y292" s="3"/>
      <c r="Z292" s="3"/>
    </row>
    <row r="293" spans="1:26" hidden="1" x14ac:dyDescent="0.3">
      <c r="A293" s="2" t="s">
        <v>467</v>
      </c>
      <c r="B293" s="2" t="s">
        <v>75</v>
      </c>
      <c r="C293" s="2" t="s">
        <v>75</v>
      </c>
      <c r="D293" s="2" t="s">
        <v>98</v>
      </c>
      <c r="E293" s="2" t="s">
        <v>98</v>
      </c>
      <c r="F293" s="2" t="s">
        <v>53</v>
      </c>
      <c r="G293" s="2" t="s">
        <v>53</v>
      </c>
      <c r="H293" s="2" t="s">
        <v>99</v>
      </c>
      <c r="I293" s="2" t="s">
        <v>99</v>
      </c>
      <c r="J293" s="2"/>
      <c r="K293" s="2" t="s">
        <v>103</v>
      </c>
      <c r="L293" s="2" t="s">
        <v>404</v>
      </c>
      <c r="M293" s="2" t="s">
        <v>57</v>
      </c>
      <c r="N293" s="3"/>
      <c r="O293" s="3"/>
      <c r="P293" s="3"/>
      <c r="Q293" s="3"/>
      <c r="R293" s="3"/>
      <c r="S293" s="3"/>
      <c r="T293" s="3"/>
      <c r="U293" s="3"/>
      <c r="V293" s="3"/>
      <c r="W293" s="3"/>
      <c r="X293" s="3"/>
      <c r="Y293" s="3"/>
      <c r="Z293" s="3"/>
    </row>
    <row r="294" spans="1:26" hidden="1" x14ac:dyDescent="0.3">
      <c r="A294" s="2" t="s">
        <v>467</v>
      </c>
      <c r="B294" s="2" t="s">
        <v>75</v>
      </c>
      <c r="C294" s="2" t="s">
        <v>75</v>
      </c>
      <c r="D294" s="2" t="s">
        <v>98</v>
      </c>
      <c r="E294" s="2" t="s">
        <v>98</v>
      </c>
      <c r="F294" s="2" t="s">
        <v>53</v>
      </c>
      <c r="G294" s="2" t="s">
        <v>53</v>
      </c>
      <c r="H294" s="2" t="s">
        <v>99</v>
      </c>
      <c r="I294" s="2" t="s">
        <v>99</v>
      </c>
      <c r="J294" s="2"/>
      <c r="K294" s="2" t="s">
        <v>103</v>
      </c>
      <c r="L294" s="2" t="s">
        <v>404</v>
      </c>
      <c r="M294" s="2" t="s">
        <v>57</v>
      </c>
      <c r="N294" s="3"/>
      <c r="O294" s="3"/>
      <c r="P294" s="3"/>
      <c r="Q294" s="3"/>
      <c r="R294" s="3"/>
      <c r="S294" s="3"/>
      <c r="T294" s="3"/>
      <c r="U294" s="3"/>
      <c r="V294" s="3"/>
      <c r="W294" s="3"/>
      <c r="X294" s="3"/>
      <c r="Y294" s="3"/>
      <c r="Z294" s="3"/>
    </row>
    <row r="295" spans="1:26" hidden="1" x14ac:dyDescent="0.3">
      <c r="A295" s="2" t="s">
        <v>467</v>
      </c>
      <c r="B295" s="2" t="s">
        <v>75</v>
      </c>
      <c r="C295" s="2" t="s">
        <v>75</v>
      </c>
      <c r="D295" s="2" t="s">
        <v>104</v>
      </c>
      <c r="E295" s="2" t="s">
        <v>104</v>
      </c>
      <c r="F295" s="2" t="s">
        <v>53</v>
      </c>
      <c r="G295" s="2" t="s">
        <v>53</v>
      </c>
      <c r="H295" s="2" t="s">
        <v>54</v>
      </c>
      <c r="I295" s="2" t="s">
        <v>54</v>
      </c>
      <c r="J295" s="2"/>
      <c r="K295" s="2" t="s">
        <v>812</v>
      </c>
      <c r="L295" s="2" t="s">
        <v>404</v>
      </c>
      <c r="M295" s="2" t="s">
        <v>57</v>
      </c>
      <c r="N295" s="3"/>
      <c r="O295" s="3"/>
      <c r="P295" s="3"/>
      <c r="Q295" s="3"/>
      <c r="R295" s="3"/>
      <c r="S295" s="3"/>
      <c r="T295" s="3"/>
      <c r="U295" s="3"/>
      <c r="V295" s="3"/>
      <c r="W295" s="3"/>
      <c r="X295" s="3"/>
      <c r="Y295" s="3"/>
      <c r="Z295" s="3"/>
    </row>
    <row r="296" spans="1:26" hidden="1" x14ac:dyDescent="0.3">
      <c r="A296" s="2" t="s">
        <v>467</v>
      </c>
      <c r="B296" s="2" t="s">
        <v>75</v>
      </c>
      <c r="C296" s="2" t="s">
        <v>75</v>
      </c>
      <c r="D296" s="2" t="s">
        <v>151</v>
      </c>
      <c r="E296" s="2" t="s">
        <v>151</v>
      </c>
      <c r="F296" s="2" t="s">
        <v>53</v>
      </c>
      <c r="G296" s="2" t="s">
        <v>53</v>
      </c>
      <c r="H296" s="2" t="s">
        <v>54</v>
      </c>
      <c r="I296" s="2" t="s">
        <v>54</v>
      </c>
      <c r="J296" s="2"/>
      <c r="K296" s="2" t="s">
        <v>812</v>
      </c>
      <c r="L296" s="2" t="s">
        <v>404</v>
      </c>
      <c r="M296" s="2" t="s">
        <v>57</v>
      </c>
      <c r="N296" s="3"/>
      <c r="O296" s="3"/>
      <c r="P296" s="3"/>
      <c r="Q296" s="3"/>
      <c r="R296" s="3"/>
      <c r="S296" s="3"/>
      <c r="T296" s="3"/>
      <c r="U296" s="3"/>
      <c r="V296" s="3"/>
      <c r="W296" s="3"/>
      <c r="X296" s="3"/>
      <c r="Y296" s="3"/>
      <c r="Z296" s="3"/>
    </row>
    <row r="297" spans="1:26" hidden="1" x14ac:dyDescent="0.3">
      <c r="A297" s="2" t="s">
        <v>467</v>
      </c>
      <c r="B297" s="2" t="s">
        <v>75</v>
      </c>
      <c r="C297" s="2" t="s">
        <v>75</v>
      </c>
      <c r="D297" s="2" t="s">
        <v>82</v>
      </c>
      <c r="E297" s="2" t="s">
        <v>82</v>
      </c>
      <c r="F297" s="2" t="s">
        <v>53</v>
      </c>
      <c r="G297" s="2" t="s">
        <v>53</v>
      </c>
      <c r="H297" s="2" t="s">
        <v>54</v>
      </c>
      <c r="I297" s="2" t="s">
        <v>54</v>
      </c>
      <c r="J297" s="2"/>
      <c r="K297" s="2" t="s">
        <v>812</v>
      </c>
      <c r="L297" s="2" t="s">
        <v>404</v>
      </c>
      <c r="M297" s="2" t="s">
        <v>57</v>
      </c>
      <c r="N297" s="3"/>
      <c r="O297" s="3"/>
      <c r="P297" s="3"/>
      <c r="Q297" s="3"/>
      <c r="R297" s="3"/>
      <c r="S297" s="3"/>
      <c r="T297" s="3"/>
      <c r="U297" s="3"/>
      <c r="V297" s="3"/>
      <c r="W297" s="3"/>
      <c r="X297" s="3"/>
      <c r="Y297" s="3"/>
      <c r="Z297" s="3"/>
    </row>
    <row r="298" spans="1:26" hidden="1" x14ac:dyDescent="0.3">
      <c r="A298" s="2" t="s">
        <v>467</v>
      </c>
      <c r="B298" s="2" t="s">
        <v>75</v>
      </c>
      <c r="C298" s="2" t="s">
        <v>75</v>
      </c>
      <c r="D298" s="2" t="s">
        <v>114</v>
      </c>
      <c r="E298" s="2" t="s">
        <v>114</v>
      </c>
      <c r="F298" s="2" t="s">
        <v>53</v>
      </c>
      <c r="G298" s="2" t="s">
        <v>53</v>
      </c>
      <c r="H298" s="2" t="s">
        <v>54</v>
      </c>
      <c r="I298" s="2" t="s">
        <v>54</v>
      </c>
      <c r="J298" s="2"/>
      <c r="K298" s="2" t="s">
        <v>167</v>
      </c>
      <c r="L298" s="2" t="s">
        <v>404</v>
      </c>
      <c r="M298" s="2" t="s">
        <v>57</v>
      </c>
      <c r="N298" s="3"/>
      <c r="O298" s="3"/>
      <c r="P298" s="3"/>
      <c r="Q298" s="3"/>
      <c r="R298" s="3"/>
      <c r="S298" s="3"/>
      <c r="T298" s="3"/>
      <c r="U298" s="3"/>
      <c r="V298" s="3"/>
      <c r="W298" s="3"/>
      <c r="X298" s="3"/>
      <c r="Y298" s="3"/>
      <c r="Z298" s="3"/>
    </row>
    <row r="299" spans="1:26" hidden="1" x14ac:dyDescent="0.3">
      <c r="A299" s="2" t="s">
        <v>467</v>
      </c>
      <c r="B299" s="2" t="s">
        <v>75</v>
      </c>
      <c r="C299" s="2" t="s">
        <v>75</v>
      </c>
      <c r="D299" s="2" t="s">
        <v>168</v>
      </c>
      <c r="E299" s="2" t="s">
        <v>168</v>
      </c>
      <c r="F299" s="2" t="s">
        <v>53</v>
      </c>
      <c r="G299" s="2" t="s">
        <v>53</v>
      </c>
      <c r="H299" s="2" t="s">
        <v>54</v>
      </c>
      <c r="I299" s="2" t="s">
        <v>54</v>
      </c>
      <c r="J299" s="2" t="s">
        <v>813</v>
      </c>
      <c r="K299" s="2" t="s">
        <v>170</v>
      </c>
      <c r="L299" s="2" t="s">
        <v>404</v>
      </c>
      <c r="M299" s="2" t="s">
        <v>57</v>
      </c>
      <c r="N299" s="3"/>
      <c r="O299" s="3"/>
      <c r="P299" s="3"/>
      <c r="Q299" s="3"/>
      <c r="R299" s="3"/>
      <c r="S299" s="3"/>
      <c r="T299" s="3"/>
      <c r="U299" s="3"/>
      <c r="V299" s="3"/>
      <c r="W299" s="3"/>
      <c r="X299" s="3"/>
      <c r="Y299" s="3"/>
      <c r="Z299" s="3"/>
    </row>
    <row r="300" spans="1:26" hidden="1" x14ac:dyDescent="0.3">
      <c r="A300" s="2" t="s">
        <v>467</v>
      </c>
      <c r="B300" s="2" t="s">
        <v>75</v>
      </c>
      <c r="C300" s="2" t="s">
        <v>75</v>
      </c>
      <c r="D300" s="2" t="s">
        <v>104</v>
      </c>
      <c r="E300" s="2" t="s">
        <v>104</v>
      </c>
      <c r="F300" s="2" t="s">
        <v>53</v>
      </c>
      <c r="G300" s="2" t="s">
        <v>53</v>
      </c>
      <c r="H300" s="2" t="s">
        <v>54</v>
      </c>
      <c r="I300" s="2" t="s">
        <v>54</v>
      </c>
      <c r="J300" s="2"/>
      <c r="K300" s="2" t="s">
        <v>106</v>
      </c>
      <c r="L300" s="2" t="s">
        <v>404</v>
      </c>
      <c r="M300" s="2" t="s">
        <v>57</v>
      </c>
      <c r="N300" s="3"/>
      <c r="O300" s="3"/>
      <c r="P300" s="3"/>
      <c r="Q300" s="3"/>
      <c r="R300" s="3"/>
      <c r="S300" s="3"/>
      <c r="T300" s="3"/>
      <c r="U300" s="3"/>
      <c r="V300" s="3"/>
      <c r="W300" s="3"/>
      <c r="X300" s="3"/>
      <c r="Y300" s="3"/>
      <c r="Z300" s="3"/>
    </row>
    <row r="301" spans="1:26" hidden="1" x14ac:dyDescent="0.3">
      <c r="A301" s="2" t="s">
        <v>467</v>
      </c>
      <c r="B301" s="2" t="s">
        <v>75</v>
      </c>
      <c r="C301" s="2" t="s">
        <v>75</v>
      </c>
      <c r="D301" s="2" t="s">
        <v>107</v>
      </c>
      <c r="E301" s="2" t="s">
        <v>107</v>
      </c>
      <c r="F301" s="2" t="s">
        <v>53</v>
      </c>
      <c r="G301" s="2" t="s">
        <v>53</v>
      </c>
      <c r="H301" s="2" t="s">
        <v>54</v>
      </c>
      <c r="I301" s="2" t="s">
        <v>54</v>
      </c>
      <c r="J301" s="2" t="s">
        <v>814</v>
      </c>
      <c r="K301" s="2" t="s">
        <v>109</v>
      </c>
      <c r="L301" s="2" t="s">
        <v>404</v>
      </c>
      <c r="M301" s="2" t="s">
        <v>57</v>
      </c>
      <c r="N301" s="3"/>
      <c r="O301" s="3"/>
      <c r="P301" s="3"/>
      <c r="Q301" s="3"/>
      <c r="R301" s="3"/>
      <c r="S301" s="3"/>
      <c r="T301" s="3"/>
      <c r="U301" s="3"/>
      <c r="V301" s="3"/>
      <c r="W301" s="3"/>
      <c r="X301" s="3"/>
      <c r="Y301" s="3"/>
      <c r="Z301" s="3"/>
    </row>
    <row r="302" spans="1:26" hidden="1" x14ac:dyDescent="0.3">
      <c r="A302" s="2" t="s">
        <v>467</v>
      </c>
      <c r="B302" s="2" t="s">
        <v>75</v>
      </c>
      <c r="C302" s="2" t="s">
        <v>75</v>
      </c>
      <c r="D302" s="2" t="s">
        <v>400</v>
      </c>
      <c r="E302" s="2" t="s">
        <v>400</v>
      </c>
      <c r="F302" s="2" t="s">
        <v>53</v>
      </c>
      <c r="G302" s="2" t="s">
        <v>53</v>
      </c>
      <c r="H302" s="2" t="s">
        <v>54</v>
      </c>
      <c r="I302" s="2" t="s">
        <v>54</v>
      </c>
      <c r="J302" s="2"/>
      <c r="K302" s="2"/>
      <c r="L302" s="2" t="s">
        <v>404</v>
      </c>
      <c r="M302" s="2" t="s">
        <v>57</v>
      </c>
      <c r="N302" s="3"/>
      <c r="O302" s="3"/>
      <c r="P302" s="3"/>
      <c r="Q302" s="3"/>
      <c r="R302" s="3"/>
      <c r="S302" s="3"/>
      <c r="T302" s="3"/>
      <c r="U302" s="3"/>
      <c r="V302" s="3"/>
      <c r="W302" s="3"/>
      <c r="X302" s="3"/>
      <c r="Y302" s="3"/>
      <c r="Z302" s="3"/>
    </row>
    <row r="303" spans="1:26" hidden="1" x14ac:dyDescent="0.3">
      <c r="A303" s="2" t="s">
        <v>467</v>
      </c>
      <c r="B303" s="2" t="s">
        <v>75</v>
      </c>
      <c r="C303" s="2" t="s">
        <v>75</v>
      </c>
      <c r="D303" s="2" t="s">
        <v>114</v>
      </c>
      <c r="E303" s="2" t="s">
        <v>114</v>
      </c>
      <c r="F303" s="2" t="s">
        <v>53</v>
      </c>
      <c r="G303" s="2" t="s">
        <v>53</v>
      </c>
      <c r="H303" s="2" t="s">
        <v>54</v>
      </c>
      <c r="I303" s="2" t="s">
        <v>54</v>
      </c>
      <c r="J303" s="2"/>
      <c r="K303" s="2"/>
      <c r="L303" s="2" t="s">
        <v>404</v>
      </c>
      <c r="M303" s="2" t="s">
        <v>57</v>
      </c>
      <c r="N303" s="3"/>
      <c r="O303" s="3"/>
      <c r="P303" s="3"/>
      <c r="Q303" s="3"/>
      <c r="R303" s="3"/>
      <c r="S303" s="3"/>
      <c r="T303" s="3"/>
      <c r="U303" s="3"/>
      <c r="V303" s="3"/>
      <c r="W303" s="3"/>
      <c r="X303" s="3"/>
      <c r="Y303" s="3"/>
      <c r="Z303" s="3"/>
    </row>
    <row r="304" spans="1:26" hidden="1" x14ac:dyDescent="0.3">
      <c r="A304" s="2" t="s">
        <v>467</v>
      </c>
      <c r="B304" s="2" t="s">
        <v>110</v>
      </c>
      <c r="C304" s="2" t="s">
        <v>110</v>
      </c>
      <c r="D304" s="2" t="s">
        <v>111</v>
      </c>
      <c r="E304" s="2" t="s">
        <v>111</v>
      </c>
      <c r="F304" s="2" t="s">
        <v>53</v>
      </c>
      <c r="G304" s="2" t="s">
        <v>53</v>
      </c>
      <c r="H304" s="2" t="s">
        <v>54</v>
      </c>
      <c r="I304" s="2" t="s">
        <v>54</v>
      </c>
      <c r="J304" s="2" t="s">
        <v>815</v>
      </c>
      <c r="K304" s="2" t="s">
        <v>113</v>
      </c>
      <c r="L304" s="2" t="s">
        <v>404</v>
      </c>
      <c r="M304" s="2" t="s">
        <v>72</v>
      </c>
      <c r="N304" s="3"/>
      <c r="O304" s="3"/>
      <c r="P304" s="3"/>
      <c r="Q304" s="3"/>
      <c r="R304" s="3"/>
      <c r="S304" s="3"/>
      <c r="T304" s="3"/>
      <c r="U304" s="3"/>
      <c r="V304" s="3"/>
      <c r="W304" s="3"/>
      <c r="X304" s="3"/>
      <c r="Y304" s="3"/>
      <c r="Z304" s="3"/>
    </row>
    <row r="305" spans="1:26" hidden="1" x14ac:dyDescent="0.3">
      <c r="A305" s="2" t="s">
        <v>467</v>
      </c>
      <c r="B305" s="2" t="s">
        <v>110</v>
      </c>
      <c r="C305" s="2" t="s">
        <v>110</v>
      </c>
      <c r="D305" s="2" t="s">
        <v>114</v>
      </c>
      <c r="E305" s="2" t="s">
        <v>114</v>
      </c>
      <c r="F305" s="2" t="s">
        <v>53</v>
      </c>
      <c r="G305" s="2" t="s">
        <v>53</v>
      </c>
      <c r="H305" s="2" t="s">
        <v>54</v>
      </c>
      <c r="I305" s="2" t="s">
        <v>54</v>
      </c>
      <c r="J305" s="2"/>
      <c r="K305" s="2" t="s">
        <v>116</v>
      </c>
      <c r="L305" s="2" t="s">
        <v>404</v>
      </c>
      <c r="M305" s="2" t="s">
        <v>72</v>
      </c>
      <c r="N305" s="3"/>
      <c r="O305" s="3"/>
      <c r="P305" s="3"/>
      <c r="Q305" s="3"/>
      <c r="R305" s="3"/>
      <c r="S305" s="3"/>
      <c r="T305" s="3"/>
      <c r="U305" s="3"/>
      <c r="V305" s="3"/>
      <c r="W305" s="3"/>
      <c r="X305" s="3"/>
      <c r="Y305" s="3"/>
      <c r="Z305" s="3"/>
    </row>
    <row r="306" spans="1:26" hidden="1" x14ac:dyDescent="0.3">
      <c r="A306" s="2" t="s">
        <v>467</v>
      </c>
      <c r="B306" s="2" t="s">
        <v>110</v>
      </c>
      <c r="C306" s="2" t="s">
        <v>110</v>
      </c>
      <c r="D306" s="2" t="s">
        <v>62</v>
      </c>
      <c r="E306" s="2" t="s">
        <v>62</v>
      </c>
      <c r="F306" s="2" t="s">
        <v>53</v>
      </c>
      <c r="G306" s="2" t="s">
        <v>53</v>
      </c>
      <c r="H306" s="2" t="s">
        <v>54</v>
      </c>
      <c r="I306" s="2" t="s">
        <v>54</v>
      </c>
      <c r="J306" s="2"/>
      <c r="K306" s="2" t="s">
        <v>121</v>
      </c>
      <c r="L306" s="2" t="s">
        <v>404</v>
      </c>
      <c r="M306" s="2" t="s">
        <v>72</v>
      </c>
      <c r="N306" s="3"/>
      <c r="O306" s="3"/>
      <c r="P306" s="3"/>
      <c r="Q306" s="3"/>
      <c r="R306" s="3"/>
      <c r="S306" s="3"/>
      <c r="T306" s="3"/>
      <c r="U306" s="3"/>
      <c r="V306" s="3"/>
      <c r="W306" s="3"/>
      <c r="X306" s="3"/>
      <c r="Y306" s="3"/>
      <c r="Z306" s="3"/>
    </row>
    <row r="307" spans="1:26" hidden="1" x14ac:dyDescent="0.3">
      <c r="A307" s="2" t="s">
        <v>467</v>
      </c>
      <c r="B307" s="2" t="s">
        <v>110</v>
      </c>
      <c r="C307" s="2" t="s">
        <v>110</v>
      </c>
      <c r="D307" s="2" t="s">
        <v>64</v>
      </c>
      <c r="E307" s="2" t="s">
        <v>64</v>
      </c>
      <c r="F307" s="2" t="s">
        <v>53</v>
      </c>
      <c r="G307" s="2" t="s">
        <v>53</v>
      </c>
      <c r="H307" s="2" t="s">
        <v>54</v>
      </c>
      <c r="I307" s="2" t="s">
        <v>54</v>
      </c>
      <c r="J307" s="2"/>
      <c r="K307" s="2" t="s">
        <v>121</v>
      </c>
      <c r="L307" s="2" t="s">
        <v>404</v>
      </c>
      <c r="M307" s="2" t="s">
        <v>72</v>
      </c>
      <c r="N307" s="3"/>
      <c r="O307" s="3"/>
      <c r="P307" s="3"/>
      <c r="Q307" s="3"/>
      <c r="R307" s="3"/>
      <c r="S307" s="3"/>
      <c r="T307" s="3"/>
      <c r="U307" s="3"/>
      <c r="V307" s="3"/>
      <c r="W307" s="3"/>
      <c r="X307" s="3"/>
      <c r="Y307" s="3"/>
      <c r="Z307" s="3"/>
    </row>
    <row r="308" spans="1:26" hidden="1" x14ac:dyDescent="0.3">
      <c r="A308" s="2" t="s">
        <v>467</v>
      </c>
      <c r="B308" s="2" t="s">
        <v>110</v>
      </c>
      <c r="C308" s="2" t="s">
        <v>110</v>
      </c>
      <c r="D308" s="2" t="s">
        <v>82</v>
      </c>
      <c r="E308" s="2" t="s">
        <v>82</v>
      </c>
      <c r="F308" s="2" t="s">
        <v>53</v>
      </c>
      <c r="G308" s="2" t="s">
        <v>53</v>
      </c>
      <c r="H308" s="2" t="s">
        <v>54</v>
      </c>
      <c r="I308" s="2" t="s">
        <v>54</v>
      </c>
      <c r="J308" s="2" t="s">
        <v>816</v>
      </c>
      <c r="K308" s="2" t="s">
        <v>121</v>
      </c>
      <c r="L308" s="2" t="s">
        <v>404</v>
      </c>
      <c r="M308" s="2" t="s">
        <v>72</v>
      </c>
      <c r="N308" s="3"/>
      <c r="O308" s="3"/>
      <c r="P308" s="3"/>
      <c r="Q308" s="3"/>
      <c r="R308" s="3"/>
      <c r="S308" s="3"/>
      <c r="T308" s="3"/>
      <c r="U308" s="3"/>
      <c r="V308" s="3"/>
      <c r="W308" s="3"/>
      <c r="X308" s="3"/>
      <c r="Y308" s="3"/>
      <c r="Z308" s="3"/>
    </row>
    <row r="309" spans="1:26" hidden="1" x14ac:dyDescent="0.3">
      <c r="A309" s="2" t="s">
        <v>467</v>
      </c>
      <c r="B309" s="2" t="s">
        <v>110</v>
      </c>
      <c r="C309" s="2" t="s">
        <v>110</v>
      </c>
      <c r="D309" s="2" t="s">
        <v>122</v>
      </c>
      <c r="E309" s="2" t="s">
        <v>122</v>
      </c>
      <c r="F309" s="2" t="s">
        <v>53</v>
      </c>
      <c r="G309" s="2" t="s">
        <v>53</v>
      </c>
      <c r="H309" s="2" t="s">
        <v>54</v>
      </c>
      <c r="I309" s="2" t="s">
        <v>54</v>
      </c>
      <c r="J309" s="2" t="s">
        <v>817</v>
      </c>
      <c r="K309" s="2" t="s">
        <v>121</v>
      </c>
      <c r="L309" s="2" t="s">
        <v>404</v>
      </c>
      <c r="M309" s="2" t="s">
        <v>72</v>
      </c>
      <c r="N309" s="3"/>
      <c r="O309" s="3"/>
      <c r="P309" s="3"/>
      <c r="Q309" s="3"/>
      <c r="R309" s="3"/>
      <c r="S309" s="3"/>
      <c r="T309" s="3"/>
      <c r="U309" s="3"/>
      <c r="V309" s="3"/>
      <c r="W309" s="3"/>
      <c r="X309" s="3"/>
      <c r="Y309" s="3"/>
      <c r="Z309" s="3"/>
    </row>
    <row r="310" spans="1:26" hidden="1" x14ac:dyDescent="0.3">
      <c r="A310" s="2" t="s">
        <v>467</v>
      </c>
      <c r="B310" s="2" t="s">
        <v>110</v>
      </c>
      <c r="C310" s="2" t="s">
        <v>110</v>
      </c>
      <c r="D310" s="2" t="s">
        <v>111</v>
      </c>
      <c r="E310" s="2" t="s">
        <v>111</v>
      </c>
      <c r="F310" s="2" t="s">
        <v>53</v>
      </c>
      <c r="G310" s="2" t="s">
        <v>53</v>
      </c>
      <c r="H310" s="2" t="s">
        <v>54</v>
      </c>
      <c r="I310" s="2" t="s">
        <v>54</v>
      </c>
      <c r="J310" s="2" t="s">
        <v>818</v>
      </c>
      <c r="K310" s="2" t="s">
        <v>127</v>
      </c>
      <c r="L310" s="2" t="s">
        <v>404</v>
      </c>
      <c r="M310" s="2" t="s">
        <v>72</v>
      </c>
      <c r="N310" s="3"/>
      <c r="O310" s="3"/>
      <c r="P310" s="3"/>
      <c r="Q310" s="3"/>
      <c r="R310" s="3"/>
      <c r="S310" s="3"/>
      <c r="T310" s="3"/>
      <c r="U310" s="3"/>
      <c r="V310" s="3"/>
      <c r="W310" s="3"/>
      <c r="X310" s="3"/>
      <c r="Y310" s="3"/>
      <c r="Z310" s="3"/>
    </row>
    <row r="311" spans="1:26" hidden="1" x14ac:dyDescent="0.3">
      <c r="A311" s="2" t="s">
        <v>467</v>
      </c>
      <c r="B311" s="2" t="s">
        <v>110</v>
      </c>
      <c r="C311" s="2" t="s">
        <v>110</v>
      </c>
      <c r="D311" s="2" t="s">
        <v>98</v>
      </c>
      <c r="E311" s="2" t="s">
        <v>98</v>
      </c>
      <c r="F311" s="2" t="s">
        <v>53</v>
      </c>
      <c r="G311" s="2" t="s">
        <v>53</v>
      </c>
      <c r="H311" s="2" t="s">
        <v>54</v>
      </c>
      <c r="I311" s="2" t="s">
        <v>54</v>
      </c>
      <c r="J311" s="2"/>
      <c r="K311" s="2" t="s">
        <v>129</v>
      </c>
      <c r="L311" s="2" t="s">
        <v>404</v>
      </c>
      <c r="M311" s="2" t="s">
        <v>72</v>
      </c>
      <c r="N311" s="3"/>
      <c r="O311" s="3"/>
      <c r="P311" s="3"/>
      <c r="Q311" s="3"/>
      <c r="R311" s="3"/>
      <c r="S311" s="3"/>
      <c r="T311" s="3"/>
      <c r="U311" s="3"/>
      <c r="V311" s="3"/>
      <c r="W311" s="3"/>
      <c r="X311" s="3"/>
      <c r="Y311" s="3"/>
      <c r="Z311" s="3"/>
    </row>
    <row r="312" spans="1:26" hidden="1" x14ac:dyDescent="0.3">
      <c r="A312" s="2" t="s">
        <v>467</v>
      </c>
      <c r="B312" s="2" t="s">
        <v>110</v>
      </c>
      <c r="C312" s="2" t="s">
        <v>110</v>
      </c>
      <c r="D312" s="2" t="s">
        <v>98</v>
      </c>
      <c r="E312" s="2" t="s">
        <v>98</v>
      </c>
      <c r="F312" s="2" t="s">
        <v>53</v>
      </c>
      <c r="G312" s="2" t="s">
        <v>53</v>
      </c>
      <c r="H312" s="2" t="s">
        <v>99</v>
      </c>
      <c r="I312" s="2" t="s">
        <v>99</v>
      </c>
      <c r="J312" s="2" t="s">
        <v>819</v>
      </c>
      <c r="K312" s="2" t="s">
        <v>131</v>
      </c>
      <c r="L312" s="2" t="s">
        <v>404</v>
      </c>
      <c r="M312" s="2" t="s">
        <v>72</v>
      </c>
      <c r="N312" s="3"/>
      <c r="O312" s="3"/>
      <c r="P312" s="3"/>
      <c r="Q312" s="3"/>
      <c r="R312" s="3"/>
      <c r="S312" s="3"/>
      <c r="T312" s="3"/>
      <c r="U312" s="3"/>
      <c r="V312" s="3"/>
      <c r="W312" s="3"/>
      <c r="X312" s="3"/>
      <c r="Y312" s="3"/>
      <c r="Z312" s="3"/>
    </row>
    <row r="313" spans="1:26" hidden="1" x14ac:dyDescent="0.3">
      <c r="A313" s="2" t="s">
        <v>467</v>
      </c>
      <c r="B313" s="2" t="s">
        <v>110</v>
      </c>
      <c r="C313" s="2" t="s">
        <v>110</v>
      </c>
      <c r="D313" s="2" t="s">
        <v>132</v>
      </c>
      <c r="E313" s="2" t="s">
        <v>132</v>
      </c>
      <c r="F313" s="2" t="s">
        <v>53</v>
      </c>
      <c r="G313" s="2" t="s">
        <v>53</v>
      </c>
      <c r="H313" s="2" t="s">
        <v>54</v>
      </c>
      <c r="I313" s="2" t="s">
        <v>54</v>
      </c>
      <c r="J313" s="2" t="s">
        <v>820</v>
      </c>
      <c r="K313" s="2" t="s">
        <v>134</v>
      </c>
      <c r="L313" s="2" t="s">
        <v>404</v>
      </c>
      <c r="M313" s="2" t="s">
        <v>72</v>
      </c>
      <c r="N313" s="3"/>
      <c r="O313" s="3"/>
      <c r="P313" s="3"/>
      <c r="Q313" s="3"/>
      <c r="R313" s="3"/>
      <c r="S313" s="3"/>
      <c r="T313" s="3"/>
      <c r="U313" s="3"/>
      <c r="V313" s="3"/>
      <c r="W313" s="3"/>
      <c r="X313" s="3"/>
      <c r="Y313" s="3"/>
      <c r="Z313" s="3"/>
    </row>
    <row r="314" spans="1:26" hidden="1" x14ac:dyDescent="0.3">
      <c r="A314" s="2" t="s">
        <v>467</v>
      </c>
      <c r="B314" s="2" t="s">
        <v>110</v>
      </c>
      <c r="C314" s="2" t="s">
        <v>110</v>
      </c>
      <c r="D314" s="2" t="s">
        <v>82</v>
      </c>
      <c r="E314" s="2" t="s">
        <v>82</v>
      </c>
      <c r="F314" s="2" t="s">
        <v>53</v>
      </c>
      <c r="G314" s="2" t="s">
        <v>53</v>
      </c>
      <c r="H314" s="2" t="s">
        <v>54</v>
      </c>
      <c r="I314" s="2" t="s">
        <v>54</v>
      </c>
      <c r="J314" s="2" t="s">
        <v>821</v>
      </c>
      <c r="K314" s="2" t="s">
        <v>137</v>
      </c>
      <c r="L314" s="2" t="s">
        <v>404</v>
      </c>
      <c r="M314" s="2" t="s">
        <v>72</v>
      </c>
      <c r="N314" s="3"/>
      <c r="O314" s="3"/>
      <c r="P314" s="3"/>
      <c r="Q314" s="3"/>
      <c r="R314" s="3"/>
      <c r="S314" s="3"/>
      <c r="T314" s="3"/>
      <c r="U314" s="3"/>
      <c r="V314" s="3"/>
      <c r="W314" s="3"/>
      <c r="X314" s="3"/>
      <c r="Y314" s="3"/>
      <c r="Z314" s="3"/>
    </row>
    <row r="315" spans="1:26" hidden="1" x14ac:dyDescent="0.3">
      <c r="A315" s="2" t="s">
        <v>467</v>
      </c>
      <c r="B315" s="2" t="s">
        <v>110</v>
      </c>
      <c r="C315" s="2" t="s">
        <v>110</v>
      </c>
      <c r="D315" s="2" t="s">
        <v>135</v>
      </c>
      <c r="E315" s="2" t="s">
        <v>135</v>
      </c>
      <c r="F315" s="2" t="s">
        <v>53</v>
      </c>
      <c r="G315" s="2" t="s">
        <v>53</v>
      </c>
      <c r="H315" s="2" t="s">
        <v>54</v>
      </c>
      <c r="I315" s="2" t="s">
        <v>54</v>
      </c>
      <c r="J315" s="2" t="s">
        <v>822</v>
      </c>
      <c r="K315" s="2" t="s">
        <v>137</v>
      </c>
      <c r="L315" s="2" t="s">
        <v>404</v>
      </c>
      <c r="M315" s="2" t="s">
        <v>72</v>
      </c>
      <c r="N315" s="3"/>
      <c r="O315" s="3"/>
      <c r="P315" s="3"/>
      <c r="Q315" s="3"/>
      <c r="R315" s="3"/>
      <c r="S315" s="3"/>
      <c r="T315" s="3"/>
      <c r="U315" s="3"/>
      <c r="V315" s="3"/>
      <c r="W315" s="3"/>
      <c r="X315" s="3"/>
      <c r="Y315" s="3"/>
      <c r="Z315" s="3"/>
    </row>
    <row r="316" spans="1:26" hidden="1" x14ac:dyDescent="0.3">
      <c r="A316" s="2" t="s">
        <v>467</v>
      </c>
      <c r="B316" s="2" t="s">
        <v>110</v>
      </c>
      <c r="C316" s="2" t="s">
        <v>110</v>
      </c>
      <c r="D316" s="2" t="s">
        <v>114</v>
      </c>
      <c r="E316" s="2" t="s">
        <v>114</v>
      </c>
      <c r="F316" s="2" t="s">
        <v>53</v>
      </c>
      <c r="G316" s="2" t="s">
        <v>53</v>
      </c>
      <c r="H316" s="2" t="s">
        <v>54</v>
      </c>
      <c r="I316" s="2" t="s">
        <v>54</v>
      </c>
      <c r="J316" s="2" t="s">
        <v>823</v>
      </c>
      <c r="K316" s="2" t="s">
        <v>824</v>
      </c>
      <c r="L316" s="2" t="s">
        <v>404</v>
      </c>
      <c r="M316" s="2" t="s">
        <v>72</v>
      </c>
      <c r="N316" s="3"/>
      <c r="O316" s="3"/>
      <c r="P316" s="3"/>
      <c r="Q316" s="3"/>
      <c r="R316" s="3"/>
      <c r="S316" s="3"/>
      <c r="T316" s="3"/>
      <c r="U316" s="3"/>
      <c r="V316" s="3"/>
      <c r="W316" s="3"/>
      <c r="X316" s="3"/>
      <c r="Y316" s="3"/>
      <c r="Z316" s="3"/>
    </row>
    <row r="317" spans="1:26" hidden="1" x14ac:dyDescent="0.3">
      <c r="A317" s="2" t="s">
        <v>467</v>
      </c>
      <c r="B317" s="2" t="s">
        <v>110</v>
      </c>
      <c r="C317" s="2" t="s">
        <v>110</v>
      </c>
      <c r="D317" s="2" t="s">
        <v>139</v>
      </c>
      <c r="E317" s="2" t="s">
        <v>139</v>
      </c>
      <c r="F317" s="2" t="s">
        <v>53</v>
      </c>
      <c r="G317" s="2" t="s">
        <v>53</v>
      </c>
      <c r="H317" s="2" t="s">
        <v>54</v>
      </c>
      <c r="I317" s="2" t="s">
        <v>54</v>
      </c>
      <c r="J317" s="2"/>
      <c r="K317" s="2" t="s">
        <v>825</v>
      </c>
      <c r="L317" s="2" t="s">
        <v>404</v>
      </c>
      <c r="M317" s="2" t="s">
        <v>72</v>
      </c>
      <c r="N317" s="3"/>
      <c r="O317" s="3"/>
      <c r="P317" s="3"/>
      <c r="Q317" s="3"/>
      <c r="R317" s="3"/>
      <c r="S317" s="3"/>
      <c r="T317" s="3"/>
      <c r="U317" s="3"/>
      <c r="V317" s="3"/>
      <c r="W317" s="3"/>
      <c r="X317" s="3"/>
      <c r="Y317" s="3"/>
      <c r="Z317" s="3"/>
    </row>
    <row r="318" spans="1:26" hidden="1" x14ac:dyDescent="0.3">
      <c r="A318" s="2" t="s">
        <v>467</v>
      </c>
      <c r="B318" s="2" t="s">
        <v>110</v>
      </c>
      <c r="C318" s="2" t="s">
        <v>110</v>
      </c>
      <c r="D318" s="2" t="s">
        <v>82</v>
      </c>
      <c r="E318" s="2" t="s">
        <v>82</v>
      </c>
      <c r="F318" s="2" t="s">
        <v>53</v>
      </c>
      <c r="G318" s="2" t="s">
        <v>53</v>
      </c>
      <c r="H318" s="2" t="s">
        <v>54</v>
      </c>
      <c r="I318" s="2" t="s">
        <v>54</v>
      </c>
      <c r="J318" s="2" t="s">
        <v>826</v>
      </c>
      <c r="K318" s="2" t="s">
        <v>143</v>
      </c>
      <c r="L318" s="2" t="s">
        <v>404</v>
      </c>
      <c r="M318" s="2" t="s">
        <v>72</v>
      </c>
      <c r="N318" s="3"/>
      <c r="O318" s="3"/>
      <c r="P318" s="3"/>
      <c r="Q318" s="3"/>
      <c r="R318" s="3"/>
      <c r="S318" s="3"/>
      <c r="T318" s="3"/>
      <c r="U318" s="3"/>
      <c r="V318" s="3"/>
      <c r="W318" s="3"/>
      <c r="X318" s="3"/>
      <c r="Y318" s="3"/>
      <c r="Z318" s="3"/>
    </row>
    <row r="319" spans="1:26" hidden="1" x14ac:dyDescent="0.3">
      <c r="A319" s="2" t="s">
        <v>467</v>
      </c>
      <c r="B319" s="2" t="s">
        <v>110</v>
      </c>
      <c r="C319" s="2" t="s">
        <v>110</v>
      </c>
      <c r="D319" s="2" t="s">
        <v>85</v>
      </c>
      <c r="E319" s="2" t="s">
        <v>85</v>
      </c>
      <c r="F319" s="2" t="s">
        <v>53</v>
      </c>
      <c r="G319" s="2" t="s">
        <v>53</v>
      </c>
      <c r="H319" s="2" t="s">
        <v>54</v>
      </c>
      <c r="I319" s="2" t="s">
        <v>54</v>
      </c>
      <c r="J319" s="2" t="s">
        <v>827</v>
      </c>
      <c r="K319" s="2" t="s">
        <v>89</v>
      </c>
      <c r="L319" s="2" t="s">
        <v>404</v>
      </c>
      <c r="M319" s="2" t="s">
        <v>72</v>
      </c>
      <c r="N319" s="3"/>
      <c r="O319" s="3"/>
      <c r="P319" s="3"/>
      <c r="Q319" s="3"/>
      <c r="R319" s="3"/>
      <c r="S319" s="3"/>
      <c r="T319" s="3"/>
      <c r="U319" s="3"/>
      <c r="V319" s="3"/>
      <c r="W319" s="3"/>
      <c r="X319" s="3"/>
      <c r="Y319" s="3"/>
      <c r="Z319" s="3"/>
    </row>
    <row r="320" spans="1:26" hidden="1" x14ac:dyDescent="0.3">
      <c r="A320" s="2" t="s">
        <v>467</v>
      </c>
      <c r="B320" s="2" t="s">
        <v>110</v>
      </c>
      <c r="C320" s="2" t="s">
        <v>110</v>
      </c>
      <c r="D320" s="2" t="s">
        <v>114</v>
      </c>
      <c r="E320" s="2" t="s">
        <v>114</v>
      </c>
      <c r="F320" s="2" t="s">
        <v>53</v>
      </c>
      <c r="G320" s="2" t="s">
        <v>53</v>
      </c>
      <c r="H320" s="2" t="s">
        <v>54</v>
      </c>
      <c r="I320" s="2" t="s">
        <v>54</v>
      </c>
      <c r="J320" s="2" t="s">
        <v>828</v>
      </c>
      <c r="K320" s="2" t="s">
        <v>829</v>
      </c>
      <c r="L320" s="2" t="s">
        <v>404</v>
      </c>
      <c r="M320" s="2" t="s">
        <v>72</v>
      </c>
      <c r="N320" s="3"/>
      <c r="O320" s="3"/>
      <c r="P320" s="3"/>
      <c r="Q320" s="3"/>
      <c r="R320" s="3"/>
      <c r="S320" s="3"/>
      <c r="T320" s="3"/>
      <c r="U320" s="3"/>
      <c r="V320" s="3"/>
      <c r="W320" s="3"/>
      <c r="X320" s="3"/>
      <c r="Y320" s="3"/>
      <c r="Z320" s="3"/>
    </row>
    <row r="321" spans="1:26" hidden="1" x14ac:dyDescent="0.3">
      <c r="A321" s="2" t="s">
        <v>467</v>
      </c>
      <c r="B321" s="2" t="s">
        <v>110</v>
      </c>
      <c r="C321" s="2" t="s">
        <v>110</v>
      </c>
      <c r="D321" s="2" t="s">
        <v>111</v>
      </c>
      <c r="E321" s="2" t="s">
        <v>111</v>
      </c>
      <c r="F321" s="2" t="s">
        <v>53</v>
      </c>
      <c r="G321" s="2" t="s">
        <v>53</v>
      </c>
      <c r="H321" s="2" t="s">
        <v>54</v>
      </c>
      <c r="I321" s="2" t="s">
        <v>54</v>
      </c>
      <c r="J321" s="2"/>
      <c r="K321" s="2" t="s">
        <v>146</v>
      </c>
      <c r="L321" s="2" t="s">
        <v>404</v>
      </c>
      <c r="M321" s="2" t="s">
        <v>72</v>
      </c>
      <c r="N321" s="3"/>
      <c r="O321" s="3"/>
      <c r="P321" s="3"/>
      <c r="Q321" s="3"/>
      <c r="R321" s="3"/>
      <c r="S321" s="3"/>
      <c r="T321" s="3"/>
      <c r="U321" s="3"/>
      <c r="V321" s="3"/>
      <c r="W321" s="3"/>
      <c r="X321" s="3"/>
      <c r="Y321" s="3"/>
      <c r="Z321" s="3"/>
    </row>
    <row r="322" spans="1:26" hidden="1" x14ac:dyDescent="0.3">
      <c r="A322" s="2" t="s">
        <v>467</v>
      </c>
      <c r="B322" s="2" t="s">
        <v>110</v>
      </c>
      <c r="C322" s="2" t="s">
        <v>110</v>
      </c>
      <c r="D322" s="2" t="s">
        <v>135</v>
      </c>
      <c r="E322" s="2" t="s">
        <v>135</v>
      </c>
      <c r="F322" s="2" t="s">
        <v>53</v>
      </c>
      <c r="G322" s="2" t="s">
        <v>53</v>
      </c>
      <c r="H322" s="2" t="s">
        <v>54</v>
      </c>
      <c r="I322" s="2" t="s">
        <v>54</v>
      </c>
      <c r="J322" s="2" t="s">
        <v>830</v>
      </c>
      <c r="K322" s="2" t="s">
        <v>148</v>
      </c>
      <c r="L322" s="2" t="s">
        <v>404</v>
      </c>
      <c r="M322" s="2" t="s">
        <v>72</v>
      </c>
      <c r="N322" s="3"/>
      <c r="O322" s="3"/>
      <c r="P322" s="3"/>
      <c r="Q322" s="3"/>
      <c r="R322" s="3"/>
      <c r="S322" s="3"/>
      <c r="T322" s="3"/>
      <c r="U322" s="3"/>
      <c r="V322" s="3"/>
      <c r="W322" s="3"/>
      <c r="X322" s="3"/>
      <c r="Y322" s="3"/>
      <c r="Z322" s="3"/>
    </row>
    <row r="323" spans="1:26" hidden="1" x14ac:dyDescent="0.3">
      <c r="A323" s="2" t="s">
        <v>467</v>
      </c>
      <c r="B323" s="2" t="s">
        <v>110</v>
      </c>
      <c r="C323" s="2" t="s">
        <v>110</v>
      </c>
      <c r="D323" s="2" t="s">
        <v>93</v>
      </c>
      <c r="E323" s="2" t="s">
        <v>93</v>
      </c>
      <c r="F323" s="2" t="s">
        <v>53</v>
      </c>
      <c r="G323" s="2" t="s">
        <v>53</v>
      </c>
      <c r="H323" s="2" t="s">
        <v>54</v>
      </c>
      <c r="I323" s="2" t="s">
        <v>54</v>
      </c>
      <c r="J323" s="2" t="s">
        <v>831</v>
      </c>
      <c r="K323" s="2" t="s">
        <v>771</v>
      </c>
      <c r="L323" s="2" t="s">
        <v>404</v>
      </c>
      <c r="M323" s="2" t="s">
        <v>72</v>
      </c>
      <c r="N323" s="3"/>
      <c r="O323" s="3"/>
      <c r="P323" s="3"/>
      <c r="Q323" s="3"/>
      <c r="R323" s="3"/>
      <c r="S323" s="3"/>
      <c r="T323" s="3"/>
      <c r="U323" s="3"/>
      <c r="V323" s="3"/>
      <c r="W323" s="3"/>
      <c r="X323" s="3"/>
      <c r="Y323" s="3"/>
      <c r="Z323" s="3"/>
    </row>
    <row r="324" spans="1:26" hidden="1" x14ac:dyDescent="0.3">
      <c r="A324" s="2" t="s">
        <v>467</v>
      </c>
      <c r="B324" s="2" t="s">
        <v>110</v>
      </c>
      <c r="C324" s="2" t="s">
        <v>110</v>
      </c>
      <c r="D324" s="2" t="s">
        <v>151</v>
      </c>
      <c r="E324" s="2" t="s">
        <v>151</v>
      </c>
      <c r="F324" s="2" t="s">
        <v>53</v>
      </c>
      <c r="G324" s="2" t="s">
        <v>53</v>
      </c>
      <c r="H324" s="2" t="s">
        <v>54</v>
      </c>
      <c r="I324" s="2" t="s">
        <v>54</v>
      </c>
      <c r="J324" s="2" t="s">
        <v>832</v>
      </c>
      <c r="K324" s="2" t="s">
        <v>153</v>
      </c>
      <c r="L324" s="2" t="s">
        <v>404</v>
      </c>
      <c r="M324" s="2" t="s">
        <v>72</v>
      </c>
      <c r="N324" s="3"/>
      <c r="O324" s="3"/>
      <c r="P324" s="3"/>
      <c r="Q324" s="3"/>
      <c r="R324" s="3"/>
      <c r="S324" s="3"/>
      <c r="T324" s="3"/>
      <c r="U324" s="3"/>
      <c r="V324" s="3"/>
      <c r="W324" s="3"/>
      <c r="X324" s="3"/>
      <c r="Y324" s="3"/>
      <c r="Z324" s="3"/>
    </row>
    <row r="325" spans="1:26" hidden="1" x14ac:dyDescent="0.3">
      <c r="A325" s="2" t="s">
        <v>467</v>
      </c>
      <c r="B325" s="2" t="s">
        <v>110</v>
      </c>
      <c r="C325" s="2" t="s">
        <v>110</v>
      </c>
      <c r="D325" s="2" t="s">
        <v>114</v>
      </c>
      <c r="E325" s="2" t="s">
        <v>114</v>
      </c>
      <c r="F325" s="2" t="s">
        <v>53</v>
      </c>
      <c r="G325" s="2" t="s">
        <v>53</v>
      </c>
      <c r="H325" s="2" t="s">
        <v>54</v>
      </c>
      <c r="I325" s="2" t="s">
        <v>54</v>
      </c>
      <c r="J325" s="2" t="s">
        <v>833</v>
      </c>
      <c r="K325" s="2" t="s">
        <v>834</v>
      </c>
      <c r="L325" s="2" t="s">
        <v>404</v>
      </c>
      <c r="M325" s="2" t="s">
        <v>72</v>
      </c>
      <c r="N325" s="3"/>
      <c r="O325" s="3"/>
      <c r="P325" s="3"/>
      <c r="Q325" s="3"/>
      <c r="R325" s="3"/>
      <c r="S325" s="3"/>
      <c r="T325" s="3"/>
      <c r="U325" s="3"/>
      <c r="V325" s="3"/>
      <c r="W325" s="3"/>
      <c r="X325" s="3"/>
      <c r="Y325" s="3"/>
      <c r="Z325" s="3"/>
    </row>
    <row r="326" spans="1:26" hidden="1" x14ac:dyDescent="0.3">
      <c r="A326" s="2" t="s">
        <v>467</v>
      </c>
      <c r="B326" s="2" t="s">
        <v>110</v>
      </c>
      <c r="C326" s="2" t="s">
        <v>110</v>
      </c>
      <c r="D326" s="2" t="s">
        <v>104</v>
      </c>
      <c r="E326" s="2" t="s">
        <v>104</v>
      </c>
      <c r="F326" s="2" t="s">
        <v>53</v>
      </c>
      <c r="G326" s="2" t="s">
        <v>53</v>
      </c>
      <c r="H326" s="2" t="s">
        <v>54</v>
      </c>
      <c r="I326" s="2" t="s">
        <v>54</v>
      </c>
      <c r="J326" s="2" t="s">
        <v>835</v>
      </c>
      <c r="K326" s="2" t="s">
        <v>157</v>
      </c>
      <c r="L326" s="2" t="s">
        <v>404</v>
      </c>
      <c r="M326" s="2" t="s">
        <v>72</v>
      </c>
      <c r="N326" s="3"/>
      <c r="O326" s="3"/>
      <c r="P326" s="3"/>
      <c r="Q326" s="3"/>
      <c r="R326" s="3"/>
      <c r="S326" s="3"/>
      <c r="T326" s="3"/>
      <c r="U326" s="3"/>
      <c r="V326" s="3"/>
      <c r="W326" s="3"/>
      <c r="X326" s="3"/>
      <c r="Y326" s="3"/>
      <c r="Z326" s="3"/>
    </row>
    <row r="327" spans="1:26" hidden="1" x14ac:dyDescent="0.3">
      <c r="A327" s="2" t="s">
        <v>467</v>
      </c>
      <c r="B327" s="2" t="s">
        <v>110</v>
      </c>
      <c r="C327" s="2" t="s">
        <v>110</v>
      </c>
      <c r="D327" s="2" t="s">
        <v>111</v>
      </c>
      <c r="E327" s="2" t="s">
        <v>111</v>
      </c>
      <c r="F327" s="2" t="s">
        <v>53</v>
      </c>
      <c r="G327" s="2" t="s">
        <v>53</v>
      </c>
      <c r="H327" s="2" t="s">
        <v>54</v>
      </c>
      <c r="I327" s="2" t="s">
        <v>54</v>
      </c>
      <c r="J327" s="2"/>
      <c r="K327" s="2" t="s">
        <v>159</v>
      </c>
      <c r="L327" s="2" t="s">
        <v>404</v>
      </c>
      <c r="M327" s="2" t="s">
        <v>72</v>
      </c>
      <c r="N327" s="3"/>
      <c r="O327" s="3"/>
      <c r="P327" s="3"/>
      <c r="Q327" s="3"/>
      <c r="R327" s="3"/>
      <c r="S327" s="3"/>
      <c r="T327" s="3"/>
      <c r="U327" s="3"/>
      <c r="V327" s="3"/>
      <c r="W327" s="3"/>
      <c r="X327" s="3"/>
      <c r="Y327" s="3"/>
      <c r="Z327" s="3"/>
    </row>
    <row r="328" spans="1:26" hidden="1" x14ac:dyDescent="0.3">
      <c r="A328" s="2" t="s">
        <v>467</v>
      </c>
      <c r="B328" s="2" t="s">
        <v>110</v>
      </c>
      <c r="C328" s="2" t="s">
        <v>110</v>
      </c>
      <c r="D328" s="2" t="s">
        <v>151</v>
      </c>
      <c r="E328" s="2" t="s">
        <v>151</v>
      </c>
      <c r="F328" s="2" t="s">
        <v>53</v>
      </c>
      <c r="G328" s="2" t="s">
        <v>53</v>
      </c>
      <c r="H328" s="2" t="s">
        <v>54</v>
      </c>
      <c r="I328" s="2" t="s">
        <v>54</v>
      </c>
      <c r="J328" s="2" t="s">
        <v>836</v>
      </c>
      <c r="K328" s="2" t="s">
        <v>161</v>
      </c>
      <c r="L328" s="2" t="s">
        <v>404</v>
      </c>
      <c r="M328" s="2" t="s">
        <v>72</v>
      </c>
      <c r="N328" s="3"/>
      <c r="O328" s="3"/>
      <c r="P328" s="3"/>
      <c r="Q328" s="3"/>
      <c r="R328" s="3"/>
      <c r="S328" s="3"/>
      <c r="T328" s="3"/>
      <c r="U328" s="3"/>
      <c r="V328" s="3"/>
      <c r="W328" s="3"/>
      <c r="X328" s="3"/>
      <c r="Y328" s="3"/>
      <c r="Z328" s="3"/>
    </row>
    <row r="329" spans="1:26" hidden="1" x14ac:dyDescent="0.3">
      <c r="A329" s="2" t="s">
        <v>467</v>
      </c>
      <c r="B329" s="2" t="s">
        <v>110</v>
      </c>
      <c r="C329" s="2" t="s">
        <v>110</v>
      </c>
      <c r="D329" s="2" t="s">
        <v>76</v>
      </c>
      <c r="E329" s="2" t="s">
        <v>76</v>
      </c>
      <c r="F329" s="2" t="s">
        <v>53</v>
      </c>
      <c r="G329" s="2" t="s">
        <v>53</v>
      </c>
      <c r="H329" s="2" t="s">
        <v>54</v>
      </c>
      <c r="I329" s="2" t="s">
        <v>54</v>
      </c>
      <c r="J329" s="2" t="s">
        <v>837</v>
      </c>
      <c r="K329" s="2" t="s">
        <v>163</v>
      </c>
      <c r="L329" s="2" t="s">
        <v>404</v>
      </c>
      <c r="M329" s="2" t="s">
        <v>72</v>
      </c>
      <c r="N329" s="3"/>
      <c r="O329" s="3"/>
      <c r="P329" s="3"/>
      <c r="Q329" s="3"/>
      <c r="R329" s="3"/>
      <c r="S329" s="3"/>
      <c r="T329" s="3"/>
      <c r="U329" s="3"/>
      <c r="V329" s="3"/>
      <c r="W329" s="3"/>
      <c r="X329" s="3"/>
      <c r="Y329" s="3"/>
      <c r="Z329" s="3"/>
    </row>
    <row r="330" spans="1:26" hidden="1" x14ac:dyDescent="0.3">
      <c r="A330" s="2" t="s">
        <v>467</v>
      </c>
      <c r="B330" s="2" t="s">
        <v>110</v>
      </c>
      <c r="C330" s="2" t="s">
        <v>110</v>
      </c>
      <c r="D330" s="2" t="s">
        <v>104</v>
      </c>
      <c r="E330" s="2" t="s">
        <v>104</v>
      </c>
      <c r="F330" s="2" t="s">
        <v>53</v>
      </c>
      <c r="G330" s="2" t="s">
        <v>53</v>
      </c>
      <c r="H330" s="2" t="s">
        <v>54</v>
      </c>
      <c r="I330" s="2" t="s">
        <v>54</v>
      </c>
      <c r="J330" s="2"/>
      <c r="K330" s="2" t="s">
        <v>812</v>
      </c>
      <c r="L330" s="2" t="s">
        <v>404</v>
      </c>
      <c r="M330" s="2" t="s">
        <v>72</v>
      </c>
      <c r="N330" s="3"/>
      <c r="O330" s="3"/>
      <c r="P330" s="3"/>
      <c r="Q330" s="3"/>
      <c r="R330" s="3"/>
      <c r="S330" s="3"/>
      <c r="T330" s="3"/>
      <c r="U330" s="3"/>
      <c r="V330" s="3"/>
      <c r="W330" s="3"/>
      <c r="X330" s="3"/>
      <c r="Y330" s="3"/>
      <c r="Z330" s="3"/>
    </row>
    <row r="331" spans="1:26" hidden="1" x14ac:dyDescent="0.3">
      <c r="A331" s="2" t="s">
        <v>467</v>
      </c>
      <c r="B331" s="2" t="s">
        <v>110</v>
      </c>
      <c r="C331" s="2" t="s">
        <v>110</v>
      </c>
      <c r="D331" s="2" t="s">
        <v>82</v>
      </c>
      <c r="E331" s="2" t="s">
        <v>82</v>
      </c>
      <c r="F331" s="2" t="s">
        <v>53</v>
      </c>
      <c r="G331" s="2" t="s">
        <v>53</v>
      </c>
      <c r="H331" s="2" t="s">
        <v>54</v>
      </c>
      <c r="I331" s="2" t="s">
        <v>54</v>
      </c>
      <c r="J331" s="2"/>
      <c r="K331" s="2" t="s">
        <v>812</v>
      </c>
      <c r="L331" s="2" t="s">
        <v>404</v>
      </c>
      <c r="M331" s="2" t="s">
        <v>72</v>
      </c>
      <c r="N331" s="3"/>
      <c r="O331" s="3"/>
      <c r="P331" s="3"/>
      <c r="Q331" s="3"/>
      <c r="R331" s="3"/>
      <c r="S331" s="3"/>
      <c r="T331" s="3"/>
      <c r="U331" s="3"/>
      <c r="V331" s="3"/>
      <c r="W331" s="3"/>
      <c r="X331" s="3"/>
      <c r="Y331" s="3"/>
      <c r="Z331" s="3"/>
    </row>
    <row r="332" spans="1:26" hidden="1" x14ac:dyDescent="0.3">
      <c r="A332" s="2" t="s">
        <v>467</v>
      </c>
      <c r="B332" s="2" t="s">
        <v>110</v>
      </c>
      <c r="C332" s="2" t="s">
        <v>110</v>
      </c>
      <c r="D332" s="2" t="s">
        <v>76</v>
      </c>
      <c r="E332" s="2" t="s">
        <v>76</v>
      </c>
      <c r="F332" s="2" t="s">
        <v>53</v>
      </c>
      <c r="G332" s="2" t="s">
        <v>53</v>
      </c>
      <c r="H332" s="2" t="s">
        <v>54</v>
      </c>
      <c r="I332" s="2" t="s">
        <v>54</v>
      </c>
      <c r="J332" s="2" t="s">
        <v>838</v>
      </c>
      <c r="K332" s="2" t="s">
        <v>812</v>
      </c>
      <c r="L332" s="2" t="s">
        <v>404</v>
      </c>
      <c r="M332" s="2" t="s">
        <v>72</v>
      </c>
      <c r="N332" s="3"/>
      <c r="O332" s="3"/>
      <c r="P332" s="3"/>
      <c r="Q332" s="3"/>
      <c r="R332" s="3"/>
      <c r="S332" s="3"/>
      <c r="T332" s="3"/>
      <c r="U332" s="3"/>
      <c r="V332" s="3"/>
      <c r="W332" s="3"/>
      <c r="X332" s="3"/>
      <c r="Y332" s="3"/>
      <c r="Z332" s="3"/>
    </row>
    <row r="333" spans="1:26" hidden="1" x14ac:dyDescent="0.3">
      <c r="A333" s="2" t="s">
        <v>467</v>
      </c>
      <c r="B333" s="2" t="s">
        <v>110</v>
      </c>
      <c r="C333" s="2" t="s">
        <v>110</v>
      </c>
      <c r="D333" s="2" t="s">
        <v>151</v>
      </c>
      <c r="E333" s="2" t="s">
        <v>151</v>
      </c>
      <c r="F333" s="2" t="s">
        <v>53</v>
      </c>
      <c r="G333" s="2" t="s">
        <v>53</v>
      </c>
      <c r="H333" s="2" t="s">
        <v>54</v>
      </c>
      <c r="I333" s="2" t="s">
        <v>54</v>
      </c>
      <c r="J333" s="2" t="s">
        <v>839</v>
      </c>
      <c r="K333" s="2" t="s">
        <v>812</v>
      </c>
      <c r="L333" s="2" t="s">
        <v>404</v>
      </c>
      <c r="M333" s="2" t="s">
        <v>72</v>
      </c>
      <c r="N333" s="3"/>
      <c r="O333" s="3"/>
      <c r="P333" s="3"/>
      <c r="Q333" s="3"/>
      <c r="R333" s="3"/>
      <c r="S333" s="3"/>
      <c r="T333" s="3"/>
      <c r="U333" s="3"/>
      <c r="V333" s="3"/>
      <c r="W333" s="3"/>
      <c r="X333" s="3"/>
      <c r="Y333" s="3"/>
      <c r="Z333" s="3"/>
    </row>
    <row r="334" spans="1:26" hidden="1" x14ac:dyDescent="0.3">
      <c r="A334" s="2" t="s">
        <v>467</v>
      </c>
      <c r="B334" s="2" t="s">
        <v>110</v>
      </c>
      <c r="C334" s="2" t="s">
        <v>110</v>
      </c>
      <c r="D334" s="2" t="s">
        <v>168</v>
      </c>
      <c r="E334" s="2" t="s">
        <v>168</v>
      </c>
      <c r="F334" s="2" t="s">
        <v>53</v>
      </c>
      <c r="G334" s="2" t="s">
        <v>53</v>
      </c>
      <c r="H334" s="2" t="s">
        <v>840</v>
      </c>
      <c r="I334" s="2" t="s">
        <v>840</v>
      </c>
      <c r="J334" s="2" t="s">
        <v>841</v>
      </c>
      <c r="K334" s="2" t="s">
        <v>842</v>
      </c>
      <c r="L334" s="2" t="s">
        <v>404</v>
      </c>
      <c r="M334" s="2" t="s">
        <v>72</v>
      </c>
      <c r="N334" s="3"/>
      <c r="O334" s="3"/>
      <c r="P334" s="3"/>
      <c r="Q334" s="3"/>
      <c r="R334" s="3"/>
      <c r="S334" s="3"/>
      <c r="T334" s="3"/>
      <c r="U334" s="3"/>
      <c r="V334" s="3"/>
      <c r="W334" s="3"/>
      <c r="X334" s="3"/>
      <c r="Y334" s="3"/>
      <c r="Z334" s="3"/>
    </row>
    <row r="335" spans="1:26" hidden="1" x14ac:dyDescent="0.3">
      <c r="A335" s="2" t="s">
        <v>467</v>
      </c>
      <c r="B335" s="2" t="s">
        <v>110</v>
      </c>
      <c r="C335" s="2" t="s">
        <v>110</v>
      </c>
      <c r="D335" s="2" t="s">
        <v>168</v>
      </c>
      <c r="E335" s="2" t="s">
        <v>168</v>
      </c>
      <c r="F335" s="2" t="s">
        <v>53</v>
      </c>
      <c r="G335" s="2" t="s">
        <v>53</v>
      </c>
      <c r="H335" s="2" t="s">
        <v>54</v>
      </c>
      <c r="I335" s="2" t="s">
        <v>54</v>
      </c>
      <c r="J335" s="2" t="s">
        <v>843</v>
      </c>
      <c r="K335" s="2" t="s">
        <v>842</v>
      </c>
      <c r="L335" s="2" t="s">
        <v>404</v>
      </c>
      <c r="M335" s="2" t="s">
        <v>72</v>
      </c>
      <c r="N335" s="3"/>
      <c r="O335" s="3"/>
      <c r="P335" s="3"/>
      <c r="Q335" s="3"/>
      <c r="R335" s="3"/>
      <c r="S335" s="3"/>
      <c r="T335" s="3"/>
      <c r="U335" s="3"/>
      <c r="V335" s="3"/>
      <c r="W335" s="3"/>
      <c r="X335" s="3"/>
      <c r="Y335" s="3"/>
      <c r="Z335" s="3"/>
    </row>
    <row r="336" spans="1:26" hidden="1" x14ac:dyDescent="0.3">
      <c r="A336" s="2" t="s">
        <v>467</v>
      </c>
      <c r="B336" s="2" t="s">
        <v>110</v>
      </c>
      <c r="C336" s="2" t="s">
        <v>110</v>
      </c>
      <c r="D336" s="2" t="s">
        <v>168</v>
      </c>
      <c r="E336" s="2" t="s">
        <v>168</v>
      </c>
      <c r="F336" s="2" t="s">
        <v>53</v>
      </c>
      <c r="G336" s="2" t="s">
        <v>53</v>
      </c>
      <c r="H336" s="2" t="s">
        <v>54</v>
      </c>
      <c r="I336" s="2" t="s">
        <v>54</v>
      </c>
      <c r="J336" s="2" t="s">
        <v>844</v>
      </c>
      <c r="K336" s="2" t="s">
        <v>845</v>
      </c>
      <c r="L336" s="2" t="s">
        <v>404</v>
      </c>
      <c r="M336" s="2" t="s">
        <v>72</v>
      </c>
      <c r="N336" s="3"/>
      <c r="O336" s="3"/>
      <c r="P336" s="3"/>
      <c r="Q336" s="3"/>
      <c r="R336" s="3"/>
      <c r="S336" s="3"/>
      <c r="T336" s="3"/>
      <c r="U336" s="3"/>
      <c r="V336" s="3"/>
      <c r="W336" s="3"/>
      <c r="X336" s="3"/>
      <c r="Y336" s="3"/>
      <c r="Z336" s="3"/>
    </row>
    <row r="337" spans="1:26" hidden="1" x14ac:dyDescent="0.3">
      <c r="A337" s="2" t="s">
        <v>467</v>
      </c>
      <c r="B337" s="2" t="s">
        <v>110</v>
      </c>
      <c r="C337" s="2" t="s">
        <v>110</v>
      </c>
      <c r="D337" s="2" t="s">
        <v>168</v>
      </c>
      <c r="E337" s="2" t="s">
        <v>168</v>
      </c>
      <c r="F337" s="2" t="s">
        <v>53</v>
      </c>
      <c r="G337" s="2" t="s">
        <v>53</v>
      </c>
      <c r="H337" s="2" t="s">
        <v>54</v>
      </c>
      <c r="I337" s="2" t="s">
        <v>54</v>
      </c>
      <c r="J337" s="2" t="s">
        <v>846</v>
      </c>
      <c r="K337" s="2" t="s">
        <v>845</v>
      </c>
      <c r="L337" s="2" t="s">
        <v>404</v>
      </c>
      <c r="M337" s="2" t="s">
        <v>72</v>
      </c>
      <c r="N337" s="3"/>
      <c r="O337" s="3"/>
      <c r="P337" s="3"/>
      <c r="Q337" s="3"/>
      <c r="R337" s="3"/>
      <c r="S337" s="3"/>
      <c r="T337" s="3"/>
      <c r="U337" s="3"/>
      <c r="V337" s="3"/>
      <c r="W337" s="3"/>
      <c r="X337" s="3"/>
      <c r="Y337" s="3"/>
      <c r="Z337" s="3"/>
    </row>
    <row r="338" spans="1:26" hidden="1" x14ac:dyDescent="0.3">
      <c r="A338" s="2" t="s">
        <v>467</v>
      </c>
      <c r="B338" s="2" t="s">
        <v>110</v>
      </c>
      <c r="C338" s="2" t="s">
        <v>110</v>
      </c>
      <c r="D338" s="2" t="s">
        <v>168</v>
      </c>
      <c r="E338" s="2" t="s">
        <v>168</v>
      </c>
      <c r="F338" s="2" t="s">
        <v>53</v>
      </c>
      <c r="G338" s="2" t="s">
        <v>53</v>
      </c>
      <c r="H338" s="2" t="s">
        <v>840</v>
      </c>
      <c r="I338" s="2" t="s">
        <v>840</v>
      </c>
      <c r="J338" s="2" t="s">
        <v>847</v>
      </c>
      <c r="K338" s="2" t="s">
        <v>845</v>
      </c>
      <c r="L338" s="2" t="s">
        <v>404</v>
      </c>
      <c r="M338" s="2" t="s">
        <v>72</v>
      </c>
      <c r="N338" s="3"/>
      <c r="O338" s="3"/>
      <c r="P338" s="3"/>
      <c r="Q338" s="3"/>
      <c r="R338" s="3"/>
      <c r="S338" s="3"/>
      <c r="T338" s="3"/>
      <c r="U338" s="3"/>
      <c r="V338" s="3"/>
      <c r="W338" s="3"/>
      <c r="X338" s="3"/>
      <c r="Y338" s="3"/>
      <c r="Z338" s="3"/>
    </row>
    <row r="339" spans="1:26" hidden="1" x14ac:dyDescent="0.3">
      <c r="A339" s="2" t="s">
        <v>467</v>
      </c>
      <c r="B339" s="2" t="s">
        <v>110</v>
      </c>
      <c r="C339" s="2" t="s">
        <v>110</v>
      </c>
      <c r="D339" s="2" t="s">
        <v>168</v>
      </c>
      <c r="E339" s="2" t="s">
        <v>168</v>
      </c>
      <c r="F339" s="2" t="s">
        <v>53</v>
      </c>
      <c r="G339" s="2" t="s">
        <v>53</v>
      </c>
      <c r="H339" s="2" t="s">
        <v>54</v>
      </c>
      <c r="I339" s="2" t="s">
        <v>54</v>
      </c>
      <c r="J339" s="2" t="s">
        <v>848</v>
      </c>
      <c r="K339" s="2" t="s">
        <v>170</v>
      </c>
      <c r="L339" s="2" t="s">
        <v>404</v>
      </c>
      <c r="M339" s="2" t="s">
        <v>72</v>
      </c>
      <c r="N339" s="3"/>
      <c r="O339" s="3"/>
      <c r="P339" s="3"/>
      <c r="Q339" s="3"/>
      <c r="R339" s="3"/>
      <c r="S339" s="3"/>
      <c r="T339" s="3"/>
      <c r="U339" s="3"/>
      <c r="V339" s="3"/>
      <c r="W339" s="3"/>
      <c r="X339" s="3"/>
      <c r="Y339" s="3"/>
      <c r="Z339" s="3"/>
    </row>
    <row r="340" spans="1:26" hidden="1" x14ac:dyDescent="0.3">
      <c r="A340" s="2" t="s">
        <v>467</v>
      </c>
      <c r="B340" s="2" t="s">
        <v>110</v>
      </c>
      <c r="C340" s="2" t="s">
        <v>110</v>
      </c>
      <c r="D340" s="2" t="s">
        <v>82</v>
      </c>
      <c r="E340" s="2" t="s">
        <v>82</v>
      </c>
      <c r="F340" s="2" t="s">
        <v>53</v>
      </c>
      <c r="G340" s="2" t="s">
        <v>53</v>
      </c>
      <c r="H340" s="2" t="s">
        <v>54</v>
      </c>
      <c r="I340" s="2" t="s">
        <v>54</v>
      </c>
      <c r="J340" s="2" t="s">
        <v>849</v>
      </c>
      <c r="K340" s="2" t="s">
        <v>176</v>
      </c>
      <c r="L340" s="2" t="s">
        <v>404</v>
      </c>
      <c r="M340" s="2" t="s">
        <v>72</v>
      </c>
      <c r="N340" s="3"/>
      <c r="O340" s="3"/>
      <c r="P340" s="3"/>
      <c r="Q340" s="3"/>
      <c r="R340" s="3"/>
      <c r="S340" s="3"/>
      <c r="T340" s="3"/>
      <c r="U340" s="3"/>
      <c r="V340" s="3"/>
      <c r="W340" s="3"/>
      <c r="X340" s="3"/>
      <c r="Y340" s="3"/>
      <c r="Z340" s="3"/>
    </row>
    <row r="341" spans="1:26" hidden="1" x14ac:dyDescent="0.3">
      <c r="A341" s="2" t="s">
        <v>467</v>
      </c>
      <c r="B341" s="2" t="s">
        <v>110</v>
      </c>
      <c r="C341" s="2" t="s">
        <v>110</v>
      </c>
      <c r="D341" s="2" t="s">
        <v>135</v>
      </c>
      <c r="E341" s="2" t="s">
        <v>135</v>
      </c>
      <c r="F341" s="2" t="s">
        <v>53</v>
      </c>
      <c r="G341" s="2" t="s">
        <v>53</v>
      </c>
      <c r="H341" s="2" t="s">
        <v>54</v>
      </c>
      <c r="I341" s="2" t="s">
        <v>54</v>
      </c>
      <c r="J341" s="2"/>
      <c r="K341" s="2" t="s">
        <v>178</v>
      </c>
      <c r="L341" s="2" t="s">
        <v>404</v>
      </c>
      <c r="M341" s="2" t="s">
        <v>72</v>
      </c>
      <c r="N341" s="3"/>
      <c r="O341" s="3"/>
      <c r="P341" s="3"/>
      <c r="Q341" s="3"/>
      <c r="R341" s="3"/>
      <c r="S341" s="3"/>
      <c r="T341" s="3"/>
      <c r="U341" s="3"/>
      <c r="V341" s="3"/>
      <c r="W341" s="3"/>
      <c r="X341" s="3"/>
      <c r="Y341" s="3"/>
      <c r="Z341" s="3"/>
    </row>
    <row r="342" spans="1:26" hidden="1" x14ac:dyDescent="0.3">
      <c r="A342" s="2" t="s">
        <v>467</v>
      </c>
      <c r="B342" s="2" t="s">
        <v>110</v>
      </c>
      <c r="C342" s="2" t="s">
        <v>110</v>
      </c>
      <c r="D342" s="2" t="s">
        <v>93</v>
      </c>
      <c r="E342" s="2" t="s">
        <v>93</v>
      </c>
      <c r="F342" s="2" t="s">
        <v>53</v>
      </c>
      <c r="G342" s="2" t="s">
        <v>53</v>
      </c>
      <c r="H342" s="2" t="s">
        <v>179</v>
      </c>
      <c r="I342" s="2" t="s">
        <v>179</v>
      </c>
      <c r="J342" s="2" t="s">
        <v>850</v>
      </c>
      <c r="K342" s="2" t="s">
        <v>181</v>
      </c>
      <c r="L342" s="2" t="s">
        <v>404</v>
      </c>
      <c r="M342" s="2" t="s">
        <v>72</v>
      </c>
      <c r="N342" s="3"/>
      <c r="O342" s="3"/>
      <c r="P342" s="3"/>
      <c r="Q342" s="3"/>
      <c r="R342" s="3"/>
      <c r="S342" s="3"/>
      <c r="T342" s="3"/>
      <c r="U342" s="3"/>
      <c r="V342" s="3"/>
      <c r="W342" s="3"/>
      <c r="X342" s="3"/>
      <c r="Y342" s="3"/>
      <c r="Z342" s="3"/>
    </row>
    <row r="343" spans="1:26" hidden="1" x14ac:dyDescent="0.3">
      <c r="A343" s="2" t="s">
        <v>467</v>
      </c>
      <c r="B343" s="2" t="s">
        <v>110</v>
      </c>
      <c r="C343" s="2" t="s">
        <v>110</v>
      </c>
      <c r="D343" s="2" t="s">
        <v>76</v>
      </c>
      <c r="E343" s="2" t="s">
        <v>76</v>
      </c>
      <c r="F343" s="2" t="s">
        <v>53</v>
      </c>
      <c r="G343" s="2" t="s">
        <v>53</v>
      </c>
      <c r="H343" s="2" t="s">
        <v>179</v>
      </c>
      <c r="I343" s="2" t="s">
        <v>179</v>
      </c>
      <c r="J343" s="2" t="s">
        <v>851</v>
      </c>
      <c r="K343" s="2" t="s">
        <v>775</v>
      </c>
      <c r="L343" s="2" t="s">
        <v>404</v>
      </c>
      <c r="M343" s="2" t="s">
        <v>72</v>
      </c>
      <c r="N343" s="3"/>
      <c r="O343" s="3"/>
      <c r="P343" s="3"/>
      <c r="Q343" s="3"/>
      <c r="R343" s="3"/>
      <c r="S343" s="3"/>
      <c r="T343" s="3"/>
      <c r="U343" s="3"/>
      <c r="V343" s="3"/>
      <c r="W343" s="3"/>
      <c r="X343" s="3"/>
      <c r="Y343" s="3"/>
      <c r="Z343" s="3"/>
    </row>
    <row r="344" spans="1:26" hidden="1" x14ac:dyDescent="0.3">
      <c r="A344" s="2" t="s">
        <v>467</v>
      </c>
      <c r="B344" s="2" t="s">
        <v>110</v>
      </c>
      <c r="C344" s="2" t="s">
        <v>110</v>
      </c>
      <c r="D344" s="2" t="s">
        <v>82</v>
      </c>
      <c r="E344" s="2" t="s">
        <v>82</v>
      </c>
      <c r="F344" s="2" t="s">
        <v>53</v>
      </c>
      <c r="G344" s="2" t="s">
        <v>53</v>
      </c>
      <c r="H344" s="2" t="s">
        <v>54</v>
      </c>
      <c r="I344" s="2" t="s">
        <v>54</v>
      </c>
      <c r="J344" s="2" t="s">
        <v>852</v>
      </c>
      <c r="K344" s="2" t="s">
        <v>853</v>
      </c>
      <c r="L344" s="2" t="s">
        <v>404</v>
      </c>
      <c r="M344" s="2" t="s">
        <v>72</v>
      </c>
      <c r="N344" s="3"/>
      <c r="O344" s="3"/>
      <c r="P344" s="3"/>
      <c r="Q344" s="3"/>
      <c r="R344" s="3"/>
      <c r="S344" s="3"/>
      <c r="T344" s="3"/>
      <c r="U344" s="3"/>
      <c r="V344" s="3"/>
      <c r="W344" s="3"/>
      <c r="X344" s="3"/>
      <c r="Y344" s="3"/>
      <c r="Z344" s="3"/>
    </row>
    <row r="345" spans="1:26" hidden="1" x14ac:dyDescent="0.3">
      <c r="A345" s="2" t="s">
        <v>467</v>
      </c>
      <c r="B345" s="2" t="s">
        <v>110</v>
      </c>
      <c r="C345" s="2" t="s">
        <v>110</v>
      </c>
      <c r="D345" s="2" t="s">
        <v>82</v>
      </c>
      <c r="E345" s="2" t="s">
        <v>82</v>
      </c>
      <c r="F345" s="2" t="s">
        <v>53</v>
      </c>
      <c r="G345" s="2" t="s">
        <v>53</v>
      </c>
      <c r="H345" s="2" t="s">
        <v>54</v>
      </c>
      <c r="I345" s="2" t="s">
        <v>54</v>
      </c>
      <c r="J345" s="2" t="s">
        <v>854</v>
      </c>
      <c r="K345" s="2" t="s">
        <v>855</v>
      </c>
      <c r="L345" s="2" t="s">
        <v>404</v>
      </c>
      <c r="M345" s="2" t="s">
        <v>72</v>
      </c>
      <c r="N345" s="3"/>
      <c r="O345" s="3"/>
      <c r="P345" s="3"/>
      <c r="Q345" s="3"/>
      <c r="R345" s="3"/>
      <c r="S345" s="3"/>
      <c r="T345" s="3"/>
      <c r="U345" s="3"/>
      <c r="V345" s="3"/>
      <c r="W345" s="3"/>
      <c r="X345" s="3"/>
      <c r="Y345" s="3"/>
      <c r="Z345" s="3"/>
    </row>
    <row r="346" spans="1:26" hidden="1" x14ac:dyDescent="0.3">
      <c r="A346" s="2" t="s">
        <v>467</v>
      </c>
      <c r="B346" s="2" t="s">
        <v>110</v>
      </c>
      <c r="C346" s="2" t="s">
        <v>110</v>
      </c>
      <c r="D346" s="2" t="s">
        <v>82</v>
      </c>
      <c r="E346" s="2" t="s">
        <v>82</v>
      </c>
      <c r="F346" s="2" t="s">
        <v>53</v>
      </c>
      <c r="G346" s="2" t="s">
        <v>53</v>
      </c>
      <c r="H346" s="2" t="s">
        <v>54</v>
      </c>
      <c r="I346" s="2" t="s">
        <v>54</v>
      </c>
      <c r="J346" s="2" t="s">
        <v>856</v>
      </c>
      <c r="K346" s="2" t="s">
        <v>857</v>
      </c>
      <c r="L346" s="2" t="s">
        <v>404</v>
      </c>
      <c r="M346" s="2" t="s">
        <v>72</v>
      </c>
      <c r="N346" s="3"/>
      <c r="O346" s="3"/>
      <c r="P346" s="3"/>
      <c r="Q346" s="3"/>
      <c r="R346" s="3"/>
      <c r="S346" s="3"/>
      <c r="T346" s="3"/>
      <c r="U346" s="3"/>
      <c r="V346" s="3"/>
      <c r="W346" s="3"/>
      <c r="X346" s="3"/>
      <c r="Y346" s="3"/>
      <c r="Z346" s="3"/>
    </row>
    <row r="347" spans="1:26" hidden="1" x14ac:dyDescent="0.3">
      <c r="A347" s="2" t="s">
        <v>467</v>
      </c>
      <c r="B347" s="2" t="s">
        <v>110</v>
      </c>
      <c r="C347" s="2" t="s">
        <v>110</v>
      </c>
      <c r="D347" s="2" t="s">
        <v>82</v>
      </c>
      <c r="E347" s="2" t="s">
        <v>82</v>
      </c>
      <c r="F347" s="2" t="s">
        <v>53</v>
      </c>
      <c r="G347" s="2" t="s">
        <v>53</v>
      </c>
      <c r="H347" s="2" t="s">
        <v>54</v>
      </c>
      <c r="I347" s="2" t="s">
        <v>54</v>
      </c>
      <c r="J347" s="2" t="s">
        <v>858</v>
      </c>
      <c r="K347" s="2" t="s">
        <v>859</v>
      </c>
      <c r="L347" s="2" t="s">
        <v>404</v>
      </c>
      <c r="M347" s="2" t="s">
        <v>72</v>
      </c>
      <c r="N347" s="3"/>
      <c r="O347" s="3"/>
      <c r="P347" s="3"/>
      <c r="Q347" s="3"/>
      <c r="R347" s="3"/>
      <c r="S347" s="3"/>
      <c r="T347" s="3"/>
      <c r="U347" s="3"/>
      <c r="V347" s="3"/>
      <c r="W347" s="3"/>
      <c r="X347" s="3"/>
      <c r="Y347" s="3"/>
      <c r="Z347" s="3"/>
    </row>
    <row r="348" spans="1:26" hidden="1" x14ac:dyDescent="0.3">
      <c r="A348" s="2" t="s">
        <v>467</v>
      </c>
      <c r="B348" s="2" t="s">
        <v>110</v>
      </c>
      <c r="C348" s="2" t="s">
        <v>110</v>
      </c>
      <c r="D348" s="2" t="s">
        <v>195</v>
      </c>
      <c r="E348" s="2" t="s">
        <v>195</v>
      </c>
      <c r="F348" s="2" t="s">
        <v>53</v>
      </c>
      <c r="G348" s="2" t="s">
        <v>53</v>
      </c>
      <c r="H348" s="2" t="s">
        <v>54</v>
      </c>
      <c r="I348" s="2" t="s">
        <v>54</v>
      </c>
      <c r="J348" s="2"/>
      <c r="K348" s="2" t="s">
        <v>197</v>
      </c>
      <c r="L348" s="2" t="s">
        <v>404</v>
      </c>
      <c r="M348" s="2" t="s">
        <v>72</v>
      </c>
      <c r="N348" s="3"/>
      <c r="O348" s="3"/>
      <c r="P348" s="3"/>
      <c r="Q348" s="3"/>
      <c r="R348" s="3"/>
      <c r="S348" s="3"/>
      <c r="T348" s="3"/>
      <c r="U348" s="3"/>
      <c r="V348" s="3"/>
      <c r="W348" s="3"/>
      <c r="X348" s="3"/>
      <c r="Y348" s="3"/>
      <c r="Z348" s="3"/>
    </row>
    <row r="349" spans="1:26" hidden="1" x14ac:dyDescent="0.3">
      <c r="A349" s="2" t="s">
        <v>467</v>
      </c>
      <c r="B349" s="2" t="s">
        <v>110</v>
      </c>
      <c r="C349" s="2" t="s">
        <v>110</v>
      </c>
      <c r="D349" s="2" t="s">
        <v>76</v>
      </c>
      <c r="E349" s="2" t="s">
        <v>76</v>
      </c>
      <c r="F349" s="2" t="s">
        <v>53</v>
      </c>
      <c r="G349" s="2" t="s">
        <v>53</v>
      </c>
      <c r="H349" s="2" t="s">
        <v>179</v>
      </c>
      <c r="I349" s="2" t="s">
        <v>179</v>
      </c>
      <c r="J349" s="2" t="s">
        <v>860</v>
      </c>
      <c r="K349" s="2" t="s">
        <v>199</v>
      </c>
      <c r="L349" s="2" t="s">
        <v>404</v>
      </c>
      <c r="M349" s="2" t="s">
        <v>72</v>
      </c>
      <c r="N349" s="3"/>
      <c r="O349" s="3"/>
      <c r="P349" s="3"/>
      <c r="Q349" s="3"/>
      <c r="R349" s="3"/>
      <c r="S349" s="3"/>
      <c r="T349" s="3"/>
      <c r="U349" s="3"/>
      <c r="V349" s="3"/>
      <c r="W349" s="3"/>
      <c r="X349" s="3"/>
      <c r="Y349" s="3"/>
      <c r="Z349" s="3"/>
    </row>
    <row r="350" spans="1:26" hidden="1" x14ac:dyDescent="0.3">
      <c r="A350" s="2" t="s">
        <v>467</v>
      </c>
      <c r="B350" s="2" t="s">
        <v>110</v>
      </c>
      <c r="C350" s="2" t="s">
        <v>110</v>
      </c>
      <c r="D350" s="2" t="s">
        <v>114</v>
      </c>
      <c r="E350" s="2" t="s">
        <v>114</v>
      </c>
      <c r="F350" s="2" t="s">
        <v>53</v>
      </c>
      <c r="G350" s="2" t="s">
        <v>53</v>
      </c>
      <c r="H350" s="2" t="s">
        <v>54</v>
      </c>
      <c r="I350" s="2" t="s">
        <v>54</v>
      </c>
      <c r="J350" s="2" t="s">
        <v>861</v>
      </c>
      <c r="K350" s="2" t="s">
        <v>862</v>
      </c>
      <c r="L350" s="2" t="s">
        <v>404</v>
      </c>
      <c r="M350" s="2" t="s">
        <v>72</v>
      </c>
      <c r="N350" s="3"/>
      <c r="O350" s="3"/>
      <c r="P350" s="3"/>
      <c r="Q350" s="3"/>
      <c r="R350" s="3"/>
      <c r="S350" s="3"/>
      <c r="T350" s="3"/>
      <c r="U350" s="3"/>
      <c r="V350" s="3"/>
      <c r="W350" s="3"/>
      <c r="X350" s="3"/>
      <c r="Y350" s="3"/>
      <c r="Z350" s="3"/>
    </row>
    <row r="351" spans="1:26" hidden="1" x14ac:dyDescent="0.3">
      <c r="A351" s="2" t="s">
        <v>467</v>
      </c>
      <c r="B351" s="2" t="s">
        <v>110</v>
      </c>
      <c r="C351" s="2" t="s">
        <v>110</v>
      </c>
      <c r="D351" s="2" t="s">
        <v>135</v>
      </c>
      <c r="E351" s="2" t="s">
        <v>135</v>
      </c>
      <c r="F351" s="2" t="s">
        <v>53</v>
      </c>
      <c r="G351" s="2" t="s">
        <v>53</v>
      </c>
      <c r="H351" s="2" t="s">
        <v>54</v>
      </c>
      <c r="I351" s="2" t="s">
        <v>54</v>
      </c>
      <c r="J351" s="2" t="s">
        <v>863</v>
      </c>
      <c r="K351" s="2" t="s">
        <v>208</v>
      </c>
      <c r="L351" s="2" t="s">
        <v>404</v>
      </c>
      <c r="M351" s="2" t="s">
        <v>72</v>
      </c>
      <c r="N351" s="3"/>
      <c r="O351" s="3"/>
      <c r="P351" s="3"/>
      <c r="Q351" s="3"/>
      <c r="R351" s="3"/>
      <c r="S351" s="3"/>
      <c r="T351" s="3"/>
      <c r="U351" s="3"/>
      <c r="V351" s="3"/>
      <c r="W351" s="3"/>
      <c r="X351" s="3"/>
      <c r="Y351" s="3"/>
      <c r="Z351" s="3"/>
    </row>
    <row r="352" spans="1:26" hidden="1" x14ac:dyDescent="0.3">
      <c r="A352" s="2" t="s">
        <v>467</v>
      </c>
      <c r="B352" s="2" t="s">
        <v>110</v>
      </c>
      <c r="C352" s="2" t="s">
        <v>110</v>
      </c>
      <c r="D352" s="2" t="s">
        <v>66</v>
      </c>
      <c r="E352" s="2" t="s">
        <v>66</v>
      </c>
      <c r="F352" s="2" t="s">
        <v>53</v>
      </c>
      <c r="G352" s="2" t="s">
        <v>53</v>
      </c>
      <c r="H352" s="2" t="s">
        <v>54</v>
      </c>
      <c r="I352" s="2" t="s">
        <v>54</v>
      </c>
      <c r="J352" s="2"/>
      <c r="K352" s="2"/>
      <c r="L352" s="2" t="s">
        <v>404</v>
      </c>
      <c r="M352" s="2" t="s">
        <v>72</v>
      </c>
      <c r="N352" s="3"/>
      <c r="O352" s="3"/>
      <c r="P352" s="3"/>
      <c r="Q352" s="3"/>
      <c r="R352" s="3"/>
      <c r="S352" s="3"/>
      <c r="T352" s="3"/>
      <c r="U352" s="3"/>
      <c r="V352" s="3"/>
      <c r="W352" s="3"/>
      <c r="X352" s="3"/>
      <c r="Y352" s="3"/>
      <c r="Z352" s="3"/>
    </row>
    <row r="353" spans="1:26" hidden="1" x14ac:dyDescent="0.3">
      <c r="A353" s="2" t="s">
        <v>467</v>
      </c>
      <c r="B353" s="2" t="s">
        <v>210</v>
      </c>
      <c r="C353" s="2" t="s">
        <v>210</v>
      </c>
      <c r="D353" s="2" t="s">
        <v>217</v>
      </c>
      <c r="E353" s="2" t="s">
        <v>217</v>
      </c>
      <c r="F353" s="2" t="s">
        <v>53</v>
      </c>
      <c r="G353" s="2" t="s">
        <v>53</v>
      </c>
      <c r="H353" s="2" t="s">
        <v>54</v>
      </c>
      <c r="I353" s="2" t="s">
        <v>54</v>
      </c>
      <c r="J353" s="2" t="s">
        <v>864</v>
      </c>
      <c r="K353" s="2" t="s">
        <v>185</v>
      </c>
      <c r="L353" s="2" t="s">
        <v>404</v>
      </c>
      <c r="M353" s="2" t="s">
        <v>213</v>
      </c>
      <c r="N353" s="3"/>
      <c r="O353" s="3"/>
      <c r="P353" s="3"/>
      <c r="Q353" s="3"/>
      <c r="R353" s="3"/>
      <c r="S353" s="3"/>
      <c r="T353" s="3"/>
      <c r="U353" s="3"/>
      <c r="V353" s="3"/>
      <c r="W353" s="3"/>
      <c r="X353" s="3"/>
      <c r="Y353" s="3"/>
      <c r="Z353" s="3"/>
    </row>
    <row r="354" spans="1:26" hidden="1" x14ac:dyDescent="0.3">
      <c r="A354" s="2" t="s">
        <v>467</v>
      </c>
      <c r="B354" s="2" t="s">
        <v>210</v>
      </c>
      <c r="C354" s="2" t="s">
        <v>210</v>
      </c>
      <c r="D354" s="2" t="s">
        <v>82</v>
      </c>
      <c r="E354" s="2" t="s">
        <v>82</v>
      </c>
      <c r="F354" s="2" t="s">
        <v>53</v>
      </c>
      <c r="G354" s="2" t="s">
        <v>53</v>
      </c>
      <c r="H354" s="2" t="s">
        <v>54</v>
      </c>
      <c r="I354" s="2" t="s">
        <v>54</v>
      </c>
      <c r="J354" s="2" t="s">
        <v>865</v>
      </c>
      <c r="K354" s="2" t="s">
        <v>212</v>
      </c>
      <c r="L354" s="2" t="s">
        <v>404</v>
      </c>
      <c r="M354" s="2" t="s">
        <v>213</v>
      </c>
      <c r="N354" s="3"/>
      <c r="O354" s="3"/>
      <c r="P354" s="3"/>
      <c r="Q354" s="3"/>
      <c r="R354" s="3"/>
      <c r="S354" s="3"/>
      <c r="T354" s="3"/>
      <c r="U354" s="3"/>
      <c r="V354" s="3"/>
      <c r="W354" s="3"/>
      <c r="X354" s="3"/>
      <c r="Y354" s="3"/>
      <c r="Z354" s="3"/>
    </row>
    <row r="355" spans="1:26" hidden="1" x14ac:dyDescent="0.3">
      <c r="A355" s="2" t="s">
        <v>467</v>
      </c>
      <c r="B355" s="2" t="s">
        <v>210</v>
      </c>
      <c r="C355" s="2" t="s">
        <v>210</v>
      </c>
      <c r="D355" s="2" t="s">
        <v>82</v>
      </c>
      <c r="E355" s="2" t="s">
        <v>82</v>
      </c>
      <c r="F355" s="2" t="s">
        <v>53</v>
      </c>
      <c r="G355" s="2" t="s">
        <v>53</v>
      </c>
      <c r="H355" s="2" t="s">
        <v>54</v>
      </c>
      <c r="I355" s="2" t="s">
        <v>54</v>
      </c>
      <c r="J355" s="2" t="s">
        <v>866</v>
      </c>
      <c r="K355" s="2" t="s">
        <v>867</v>
      </c>
      <c r="L355" s="2" t="s">
        <v>404</v>
      </c>
      <c r="M355" s="2" t="s">
        <v>213</v>
      </c>
      <c r="N355" s="3"/>
      <c r="O355" s="3"/>
      <c r="P355" s="3"/>
      <c r="Q355" s="3"/>
      <c r="R355" s="3"/>
      <c r="S355" s="3"/>
      <c r="T355" s="3"/>
      <c r="U355" s="3"/>
      <c r="V355" s="3"/>
      <c r="W355" s="3"/>
      <c r="X355" s="3"/>
      <c r="Y355" s="3"/>
      <c r="Z355" s="3"/>
    </row>
    <row r="356" spans="1:26" hidden="1" x14ac:dyDescent="0.3">
      <c r="A356" s="2" t="s">
        <v>467</v>
      </c>
      <c r="B356" s="2" t="s">
        <v>210</v>
      </c>
      <c r="C356" s="2" t="s">
        <v>210</v>
      </c>
      <c r="D356" s="2" t="s">
        <v>217</v>
      </c>
      <c r="E356" s="2" t="s">
        <v>217</v>
      </c>
      <c r="F356" s="2" t="s">
        <v>53</v>
      </c>
      <c r="G356" s="2" t="s">
        <v>53</v>
      </c>
      <c r="H356" s="2" t="s">
        <v>54</v>
      </c>
      <c r="I356" s="2" t="s">
        <v>54</v>
      </c>
      <c r="J356" s="2" t="s">
        <v>868</v>
      </c>
      <c r="K356" s="2" t="s">
        <v>221</v>
      </c>
      <c r="L356" s="2" t="s">
        <v>404</v>
      </c>
      <c r="M356" s="2" t="s">
        <v>213</v>
      </c>
      <c r="N356" s="3"/>
      <c r="O356" s="3"/>
      <c r="P356" s="3"/>
      <c r="Q356" s="3"/>
      <c r="R356" s="3"/>
      <c r="S356" s="3"/>
      <c r="T356" s="3"/>
      <c r="U356" s="3"/>
      <c r="V356" s="3"/>
      <c r="W356" s="3"/>
      <c r="X356" s="3"/>
      <c r="Y356" s="3"/>
      <c r="Z356" s="3"/>
    </row>
    <row r="357" spans="1:26" hidden="1" x14ac:dyDescent="0.3">
      <c r="A357" s="2" t="s">
        <v>467</v>
      </c>
      <c r="B357" s="2" t="s">
        <v>222</v>
      </c>
      <c r="C357" s="2" t="s">
        <v>222</v>
      </c>
      <c r="D357" s="2" t="s">
        <v>200</v>
      </c>
      <c r="E357" s="2" t="s">
        <v>200</v>
      </c>
      <c r="F357" s="2" t="s">
        <v>53</v>
      </c>
      <c r="G357" s="2" t="s">
        <v>53</v>
      </c>
      <c r="H357" s="2" t="s">
        <v>230</v>
      </c>
      <c r="I357" s="2" t="s">
        <v>230</v>
      </c>
      <c r="J357" s="2" t="s">
        <v>869</v>
      </c>
      <c r="K357" s="2" t="s">
        <v>870</v>
      </c>
      <c r="L357" s="2" t="s">
        <v>404</v>
      </c>
      <c r="M357" s="2" t="s">
        <v>57</v>
      </c>
      <c r="N357" s="3"/>
      <c r="O357" s="3"/>
      <c r="P357" s="3"/>
      <c r="Q357" s="3"/>
      <c r="R357" s="3"/>
      <c r="S357" s="3"/>
      <c r="T357" s="3"/>
      <c r="U357" s="3"/>
      <c r="V357" s="3"/>
      <c r="W357" s="3"/>
      <c r="X357" s="3"/>
      <c r="Y357" s="3"/>
      <c r="Z357" s="3"/>
    </row>
    <row r="358" spans="1:26" hidden="1" x14ac:dyDescent="0.3">
      <c r="A358" s="2" t="s">
        <v>467</v>
      </c>
      <c r="B358" s="2" t="s">
        <v>222</v>
      </c>
      <c r="C358" s="2" t="s">
        <v>222</v>
      </c>
      <c r="D358" s="2" t="s">
        <v>200</v>
      </c>
      <c r="E358" s="2" t="s">
        <v>200</v>
      </c>
      <c r="F358" s="2" t="s">
        <v>53</v>
      </c>
      <c r="G358" s="2" t="s">
        <v>53</v>
      </c>
      <c r="H358" s="2" t="s">
        <v>230</v>
      </c>
      <c r="I358" s="2" t="s">
        <v>230</v>
      </c>
      <c r="J358" s="2" t="s">
        <v>871</v>
      </c>
      <c r="K358" s="2" t="s">
        <v>872</v>
      </c>
      <c r="L358" s="2" t="s">
        <v>404</v>
      </c>
      <c r="M358" s="2" t="s">
        <v>57</v>
      </c>
      <c r="N358" s="3"/>
      <c r="O358" s="3"/>
      <c r="P358" s="3"/>
      <c r="Q358" s="3"/>
      <c r="R358" s="3"/>
      <c r="S358" s="3"/>
      <c r="T358" s="3"/>
      <c r="U358" s="3"/>
      <c r="V358" s="3"/>
      <c r="W358" s="3"/>
      <c r="X358" s="3"/>
      <c r="Y358" s="3"/>
      <c r="Z358" s="3"/>
    </row>
    <row r="359" spans="1:26" hidden="1" x14ac:dyDescent="0.3">
      <c r="A359" s="2" t="s">
        <v>467</v>
      </c>
      <c r="B359" s="2" t="s">
        <v>222</v>
      </c>
      <c r="C359" s="2" t="s">
        <v>222</v>
      </c>
      <c r="D359" s="2" t="s">
        <v>82</v>
      </c>
      <c r="E359" s="2" t="s">
        <v>82</v>
      </c>
      <c r="F359" s="2" t="s">
        <v>873</v>
      </c>
      <c r="G359" s="2" t="s">
        <v>873</v>
      </c>
      <c r="H359" s="2" t="s">
        <v>54</v>
      </c>
      <c r="I359" s="2" t="s">
        <v>54</v>
      </c>
      <c r="J359" s="2" t="s">
        <v>874</v>
      </c>
      <c r="K359" s="2" t="s">
        <v>875</v>
      </c>
      <c r="L359" s="2" t="s">
        <v>404</v>
      </c>
      <c r="M359" s="2" t="s">
        <v>57</v>
      </c>
      <c r="N359" s="3"/>
      <c r="O359" s="3"/>
      <c r="P359" s="3"/>
      <c r="Q359" s="3"/>
      <c r="R359" s="3"/>
      <c r="S359" s="3"/>
      <c r="T359" s="3"/>
      <c r="U359" s="3"/>
      <c r="V359" s="3"/>
      <c r="W359" s="3"/>
      <c r="X359" s="3"/>
      <c r="Y359" s="3"/>
      <c r="Z359" s="3"/>
    </row>
    <row r="360" spans="1:26" hidden="1" x14ac:dyDescent="0.3">
      <c r="A360" s="2" t="s">
        <v>467</v>
      </c>
      <c r="B360" s="2" t="s">
        <v>222</v>
      </c>
      <c r="C360" s="2" t="s">
        <v>222</v>
      </c>
      <c r="D360" s="2" t="s">
        <v>82</v>
      </c>
      <c r="E360" s="2" t="s">
        <v>82</v>
      </c>
      <c r="F360" s="2" t="s">
        <v>53</v>
      </c>
      <c r="G360" s="2" t="s">
        <v>53</v>
      </c>
      <c r="H360" s="2" t="s">
        <v>54</v>
      </c>
      <c r="I360" s="2" t="s">
        <v>54</v>
      </c>
      <c r="J360" s="2" t="s">
        <v>233</v>
      </c>
      <c r="K360" s="2" t="s">
        <v>234</v>
      </c>
      <c r="L360" s="2" t="s">
        <v>404</v>
      </c>
      <c r="M360" s="2" t="s">
        <v>57</v>
      </c>
      <c r="N360" s="3"/>
      <c r="O360" s="3"/>
      <c r="P360" s="3"/>
      <c r="Q360" s="3"/>
      <c r="R360" s="3"/>
      <c r="S360" s="3"/>
      <c r="T360" s="3"/>
      <c r="U360" s="3"/>
      <c r="V360" s="3"/>
      <c r="W360" s="3"/>
      <c r="X360" s="3"/>
      <c r="Y360" s="3"/>
      <c r="Z360" s="3"/>
    </row>
    <row r="361" spans="1:26" hidden="1" x14ac:dyDescent="0.3">
      <c r="A361" s="2" t="s">
        <v>467</v>
      </c>
      <c r="B361" s="2" t="s">
        <v>222</v>
      </c>
      <c r="C361" s="2" t="s">
        <v>222</v>
      </c>
      <c r="D361" s="2" t="s">
        <v>151</v>
      </c>
      <c r="E361" s="2" t="s">
        <v>151</v>
      </c>
      <c r="F361" s="2" t="s">
        <v>53</v>
      </c>
      <c r="G361" s="2" t="s">
        <v>53</v>
      </c>
      <c r="H361" s="2" t="s">
        <v>54</v>
      </c>
      <c r="I361" s="2" t="s">
        <v>54</v>
      </c>
      <c r="J361" s="2" t="s">
        <v>876</v>
      </c>
      <c r="K361" s="2" t="s">
        <v>877</v>
      </c>
      <c r="L361" s="2" t="s">
        <v>404</v>
      </c>
      <c r="M361" s="2" t="s">
        <v>57</v>
      </c>
      <c r="N361" s="3"/>
      <c r="O361" s="3"/>
      <c r="P361" s="3"/>
      <c r="Q361" s="3"/>
      <c r="R361" s="3"/>
      <c r="S361" s="3"/>
      <c r="T361" s="3"/>
      <c r="U361" s="3"/>
      <c r="V361" s="3"/>
      <c r="W361" s="3"/>
      <c r="X361" s="3"/>
      <c r="Y361" s="3"/>
      <c r="Z361" s="3"/>
    </row>
    <row r="362" spans="1:26" hidden="1" x14ac:dyDescent="0.3">
      <c r="A362" s="2" t="s">
        <v>467</v>
      </c>
      <c r="B362" s="2" t="s">
        <v>222</v>
      </c>
      <c r="C362" s="2" t="s">
        <v>222</v>
      </c>
      <c r="D362" s="2" t="s">
        <v>82</v>
      </c>
      <c r="E362" s="2" t="s">
        <v>82</v>
      </c>
      <c r="F362" s="2" t="s">
        <v>53</v>
      </c>
      <c r="G362" s="2" t="s">
        <v>53</v>
      </c>
      <c r="H362" s="2" t="s">
        <v>878</v>
      </c>
      <c r="I362" s="2" t="s">
        <v>878</v>
      </c>
      <c r="J362" s="2" t="s">
        <v>879</v>
      </c>
      <c r="K362" s="2" t="s">
        <v>880</v>
      </c>
      <c r="L362" s="2" t="s">
        <v>404</v>
      </c>
      <c r="M362" s="2" t="s">
        <v>57</v>
      </c>
      <c r="N362" s="3"/>
      <c r="O362" s="3"/>
      <c r="P362" s="3"/>
      <c r="Q362" s="3"/>
      <c r="R362" s="3"/>
      <c r="S362" s="3"/>
      <c r="T362" s="3"/>
      <c r="U362" s="3"/>
      <c r="V362" s="3"/>
      <c r="W362" s="3"/>
      <c r="X362" s="3"/>
      <c r="Y362" s="3"/>
      <c r="Z362" s="3"/>
    </row>
    <row r="363" spans="1:26" hidden="1" x14ac:dyDescent="0.3">
      <c r="A363" s="2" t="s">
        <v>467</v>
      </c>
      <c r="B363" s="2" t="s">
        <v>222</v>
      </c>
      <c r="C363" s="2" t="s">
        <v>222</v>
      </c>
      <c r="D363" s="2" t="s">
        <v>217</v>
      </c>
      <c r="E363" s="2" t="s">
        <v>217</v>
      </c>
      <c r="F363" s="2" t="s">
        <v>53</v>
      </c>
      <c r="G363" s="2" t="s">
        <v>53</v>
      </c>
      <c r="H363" s="2" t="s">
        <v>54</v>
      </c>
      <c r="I363" s="2" t="s">
        <v>54</v>
      </c>
      <c r="J363" s="2"/>
      <c r="K363" s="2" t="s">
        <v>237</v>
      </c>
      <c r="L363" s="2" t="s">
        <v>404</v>
      </c>
      <c r="M363" s="2" t="s">
        <v>57</v>
      </c>
      <c r="N363" s="3"/>
      <c r="O363" s="3"/>
      <c r="P363" s="3"/>
      <c r="Q363" s="3"/>
      <c r="R363" s="3"/>
      <c r="S363" s="3"/>
      <c r="T363" s="3"/>
      <c r="U363" s="3"/>
      <c r="V363" s="3"/>
      <c r="W363" s="3"/>
      <c r="X363" s="3"/>
      <c r="Y363" s="3"/>
      <c r="Z363" s="3"/>
    </row>
    <row r="364" spans="1:26" hidden="1" x14ac:dyDescent="0.3">
      <c r="A364" s="2" t="s">
        <v>467</v>
      </c>
      <c r="B364" s="2" t="s">
        <v>222</v>
      </c>
      <c r="C364" s="2" t="s">
        <v>222</v>
      </c>
      <c r="D364" s="2" t="s">
        <v>217</v>
      </c>
      <c r="E364" s="2" t="s">
        <v>217</v>
      </c>
      <c r="F364" s="2" t="s">
        <v>53</v>
      </c>
      <c r="G364" s="2" t="s">
        <v>53</v>
      </c>
      <c r="H364" s="2" t="s">
        <v>54</v>
      </c>
      <c r="I364" s="2" t="s">
        <v>54</v>
      </c>
      <c r="J364" s="2" t="s">
        <v>881</v>
      </c>
      <c r="K364" s="2" t="s">
        <v>237</v>
      </c>
      <c r="L364" s="2" t="s">
        <v>404</v>
      </c>
      <c r="M364" s="2" t="s">
        <v>57</v>
      </c>
      <c r="N364" s="3"/>
      <c r="O364" s="3"/>
      <c r="P364" s="3"/>
      <c r="Q364" s="3"/>
      <c r="R364" s="3"/>
      <c r="S364" s="3"/>
      <c r="T364" s="3"/>
      <c r="U364" s="3"/>
      <c r="V364" s="3"/>
      <c r="W364" s="3"/>
      <c r="X364" s="3"/>
      <c r="Y364" s="3"/>
      <c r="Z364" s="3"/>
    </row>
    <row r="365" spans="1:26" hidden="1" x14ac:dyDescent="0.3">
      <c r="A365" s="2" t="s">
        <v>467</v>
      </c>
      <c r="B365" s="2" t="s">
        <v>222</v>
      </c>
      <c r="C365" s="2" t="s">
        <v>222</v>
      </c>
      <c r="D365" s="2" t="s">
        <v>82</v>
      </c>
      <c r="E365" s="2" t="s">
        <v>82</v>
      </c>
      <c r="F365" s="2" t="s">
        <v>53</v>
      </c>
      <c r="G365" s="2" t="s">
        <v>53</v>
      </c>
      <c r="H365" s="2" t="s">
        <v>54</v>
      </c>
      <c r="I365" s="2" t="s">
        <v>54</v>
      </c>
      <c r="J365" s="2" t="s">
        <v>881</v>
      </c>
      <c r="K365" s="2" t="s">
        <v>237</v>
      </c>
      <c r="L365" s="2" t="s">
        <v>404</v>
      </c>
      <c r="M365" s="2" t="s">
        <v>57</v>
      </c>
      <c r="N365" s="3"/>
      <c r="O365" s="3"/>
      <c r="P365" s="3"/>
      <c r="Q365" s="3"/>
      <c r="R365" s="3"/>
      <c r="S365" s="3"/>
      <c r="T365" s="3"/>
      <c r="U365" s="3"/>
      <c r="V365" s="3"/>
      <c r="W365" s="3"/>
      <c r="X365" s="3"/>
      <c r="Y365" s="3"/>
      <c r="Z365" s="3"/>
    </row>
    <row r="366" spans="1:26" hidden="1" x14ac:dyDescent="0.3">
      <c r="A366" s="2" t="s">
        <v>467</v>
      </c>
      <c r="B366" s="2" t="s">
        <v>222</v>
      </c>
      <c r="C366" s="2" t="s">
        <v>222</v>
      </c>
      <c r="D366" s="2" t="s">
        <v>82</v>
      </c>
      <c r="E366" s="2" t="s">
        <v>82</v>
      </c>
      <c r="F366" s="2" t="s">
        <v>53</v>
      </c>
      <c r="G366" s="2" t="s">
        <v>53</v>
      </c>
      <c r="H366" s="2" t="s">
        <v>54</v>
      </c>
      <c r="I366" s="2" t="s">
        <v>54</v>
      </c>
      <c r="J366" s="2" t="s">
        <v>881</v>
      </c>
      <c r="K366" s="2" t="s">
        <v>237</v>
      </c>
      <c r="L366" s="2" t="s">
        <v>404</v>
      </c>
      <c r="M366" s="2" t="s">
        <v>57</v>
      </c>
      <c r="N366" s="3"/>
      <c r="O366" s="3"/>
      <c r="P366" s="3"/>
      <c r="Q366" s="3"/>
      <c r="R366" s="3"/>
      <c r="S366" s="3"/>
      <c r="T366" s="3"/>
      <c r="U366" s="3"/>
      <c r="V366" s="3"/>
      <c r="W366" s="3"/>
      <c r="X366" s="3"/>
      <c r="Y366" s="3"/>
      <c r="Z366" s="3"/>
    </row>
    <row r="367" spans="1:26" hidden="1" x14ac:dyDescent="0.3">
      <c r="A367" s="2" t="s">
        <v>467</v>
      </c>
      <c r="B367" s="2" t="s">
        <v>222</v>
      </c>
      <c r="C367" s="2" t="s">
        <v>222</v>
      </c>
      <c r="D367" s="2" t="s">
        <v>151</v>
      </c>
      <c r="E367" s="2" t="s">
        <v>151</v>
      </c>
      <c r="F367" s="2" t="s">
        <v>53</v>
      </c>
      <c r="G367" s="2" t="s">
        <v>53</v>
      </c>
      <c r="H367" s="2" t="s">
        <v>54</v>
      </c>
      <c r="I367" s="2" t="s">
        <v>54</v>
      </c>
      <c r="J367" s="2"/>
      <c r="K367" s="2"/>
      <c r="L367" s="2" t="s">
        <v>404</v>
      </c>
      <c r="M367" s="2" t="s">
        <v>57</v>
      </c>
      <c r="N367" s="3"/>
      <c r="O367" s="3"/>
      <c r="P367" s="3"/>
      <c r="Q367" s="3"/>
      <c r="R367" s="3"/>
      <c r="S367" s="3"/>
      <c r="T367" s="3"/>
      <c r="U367" s="3"/>
      <c r="V367" s="3"/>
      <c r="W367" s="3"/>
      <c r="X367" s="3"/>
      <c r="Y367" s="3"/>
      <c r="Z367" s="3"/>
    </row>
    <row r="368" spans="1:26" hidden="1" x14ac:dyDescent="0.3">
      <c r="A368" s="2" t="s">
        <v>467</v>
      </c>
      <c r="B368" s="2" t="s">
        <v>222</v>
      </c>
      <c r="C368" s="2" t="s">
        <v>222</v>
      </c>
      <c r="D368" s="2" t="s">
        <v>82</v>
      </c>
      <c r="E368" s="2" t="s">
        <v>82</v>
      </c>
      <c r="F368" s="2" t="s">
        <v>53</v>
      </c>
      <c r="G368" s="2" t="s">
        <v>53</v>
      </c>
      <c r="H368" s="2" t="s">
        <v>54</v>
      </c>
      <c r="I368" s="2" t="s">
        <v>54</v>
      </c>
      <c r="J368" s="2"/>
      <c r="K368" s="2"/>
      <c r="L368" s="2" t="s">
        <v>404</v>
      </c>
      <c r="M368" s="2" t="s">
        <v>57</v>
      </c>
      <c r="N368" s="3"/>
      <c r="O368" s="3"/>
      <c r="P368" s="3"/>
      <c r="Q368" s="3"/>
      <c r="R368" s="3"/>
      <c r="S368" s="3"/>
      <c r="T368" s="3"/>
      <c r="U368" s="3"/>
      <c r="V368" s="3"/>
      <c r="W368" s="3"/>
      <c r="X368" s="3"/>
      <c r="Y368" s="3"/>
      <c r="Z368" s="3"/>
    </row>
    <row r="369" spans="1:26" hidden="1" x14ac:dyDescent="0.3">
      <c r="A369" s="2" t="s">
        <v>467</v>
      </c>
      <c r="B369" s="2" t="s">
        <v>239</v>
      </c>
      <c r="C369" s="2" t="s">
        <v>239</v>
      </c>
      <c r="D369" s="2" t="s">
        <v>82</v>
      </c>
      <c r="E369" s="2" t="s">
        <v>82</v>
      </c>
      <c r="F369" s="2" t="s">
        <v>53</v>
      </c>
      <c r="G369" s="2" t="s">
        <v>53</v>
      </c>
      <c r="H369" s="2" t="s">
        <v>54</v>
      </c>
      <c r="I369" s="2" t="s">
        <v>54</v>
      </c>
      <c r="J369" s="2" t="s">
        <v>882</v>
      </c>
      <c r="K369" s="2" t="s">
        <v>883</v>
      </c>
      <c r="L369" s="2" t="s">
        <v>404</v>
      </c>
      <c r="M369" s="2" t="s">
        <v>72</v>
      </c>
      <c r="N369" s="3"/>
      <c r="O369" s="3"/>
      <c r="P369" s="3"/>
      <c r="Q369" s="3"/>
      <c r="R369" s="3"/>
      <c r="S369" s="3"/>
      <c r="T369" s="3"/>
      <c r="U369" s="3"/>
      <c r="V369" s="3"/>
      <c r="W369" s="3"/>
      <c r="X369" s="3"/>
      <c r="Y369" s="3"/>
      <c r="Z369" s="3"/>
    </row>
    <row r="370" spans="1:26" hidden="1" x14ac:dyDescent="0.3">
      <c r="A370" s="2" t="s">
        <v>467</v>
      </c>
      <c r="B370" s="2" t="s">
        <v>239</v>
      </c>
      <c r="C370" s="2" t="s">
        <v>239</v>
      </c>
      <c r="D370" s="2" t="s">
        <v>151</v>
      </c>
      <c r="E370" s="2" t="s">
        <v>151</v>
      </c>
      <c r="F370" s="2" t="s">
        <v>53</v>
      </c>
      <c r="G370" s="2" t="s">
        <v>53</v>
      </c>
      <c r="H370" s="2" t="s">
        <v>54</v>
      </c>
      <c r="I370" s="2" t="s">
        <v>54</v>
      </c>
      <c r="J370" s="2" t="s">
        <v>884</v>
      </c>
      <c r="K370" s="2" t="s">
        <v>883</v>
      </c>
      <c r="L370" s="2" t="s">
        <v>404</v>
      </c>
      <c r="M370" s="2" t="s">
        <v>72</v>
      </c>
      <c r="N370" s="3"/>
      <c r="O370" s="3"/>
      <c r="P370" s="3"/>
      <c r="Q370" s="3"/>
      <c r="R370" s="3"/>
      <c r="S370" s="3"/>
      <c r="T370" s="3"/>
      <c r="U370" s="3"/>
      <c r="V370" s="3"/>
      <c r="W370" s="3"/>
      <c r="X370" s="3"/>
      <c r="Y370" s="3"/>
      <c r="Z370" s="3"/>
    </row>
    <row r="371" spans="1:26" hidden="1" x14ac:dyDescent="0.3">
      <c r="A371" s="2" t="s">
        <v>467</v>
      </c>
      <c r="B371" s="2" t="s">
        <v>239</v>
      </c>
      <c r="C371" s="2" t="s">
        <v>239</v>
      </c>
      <c r="D371" s="2" t="s">
        <v>151</v>
      </c>
      <c r="E371" s="2" t="s">
        <v>151</v>
      </c>
      <c r="F371" s="2" t="s">
        <v>53</v>
      </c>
      <c r="G371" s="2" t="s">
        <v>53</v>
      </c>
      <c r="H371" s="2" t="s">
        <v>244</v>
      </c>
      <c r="I371" s="2" t="s">
        <v>244</v>
      </c>
      <c r="J371" s="2" t="s">
        <v>245</v>
      </c>
      <c r="K371" s="2" t="s">
        <v>246</v>
      </c>
      <c r="L371" s="2" t="s">
        <v>404</v>
      </c>
      <c r="M371" s="2" t="s">
        <v>72</v>
      </c>
      <c r="N371" s="3"/>
      <c r="O371" s="3"/>
      <c r="P371" s="3"/>
      <c r="Q371" s="3"/>
      <c r="R371" s="3"/>
      <c r="S371" s="3"/>
      <c r="T371" s="3"/>
      <c r="U371" s="3"/>
      <c r="V371" s="3"/>
      <c r="W371" s="3"/>
      <c r="X371" s="3"/>
      <c r="Y371" s="3"/>
      <c r="Z371" s="3"/>
    </row>
    <row r="372" spans="1:26" hidden="1" x14ac:dyDescent="0.3">
      <c r="A372" s="2" t="s">
        <v>467</v>
      </c>
      <c r="B372" s="2" t="s">
        <v>239</v>
      </c>
      <c r="C372" s="2" t="s">
        <v>239</v>
      </c>
      <c r="D372" s="2" t="s">
        <v>151</v>
      </c>
      <c r="E372" s="2" t="s">
        <v>151</v>
      </c>
      <c r="F372" s="2" t="s">
        <v>53</v>
      </c>
      <c r="G372" s="2" t="s">
        <v>53</v>
      </c>
      <c r="H372" s="2" t="s">
        <v>54</v>
      </c>
      <c r="I372" s="2" t="s">
        <v>54</v>
      </c>
      <c r="J372" s="2" t="s">
        <v>247</v>
      </c>
      <c r="K372" s="2" t="s">
        <v>248</v>
      </c>
      <c r="L372" s="2" t="s">
        <v>404</v>
      </c>
      <c r="M372" s="2" t="s">
        <v>72</v>
      </c>
      <c r="N372" s="3"/>
      <c r="O372" s="3"/>
      <c r="P372" s="3"/>
      <c r="Q372" s="3"/>
      <c r="R372" s="3"/>
      <c r="S372" s="3"/>
      <c r="T372" s="3"/>
      <c r="U372" s="3"/>
      <c r="V372" s="3"/>
      <c r="W372" s="3"/>
      <c r="X372" s="3"/>
      <c r="Y372" s="3"/>
      <c r="Z372" s="3"/>
    </row>
    <row r="373" spans="1:26" hidden="1" x14ac:dyDescent="0.3">
      <c r="A373" s="2" t="s">
        <v>467</v>
      </c>
      <c r="B373" s="2" t="s">
        <v>239</v>
      </c>
      <c r="C373" s="2" t="s">
        <v>239</v>
      </c>
      <c r="D373" s="2" t="s">
        <v>82</v>
      </c>
      <c r="E373" s="2" t="s">
        <v>82</v>
      </c>
      <c r="F373" s="2" t="s">
        <v>53</v>
      </c>
      <c r="G373" s="2" t="s">
        <v>53</v>
      </c>
      <c r="H373" s="2" t="s">
        <v>54</v>
      </c>
      <c r="I373" s="2" t="s">
        <v>54</v>
      </c>
      <c r="J373" s="2" t="s">
        <v>885</v>
      </c>
      <c r="K373" s="2" t="s">
        <v>250</v>
      </c>
      <c r="L373" s="2" t="s">
        <v>404</v>
      </c>
      <c r="M373" s="2" t="s">
        <v>72</v>
      </c>
      <c r="N373" s="3"/>
      <c r="O373" s="3"/>
      <c r="P373" s="3"/>
      <c r="Q373" s="3"/>
      <c r="R373" s="3"/>
      <c r="S373" s="3"/>
      <c r="T373" s="3"/>
      <c r="U373" s="3"/>
      <c r="V373" s="3"/>
      <c r="W373" s="3"/>
      <c r="X373" s="3"/>
      <c r="Y373" s="3"/>
      <c r="Z373" s="3"/>
    </row>
    <row r="374" spans="1:26" hidden="1" x14ac:dyDescent="0.3">
      <c r="A374" s="2" t="s">
        <v>467</v>
      </c>
      <c r="B374" s="2" t="s">
        <v>239</v>
      </c>
      <c r="C374" s="2" t="s">
        <v>239</v>
      </c>
      <c r="D374" s="2" t="s">
        <v>82</v>
      </c>
      <c r="E374" s="2" t="s">
        <v>82</v>
      </c>
      <c r="F374" s="2" t="s">
        <v>53</v>
      </c>
      <c r="G374" s="2" t="s">
        <v>53</v>
      </c>
      <c r="H374" s="2" t="s">
        <v>54</v>
      </c>
      <c r="I374" s="2" t="s">
        <v>54</v>
      </c>
      <c r="J374" s="2" t="s">
        <v>551</v>
      </c>
      <c r="K374" s="2" t="s">
        <v>886</v>
      </c>
      <c r="L374" s="2" t="s">
        <v>404</v>
      </c>
      <c r="M374" s="2" t="s">
        <v>72</v>
      </c>
      <c r="N374" s="3"/>
      <c r="O374" s="3"/>
      <c r="P374" s="3"/>
      <c r="Q374" s="3"/>
      <c r="R374" s="3"/>
      <c r="S374" s="3"/>
      <c r="T374" s="3"/>
      <c r="U374" s="3"/>
      <c r="V374" s="3"/>
      <c r="W374" s="3"/>
      <c r="X374" s="3"/>
      <c r="Y374" s="3"/>
      <c r="Z374" s="3"/>
    </row>
    <row r="375" spans="1:26" hidden="1" x14ac:dyDescent="0.3">
      <c r="A375" s="2" t="s">
        <v>467</v>
      </c>
      <c r="B375" s="2" t="s">
        <v>239</v>
      </c>
      <c r="C375" s="2" t="s">
        <v>239</v>
      </c>
      <c r="D375" s="2" t="s">
        <v>151</v>
      </c>
      <c r="E375" s="2" t="s">
        <v>151</v>
      </c>
      <c r="F375" s="2" t="s">
        <v>53</v>
      </c>
      <c r="G375" s="2" t="s">
        <v>53</v>
      </c>
      <c r="H375" s="2" t="s">
        <v>99</v>
      </c>
      <c r="I375" s="2" t="s">
        <v>99</v>
      </c>
      <c r="J375" s="2" t="s">
        <v>887</v>
      </c>
      <c r="K375" s="2" t="s">
        <v>252</v>
      </c>
      <c r="L375" s="2" t="s">
        <v>404</v>
      </c>
      <c r="M375" s="2" t="s">
        <v>72</v>
      </c>
      <c r="N375" s="3"/>
      <c r="O375" s="3"/>
      <c r="P375" s="3"/>
      <c r="Q375" s="3"/>
      <c r="R375" s="3"/>
      <c r="S375" s="3"/>
      <c r="T375" s="3"/>
      <c r="U375" s="3"/>
      <c r="V375" s="3"/>
      <c r="W375" s="3"/>
      <c r="X375" s="3"/>
      <c r="Y375" s="3"/>
      <c r="Z375" s="3"/>
    </row>
    <row r="376" spans="1:26" hidden="1" x14ac:dyDescent="0.3">
      <c r="A376" s="2" t="s">
        <v>467</v>
      </c>
      <c r="B376" s="2" t="s">
        <v>239</v>
      </c>
      <c r="C376" s="2" t="s">
        <v>239</v>
      </c>
      <c r="D376" s="2" t="s">
        <v>151</v>
      </c>
      <c r="E376" s="2" t="s">
        <v>151</v>
      </c>
      <c r="F376" s="2" t="s">
        <v>53</v>
      </c>
      <c r="G376" s="2" t="s">
        <v>53</v>
      </c>
      <c r="H376" s="2" t="s">
        <v>99</v>
      </c>
      <c r="I376" s="2" t="s">
        <v>99</v>
      </c>
      <c r="J376" s="2" t="s">
        <v>251</v>
      </c>
      <c r="K376" s="2" t="s">
        <v>252</v>
      </c>
      <c r="L376" s="2" t="s">
        <v>404</v>
      </c>
      <c r="M376" s="2" t="s">
        <v>72</v>
      </c>
      <c r="N376" s="3"/>
      <c r="O376" s="3"/>
      <c r="P376" s="3"/>
      <c r="Q376" s="3"/>
      <c r="R376" s="3"/>
      <c r="S376" s="3"/>
      <c r="T376" s="3"/>
      <c r="U376" s="3"/>
      <c r="V376" s="3"/>
      <c r="W376" s="3"/>
      <c r="X376" s="3"/>
      <c r="Y376" s="3"/>
      <c r="Z376" s="3"/>
    </row>
    <row r="377" spans="1:26" hidden="1" x14ac:dyDescent="0.3">
      <c r="A377" s="2" t="s">
        <v>467</v>
      </c>
      <c r="B377" s="2" t="s">
        <v>239</v>
      </c>
      <c r="C377" s="2" t="s">
        <v>239</v>
      </c>
      <c r="D377" s="2" t="s">
        <v>151</v>
      </c>
      <c r="E377" s="2" t="s">
        <v>151</v>
      </c>
      <c r="F377" s="2" t="s">
        <v>53</v>
      </c>
      <c r="G377" s="2" t="s">
        <v>53</v>
      </c>
      <c r="H377" s="2" t="s">
        <v>54</v>
      </c>
      <c r="I377" s="2" t="s">
        <v>54</v>
      </c>
      <c r="J377" s="2" t="s">
        <v>253</v>
      </c>
      <c r="K377" s="2" t="s">
        <v>254</v>
      </c>
      <c r="L377" s="2" t="s">
        <v>404</v>
      </c>
      <c r="M377" s="2" t="s">
        <v>72</v>
      </c>
      <c r="N377" s="3"/>
      <c r="O377" s="3"/>
      <c r="P377" s="3"/>
      <c r="Q377" s="3"/>
      <c r="R377" s="3"/>
      <c r="S377" s="3"/>
      <c r="T377" s="3"/>
      <c r="U377" s="3"/>
      <c r="V377" s="3"/>
      <c r="W377" s="3"/>
      <c r="X377" s="3"/>
      <c r="Y377" s="3"/>
      <c r="Z377" s="3"/>
    </row>
    <row r="378" spans="1:26" hidden="1" x14ac:dyDescent="0.3">
      <c r="A378" s="2" t="s">
        <v>467</v>
      </c>
      <c r="B378" s="2" t="s">
        <v>239</v>
      </c>
      <c r="C378" s="2" t="s">
        <v>239</v>
      </c>
      <c r="D378" s="2" t="s">
        <v>82</v>
      </c>
      <c r="E378" s="2" t="s">
        <v>82</v>
      </c>
      <c r="F378" s="2" t="s">
        <v>53</v>
      </c>
      <c r="G378" s="2" t="s">
        <v>53</v>
      </c>
      <c r="H378" s="2" t="s">
        <v>54</v>
      </c>
      <c r="I378" s="2" t="s">
        <v>54</v>
      </c>
      <c r="J378" s="2" t="s">
        <v>255</v>
      </c>
      <c r="K378" s="2" t="s">
        <v>256</v>
      </c>
      <c r="L378" s="2" t="s">
        <v>404</v>
      </c>
      <c r="M378" s="2" t="s">
        <v>72</v>
      </c>
      <c r="N378" s="3"/>
      <c r="O378" s="3"/>
      <c r="P378" s="3"/>
      <c r="Q378" s="3"/>
      <c r="R378" s="3"/>
      <c r="S378" s="3"/>
      <c r="T378" s="3"/>
      <c r="U378" s="3"/>
      <c r="V378" s="3"/>
      <c r="W378" s="3"/>
      <c r="X378" s="3"/>
      <c r="Y378" s="3"/>
      <c r="Z378" s="3"/>
    </row>
    <row r="379" spans="1:26" hidden="1" x14ac:dyDescent="0.3">
      <c r="A379" s="2" t="s">
        <v>467</v>
      </c>
      <c r="B379" s="2" t="s">
        <v>239</v>
      </c>
      <c r="C379" s="2" t="s">
        <v>239</v>
      </c>
      <c r="D379" s="2" t="s">
        <v>151</v>
      </c>
      <c r="E379" s="2" t="s">
        <v>151</v>
      </c>
      <c r="F379" s="2" t="s">
        <v>53</v>
      </c>
      <c r="G379" s="2" t="s">
        <v>53</v>
      </c>
      <c r="H379" s="2" t="s">
        <v>99</v>
      </c>
      <c r="I379" s="2" t="s">
        <v>99</v>
      </c>
      <c r="J379" s="2" t="s">
        <v>257</v>
      </c>
      <c r="K379" s="2" t="s">
        <v>256</v>
      </c>
      <c r="L379" s="2" t="s">
        <v>404</v>
      </c>
      <c r="M379" s="2" t="s">
        <v>72</v>
      </c>
      <c r="N379" s="3"/>
      <c r="O379" s="3"/>
      <c r="P379" s="3"/>
      <c r="Q379" s="3"/>
      <c r="R379" s="3"/>
      <c r="S379" s="3"/>
      <c r="T379" s="3"/>
      <c r="U379" s="3"/>
      <c r="V379" s="3"/>
      <c r="W379" s="3"/>
      <c r="X379" s="3"/>
      <c r="Y379" s="3"/>
      <c r="Z379" s="3"/>
    </row>
    <row r="380" spans="1:26" hidden="1" x14ac:dyDescent="0.3">
      <c r="A380" s="2" t="s">
        <v>467</v>
      </c>
      <c r="B380" s="2" t="s">
        <v>239</v>
      </c>
      <c r="C380" s="2" t="s">
        <v>239</v>
      </c>
      <c r="D380" s="2" t="s">
        <v>82</v>
      </c>
      <c r="E380" s="2" t="s">
        <v>82</v>
      </c>
      <c r="F380" s="2" t="s">
        <v>53</v>
      </c>
      <c r="G380" s="2" t="s">
        <v>53</v>
      </c>
      <c r="H380" s="2" t="s">
        <v>54</v>
      </c>
      <c r="I380" s="2" t="s">
        <v>54</v>
      </c>
      <c r="J380" s="2" t="s">
        <v>888</v>
      </c>
      <c r="K380" s="2" t="s">
        <v>889</v>
      </c>
      <c r="L380" s="2" t="s">
        <v>404</v>
      </c>
      <c r="M380" s="2" t="s">
        <v>72</v>
      </c>
      <c r="N380" s="3"/>
      <c r="O380" s="3"/>
      <c r="P380" s="3"/>
      <c r="Q380" s="3"/>
      <c r="R380" s="3"/>
      <c r="S380" s="3"/>
      <c r="T380" s="3"/>
      <c r="U380" s="3"/>
      <c r="V380" s="3"/>
      <c r="W380" s="3"/>
      <c r="X380" s="3"/>
      <c r="Y380" s="3"/>
      <c r="Z380" s="3"/>
    </row>
    <row r="381" spans="1:26" hidden="1" x14ac:dyDescent="0.3">
      <c r="A381" s="2" t="s">
        <v>467</v>
      </c>
      <c r="B381" s="2" t="s">
        <v>239</v>
      </c>
      <c r="C381" s="2" t="s">
        <v>239</v>
      </c>
      <c r="D381" s="2" t="s">
        <v>82</v>
      </c>
      <c r="E381" s="2" t="s">
        <v>82</v>
      </c>
      <c r="F381" s="2" t="s">
        <v>53</v>
      </c>
      <c r="G381" s="2" t="s">
        <v>53</v>
      </c>
      <c r="H381" s="2" t="s">
        <v>890</v>
      </c>
      <c r="I381" s="2" t="s">
        <v>890</v>
      </c>
      <c r="J381" s="2" t="s">
        <v>260</v>
      </c>
      <c r="K381" s="2" t="s">
        <v>261</v>
      </c>
      <c r="L381" s="2" t="s">
        <v>404</v>
      </c>
      <c r="M381" s="2" t="s">
        <v>72</v>
      </c>
      <c r="N381" s="3"/>
      <c r="O381" s="3"/>
      <c r="P381" s="3"/>
      <c r="Q381" s="3"/>
      <c r="R381" s="3"/>
      <c r="S381" s="3"/>
      <c r="T381" s="3"/>
      <c r="U381" s="3"/>
      <c r="V381" s="3"/>
      <c r="W381" s="3"/>
      <c r="X381" s="3"/>
      <c r="Y381" s="3"/>
      <c r="Z381" s="3"/>
    </row>
    <row r="382" spans="1:26" hidden="1" x14ac:dyDescent="0.3">
      <c r="A382" s="2" t="s">
        <v>467</v>
      </c>
      <c r="B382" s="2" t="s">
        <v>239</v>
      </c>
      <c r="C382" s="2" t="s">
        <v>239</v>
      </c>
      <c r="D382" s="2" t="s">
        <v>82</v>
      </c>
      <c r="E382" s="2" t="s">
        <v>82</v>
      </c>
      <c r="F382" s="2" t="s">
        <v>53</v>
      </c>
      <c r="G382" s="2" t="s">
        <v>53</v>
      </c>
      <c r="H382" s="2" t="s">
        <v>54</v>
      </c>
      <c r="I382" s="2" t="s">
        <v>54</v>
      </c>
      <c r="J382" s="2" t="s">
        <v>262</v>
      </c>
      <c r="K382" s="2" t="s">
        <v>263</v>
      </c>
      <c r="L382" s="2" t="s">
        <v>404</v>
      </c>
      <c r="M382" s="2" t="s">
        <v>72</v>
      </c>
      <c r="N382" s="3"/>
      <c r="O382" s="3"/>
      <c r="P382" s="3"/>
      <c r="Q382" s="3"/>
      <c r="R382" s="3"/>
      <c r="S382" s="3"/>
      <c r="T382" s="3"/>
      <c r="U382" s="3"/>
      <c r="V382" s="3"/>
      <c r="W382" s="3"/>
      <c r="X382" s="3"/>
      <c r="Y382" s="3"/>
      <c r="Z382" s="3"/>
    </row>
    <row r="383" spans="1:26" hidden="1" x14ac:dyDescent="0.3">
      <c r="A383" s="2" t="s">
        <v>467</v>
      </c>
      <c r="B383" s="2" t="s">
        <v>239</v>
      </c>
      <c r="C383" s="2" t="s">
        <v>239</v>
      </c>
      <c r="D383" s="2" t="s">
        <v>151</v>
      </c>
      <c r="E383" s="2" t="s">
        <v>151</v>
      </c>
      <c r="F383" s="2" t="s">
        <v>53</v>
      </c>
      <c r="G383" s="2" t="s">
        <v>53</v>
      </c>
      <c r="H383" s="2" t="s">
        <v>54</v>
      </c>
      <c r="I383" s="2" t="s">
        <v>54</v>
      </c>
      <c r="J383" s="2" t="s">
        <v>264</v>
      </c>
      <c r="K383" s="2" t="s">
        <v>265</v>
      </c>
      <c r="L383" s="2" t="s">
        <v>404</v>
      </c>
      <c r="M383" s="2" t="s">
        <v>72</v>
      </c>
      <c r="N383" s="3"/>
      <c r="O383" s="3"/>
      <c r="P383" s="3"/>
      <c r="Q383" s="3"/>
      <c r="R383" s="3"/>
      <c r="S383" s="3"/>
      <c r="T383" s="3"/>
      <c r="U383" s="3"/>
      <c r="V383" s="3"/>
      <c r="W383" s="3"/>
      <c r="X383" s="3"/>
      <c r="Y383" s="3"/>
      <c r="Z383" s="3"/>
    </row>
    <row r="384" spans="1:26" hidden="1" x14ac:dyDescent="0.3">
      <c r="A384" s="2" t="s">
        <v>467</v>
      </c>
      <c r="B384" s="2" t="s">
        <v>239</v>
      </c>
      <c r="C384" s="2" t="s">
        <v>239</v>
      </c>
      <c r="D384" s="2" t="s">
        <v>217</v>
      </c>
      <c r="E384" s="2" t="s">
        <v>217</v>
      </c>
      <c r="F384" s="2" t="s">
        <v>53</v>
      </c>
      <c r="G384" s="2" t="s">
        <v>53</v>
      </c>
      <c r="H384" s="2" t="s">
        <v>54</v>
      </c>
      <c r="I384" s="2" t="s">
        <v>54</v>
      </c>
      <c r="J384" s="2" t="s">
        <v>266</v>
      </c>
      <c r="K384" s="2" t="s">
        <v>267</v>
      </c>
      <c r="L384" s="2" t="s">
        <v>404</v>
      </c>
      <c r="M384" s="2" t="s">
        <v>72</v>
      </c>
      <c r="N384" s="3"/>
      <c r="O384" s="3"/>
      <c r="P384" s="3"/>
      <c r="Q384" s="3"/>
      <c r="R384" s="3"/>
      <c r="S384" s="3"/>
      <c r="T384" s="3"/>
      <c r="U384" s="3"/>
      <c r="V384" s="3"/>
      <c r="W384" s="3"/>
      <c r="X384" s="3"/>
      <c r="Y384" s="3"/>
      <c r="Z384" s="3"/>
    </row>
    <row r="385" spans="1:26" hidden="1" x14ac:dyDescent="0.3">
      <c r="A385" s="2" t="s">
        <v>467</v>
      </c>
      <c r="B385" s="2" t="s">
        <v>239</v>
      </c>
      <c r="C385" s="2" t="s">
        <v>239</v>
      </c>
      <c r="D385" s="2" t="s">
        <v>82</v>
      </c>
      <c r="E385" s="2" t="s">
        <v>82</v>
      </c>
      <c r="F385" s="2" t="s">
        <v>53</v>
      </c>
      <c r="G385" s="2" t="s">
        <v>53</v>
      </c>
      <c r="H385" s="2" t="s">
        <v>54</v>
      </c>
      <c r="I385" s="2" t="s">
        <v>54</v>
      </c>
      <c r="J385" s="2" t="s">
        <v>891</v>
      </c>
      <c r="K385" s="2" t="s">
        <v>237</v>
      </c>
      <c r="L385" s="2" t="s">
        <v>404</v>
      </c>
      <c r="M385" s="2" t="s">
        <v>72</v>
      </c>
      <c r="N385" s="3"/>
      <c r="O385" s="3"/>
      <c r="P385" s="3"/>
      <c r="Q385" s="3"/>
      <c r="R385" s="3"/>
      <c r="S385" s="3"/>
      <c r="T385" s="3"/>
      <c r="U385" s="3"/>
      <c r="V385" s="3"/>
      <c r="W385" s="3"/>
      <c r="X385" s="3"/>
      <c r="Y385" s="3"/>
      <c r="Z385" s="3"/>
    </row>
    <row r="386" spans="1:26" hidden="1" x14ac:dyDescent="0.3">
      <c r="A386" s="2" t="s">
        <v>467</v>
      </c>
      <c r="B386" s="2" t="s">
        <v>239</v>
      </c>
      <c r="C386" s="2" t="s">
        <v>239</v>
      </c>
      <c r="D386" s="2" t="s">
        <v>217</v>
      </c>
      <c r="E386" s="2" t="s">
        <v>217</v>
      </c>
      <c r="F386" s="2" t="s">
        <v>53</v>
      </c>
      <c r="G386" s="2" t="s">
        <v>53</v>
      </c>
      <c r="H386" s="2" t="s">
        <v>54</v>
      </c>
      <c r="I386" s="2" t="s">
        <v>54</v>
      </c>
      <c r="J386" s="2" t="s">
        <v>892</v>
      </c>
      <c r="K386" s="2" t="s">
        <v>237</v>
      </c>
      <c r="L386" s="2" t="s">
        <v>404</v>
      </c>
      <c r="M386" s="2" t="s">
        <v>72</v>
      </c>
      <c r="N386" s="3"/>
      <c r="O386" s="3"/>
      <c r="P386" s="3"/>
      <c r="Q386" s="3"/>
      <c r="R386" s="3"/>
      <c r="S386" s="3"/>
      <c r="T386" s="3"/>
      <c r="U386" s="3"/>
      <c r="V386" s="3"/>
      <c r="W386" s="3"/>
      <c r="X386" s="3"/>
      <c r="Y386" s="3"/>
      <c r="Z386" s="3"/>
    </row>
    <row r="387" spans="1:26" hidden="1" x14ac:dyDescent="0.3">
      <c r="A387" s="2" t="s">
        <v>467</v>
      </c>
      <c r="B387" s="2" t="s">
        <v>239</v>
      </c>
      <c r="C387" s="2" t="s">
        <v>239</v>
      </c>
      <c r="D387" s="2" t="s">
        <v>82</v>
      </c>
      <c r="E387" s="2" t="s">
        <v>82</v>
      </c>
      <c r="F387" s="2" t="s">
        <v>53</v>
      </c>
      <c r="G387" s="2" t="s">
        <v>53</v>
      </c>
      <c r="H387" s="2" t="s">
        <v>54</v>
      </c>
      <c r="I387" s="2" t="s">
        <v>54</v>
      </c>
      <c r="J387" s="2" t="s">
        <v>235</v>
      </c>
      <c r="K387" s="2" t="s">
        <v>893</v>
      </c>
      <c r="L387" s="2" t="s">
        <v>404</v>
      </c>
      <c r="M387" s="2" t="s">
        <v>72</v>
      </c>
      <c r="N387" s="3"/>
      <c r="O387" s="3"/>
      <c r="P387" s="3"/>
      <c r="Q387" s="3"/>
      <c r="R387" s="3"/>
      <c r="S387" s="3"/>
      <c r="T387" s="3"/>
      <c r="U387" s="3"/>
      <c r="V387" s="3"/>
      <c r="W387" s="3"/>
      <c r="X387" s="3"/>
      <c r="Y387" s="3"/>
      <c r="Z387" s="3"/>
    </row>
    <row r="388" spans="1:26" hidden="1" x14ac:dyDescent="0.3">
      <c r="A388" s="2" t="s">
        <v>467</v>
      </c>
      <c r="B388" s="2" t="s">
        <v>239</v>
      </c>
      <c r="C388" s="2" t="s">
        <v>239</v>
      </c>
      <c r="D388" s="2" t="s">
        <v>82</v>
      </c>
      <c r="E388" s="2" t="s">
        <v>82</v>
      </c>
      <c r="F388" s="2" t="s">
        <v>53</v>
      </c>
      <c r="G388" s="2" t="s">
        <v>53</v>
      </c>
      <c r="H388" s="2" t="s">
        <v>894</v>
      </c>
      <c r="I388" s="2" t="s">
        <v>894</v>
      </c>
      <c r="J388" s="2" t="s">
        <v>895</v>
      </c>
      <c r="K388" s="2" t="s">
        <v>270</v>
      </c>
      <c r="L388" s="2" t="s">
        <v>404</v>
      </c>
      <c r="M388" s="2" t="s">
        <v>72</v>
      </c>
      <c r="N388" s="3"/>
      <c r="O388" s="3"/>
      <c r="P388" s="3"/>
      <c r="Q388" s="3"/>
      <c r="R388" s="3"/>
      <c r="S388" s="3"/>
      <c r="T388" s="3"/>
      <c r="U388" s="3"/>
      <c r="V388" s="3"/>
      <c r="W388" s="3"/>
      <c r="X388" s="3"/>
      <c r="Y388" s="3"/>
      <c r="Z388" s="3"/>
    </row>
    <row r="389" spans="1:26" hidden="1" x14ac:dyDescent="0.3">
      <c r="A389" s="2" t="s">
        <v>467</v>
      </c>
      <c r="B389" s="2" t="s">
        <v>239</v>
      </c>
      <c r="C389" s="2" t="s">
        <v>239</v>
      </c>
      <c r="D389" s="2" t="s">
        <v>400</v>
      </c>
      <c r="E389" s="2" t="s">
        <v>400</v>
      </c>
      <c r="F389" s="2" t="s">
        <v>53</v>
      </c>
      <c r="G389" s="2" t="s">
        <v>53</v>
      </c>
      <c r="H389" s="2" t="s">
        <v>54</v>
      </c>
      <c r="I389" s="2" t="s">
        <v>54</v>
      </c>
      <c r="J389" s="2" t="s">
        <v>896</v>
      </c>
      <c r="K389" s="2"/>
      <c r="L389" s="2" t="s">
        <v>404</v>
      </c>
      <c r="M389" s="2" t="s">
        <v>72</v>
      </c>
      <c r="N389" s="3"/>
      <c r="O389" s="3"/>
      <c r="P389" s="3"/>
      <c r="Q389" s="3"/>
      <c r="R389" s="3"/>
      <c r="S389" s="3"/>
      <c r="T389" s="3"/>
      <c r="U389" s="3"/>
      <c r="V389" s="3"/>
      <c r="W389" s="3"/>
      <c r="X389" s="3"/>
      <c r="Y389" s="3"/>
      <c r="Z389" s="3"/>
    </row>
    <row r="390" spans="1:26" hidden="1" x14ac:dyDescent="0.3">
      <c r="A390" s="2" t="s">
        <v>467</v>
      </c>
      <c r="B390" s="2" t="s">
        <v>239</v>
      </c>
      <c r="C390" s="2" t="s">
        <v>239</v>
      </c>
      <c r="D390" s="2" t="s">
        <v>62</v>
      </c>
      <c r="E390" s="2" t="s">
        <v>62</v>
      </c>
      <c r="F390" s="2" t="s">
        <v>53</v>
      </c>
      <c r="G390" s="2" t="s">
        <v>53</v>
      </c>
      <c r="H390" s="2" t="s">
        <v>54</v>
      </c>
      <c r="I390" s="2" t="s">
        <v>54</v>
      </c>
      <c r="J390" s="2" t="s">
        <v>63</v>
      </c>
      <c r="K390" s="2"/>
      <c r="L390" s="2" t="s">
        <v>404</v>
      </c>
      <c r="M390" s="2" t="s">
        <v>72</v>
      </c>
      <c r="N390" s="3"/>
      <c r="O390" s="3"/>
      <c r="P390" s="3"/>
      <c r="Q390" s="3"/>
      <c r="R390" s="3"/>
      <c r="S390" s="3"/>
      <c r="T390" s="3"/>
      <c r="U390" s="3"/>
      <c r="V390" s="3"/>
      <c r="W390" s="3"/>
      <c r="X390" s="3"/>
      <c r="Y390" s="3"/>
      <c r="Z390" s="3"/>
    </row>
    <row r="391" spans="1:26" hidden="1" x14ac:dyDescent="0.3">
      <c r="A391" s="2" t="s">
        <v>467</v>
      </c>
      <c r="B391" s="2" t="s">
        <v>239</v>
      </c>
      <c r="C391" s="2" t="s">
        <v>239</v>
      </c>
      <c r="D391" s="2" t="s">
        <v>64</v>
      </c>
      <c r="E391" s="2" t="s">
        <v>64</v>
      </c>
      <c r="F391" s="2" t="s">
        <v>53</v>
      </c>
      <c r="G391" s="2" t="s">
        <v>53</v>
      </c>
      <c r="H391" s="2" t="s">
        <v>54</v>
      </c>
      <c r="I391" s="2" t="s">
        <v>54</v>
      </c>
      <c r="J391" s="2" t="s">
        <v>65</v>
      </c>
      <c r="K391" s="2"/>
      <c r="L391" s="2" t="s">
        <v>404</v>
      </c>
      <c r="M391" s="2" t="s">
        <v>72</v>
      </c>
      <c r="N391" s="3"/>
      <c r="O391" s="3"/>
      <c r="P391" s="3"/>
      <c r="Q391" s="3"/>
      <c r="R391" s="3"/>
      <c r="S391" s="3"/>
      <c r="T391" s="3"/>
      <c r="U391" s="3"/>
      <c r="V391" s="3"/>
      <c r="W391" s="3"/>
      <c r="X391" s="3"/>
      <c r="Y391" s="3"/>
      <c r="Z391" s="3"/>
    </row>
    <row r="392" spans="1:26" hidden="1" x14ac:dyDescent="0.3">
      <c r="A392" s="2" t="s">
        <v>467</v>
      </c>
      <c r="B392" s="2" t="s">
        <v>271</v>
      </c>
      <c r="C392" s="2" t="s">
        <v>271</v>
      </c>
      <c r="D392" s="2" t="s">
        <v>400</v>
      </c>
      <c r="E392" s="2" t="s">
        <v>400</v>
      </c>
      <c r="F392" s="2" t="s">
        <v>53</v>
      </c>
      <c r="G392" s="2" t="s">
        <v>53</v>
      </c>
      <c r="H392" s="2" t="s">
        <v>54</v>
      </c>
      <c r="I392" s="2" t="s">
        <v>54</v>
      </c>
      <c r="J392" s="2"/>
      <c r="K392" s="2"/>
      <c r="L392" s="2" t="s">
        <v>404</v>
      </c>
      <c r="M392" s="2" t="s">
        <v>57</v>
      </c>
      <c r="N392" s="3"/>
      <c r="O392" s="3"/>
      <c r="P392" s="3"/>
      <c r="Q392" s="3"/>
      <c r="R392" s="3"/>
      <c r="S392" s="3"/>
      <c r="T392" s="3"/>
      <c r="U392" s="3"/>
      <c r="V392" s="3"/>
      <c r="W392" s="3"/>
      <c r="X392" s="3"/>
      <c r="Y392" s="3"/>
      <c r="Z392" s="3"/>
    </row>
    <row r="393" spans="1:26" hidden="1" x14ac:dyDescent="0.3">
      <c r="A393" s="2" t="s">
        <v>467</v>
      </c>
      <c r="B393" s="2" t="s">
        <v>271</v>
      </c>
      <c r="C393" s="2" t="s">
        <v>271</v>
      </c>
      <c r="D393" s="2" t="s">
        <v>135</v>
      </c>
      <c r="E393" s="2" t="s">
        <v>135</v>
      </c>
      <c r="F393" s="2" t="s">
        <v>53</v>
      </c>
      <c r="G393" s="2" t="s">
        <v>53</v>
      </c>
      <c r="H393" s="2" t="s">
        <v>54</v>
      </c>
      <c r="I393" s="2" t="s">
        <v>54</v>
      </c>
      <c r="J393" s="2"/>
      <c r="K393" s="2"/>
      <c r="L393" s="2" t="s">
        <v>404</v>
      </c>
      <c r="M393" s="2" t="s">
        <v>57</v>
      </c>
      <c r="N393" s="3"/>
      <c r="O393" s="3"/>
      <c r="P393" s="3"/>
      <c r="Q393" s="3"/>
      <c r="R393" s="3"/>
      <c r="S393" s="3"/>
      <c r="T393" s="3"/>
      <c r="U393" s="3"/>
      <c r="V393" s="3"/>
      <c r="W393" s="3"/>
      <c r="X393" s="3"/>
      <c r="Y393" s="3"/>
      <c r="Z393" s="3"/>
    </row>
    <row r="394" spans="1:26" hidden="1" x14ac:dyDescent="0.3">
      <c r="A394" s="2" t="s">
        <v>467</v>
      </c>
      <c r="B394" s="2" t="s">
        <v>271</v>
      </c>
      <c r="C394" s="2" t="s">
        <v>271</v>
      </c>
      <c r="D394" s="2" t="s">
        <v>151</v>
      </c>
      <c r="E394" s="2" t="s">
        <v>151</v>
      </c>
      <c r="F394" s="2" t="s">
        <v>53</v>
      </c>
      <c r="G394" s="2" t="s">
        <v>53</v>
      </c>
      <c r="H394" s="2" t="s">
        <v>54</v>
      </c>
      <c r="I394" s="2" t="s">
        <v>54</v>
      </c>
      <c r="J394" s="2"/>
      <c r="K394" s="2"/>
      <c r="L394" s="2" t="s">
        <v>404</v>
      </c>
      <c r="M394" s="2" t="s">
        <v>57</v>
      </c>
      <c r="N394" s="3"/>
      <c r="O394" s="3"/>
      <c r="P394" s="3"/>
      <c r="Q394" s="3"/>
      <c r="R394" s="3"/>
      <c r="S394" s="3"/>
      <c r="T394" s="3"/>
      <c r="U394" s="3"/>
      <c r="V394" s="3"/>
      <c r="W394" s="3"/>
      <c r="X394" s="3"/>
      <c r="Y394" s="3"/>
      <c r="Z394" s="3"/>
    </row>
    <row r="395" spans="1:26" hidden="1" x14ac:dyDescent="0.3">
      <c r="A395" s="2" t="s">
        <v>467</v>
      </c>
      <c r="B395" s="2" t="s">
        <v>271</v>
      </c>
      <c r="C395" s="2" t="s">
        <v>271</v>
      </c>
      <c r="D395" s="2" t="s">
        <v>200</v>
      </c>
      <c r="E395" s="2" t="s">
        <v>200</v>
      </c>
      <c r="F395" s="2" t="s">
        <v>53</v>
      </c>
      <c r="G395" s="2" t="s">
        <v>53</v>
      </c>
      <c r="H395" s="2" t="s">
        <v>54</v>
      </c>
      <c r="I395" s="2" t="s">
        <v>54</v>
      </c>
      <c r="J395" s="2"/>
      <c r="K395" s="2"/>
      <c r="L395" s="2" t="s">
        <v>404</v>
      </c>
      <c r="M395" s="2" t="s">
        <v>57</v>
      </c>
      <c r="N395" s="3"/>
      <c r="O395" s="3"/>
      <c r="P395" s="3"/>
      <c r="Q395" s="3"/>
      <c r="R395" s="3"/>
      <c r="S395" s="3"/>
      <c r="T395" s="3"/>
      <c r="U395" s="3"/>
      <c r="V395" s="3"/>
      <c r="W395" s="3"/>
      <c r="X395" s="3"/>
      <c r="Y395" s="3"/>
      <c r="Z395" s="3"/>
    </row>
    <row r="396" spans="1:26" hidden="1" x14ac:dyDescent="0.3">
      <c r="A396" s="2" t="s">
        <v>467</v>
      </c>
      <c r="B396" s="2" t="s">
        <v>271</v>
      </c>
      <c r="C396" s="2" t="s">
        <v>271</v>
      </c>
      <c r="D396" s="2" t="s">
        <v>82</v>
      </c>
      <c r="E396" s="2" t="s">
        <v>82</v>
      </c>
      <c r="F396" s="2" t="s">
        <v>53</v>
      </c>
      <c r="G396" s="2" t="s">
        <v>53</v>
      </c>
      <c r="H396" s="2" t="s">
        <v>54</v>
      </c>
      <c r="I396" s="2" t="s">
        <v>54</v>
      </c>
      <c r="J396" s="2"/>
      <c r="K396" s="2"/>
      <c r="L396" s="2" t="s">
        <v>404</v>
      </c>
      <c r="M396" s="2" t="s">
        <v>57</v>
      </c>
      <c r="N396" s="3"/>
      <c r="O396" s="3"/>
      <c r="P396" s="3"/>
      <c r="Q396" s="3"/>
      <c r="R396" s="3"/>
      <c r="S396" s="3"/>
      <c r="T396" s="3"/>
      <c r="U396" s="3"/>
      <c r="V396" s="3"/>
      <c r="W396" s="3"/>
      <c r="X396" s="3"/>
      <c r="Y396" s="3"/>
      <c r="Z396" s="3"/>
    </row>
    <row r="397" spans="1:26" hidden="1" x14ac:dyDescent="0.3">
      <c r="A397" s="2" t="s">
        <v>467</v>
      </c>
      <c r="B397" s="2" t="s">
        <v>274</v>
      </c>
      <c r="C397" s="2" t="s">
        <v>274</v>
      </c>
      <c r="D397" s="2" t="s">
        <v>151</v>
      </c>
      <c r="E397" s="2" t="s">
        <v>151</v>
      </c>
      <c r="F397" s="2" t="s">
        <v>53</v>
      </c>
      <c r="G397" s="2" t="s">
        <v>53</v>
      </c>
      <c r="H397" s="2" t="s">
        <v>54</v>
      </c>
      <c r="I397" s="2" t="s">
        <v>54</v>
      </c>
      <c r="J397" s="2" t="s">
        <v>275</v>
      </c>
      <c r="K397" s="2" t="s">
        <v>897</v>
      </c>
      <c r="L397" s="2" t="s">
        <v>404</v>
      </c>
      <c r="M397" s="2" t="s">
        <v>72</v>
      </c>
      <c r="N397" s="3"/>
      <c r="O397" s="3"/>
      <c r="P397" s="3"/>
      <c r="Q397" s="3"/>
      <c r="R397" s="3"/>
      <c r="S397" s="3"/>
      <c r="T397" s="3"/>
      <c r="U397" s="3"/>
      <c r="V397" s="3"/>
      <c r="W397" s="3"/>
      <c r="X397" s="3"/>
      <c r="Y397" s="3"/>
      <c r="Z397" s="3"/>
    </row>
    <row r="398" spans="1:26" hidden="1" x14ac:dyDescent="0.3">
      <c r="A398" s="2" t="s">
        <v>467</v>
      </c>
      <c r="B398" s="2" t="s">
        <v>274</v>
      </c>
      <c r="C398" s="2" t="s">
        <v>274</v>
      </c>
      <c r="D398" s="2" t="s">
        <v>151</v>
      </c>
      <c r="E398" s="2" t="s">
        <v>151</v>
      </c>
      <c r="F398" s="2" t="s">
        <v>53</v>
      </c>
      <c r="G398" s="2" t="s">
        <v>53</v>
      </c>
      <c r="H398" s="2" t="s">
        <v>277</v>
      </c>
      <c r="I398" s="2" t="s">
        <v>277</v>
      </c>
      <c r="J398" s="2" t="s">
        <v>278</v>
      </c>
      <c r="K398" s="2" t="s">
        <v>113</v>
      </c>
      <c r="L398" s="2" t="s">
        <v>404</v>
      </c>
      <c r="M398" s="2" t="s">
        <v>72</v>
      </c>
      <c r="N398" s="3"/>
      <c r="O398" s="3"/>
      <c r="P398" s="3"/>
      <c r="Q398" s="3"/>
      <c r="R398" s="3"/>
      <c r="S398" s="3"/>
      <c r="T398" s="3"/>
      <c r="U398" s="3"/>
      <c r="V398" s="3"/>
      <c r="W398" s="3"/>
      <c r="X398" s="3"/>
      <c r="Y398" s="3"/>
      <c r="Z398" s="3"/>
    </row>
    <row r="399" spans="1:26" hidden="1" x14ac:dyDescent="0.3">
      <c r="A399" s="2" t="s">
        <v>467</v>
      </c>
      <c r="B399" s="2" t="s">
        <v>274</v>
      </c>
      <c r="C399" s="2" t="s">
        <v>274</v>
      </c>
      <c r="D399" s="2" t="s">
        <v>151</v>
      </c>
      <c r="E399" s="2" t="s">
        <v>151</v>
      </c>
      <c r="F399" s="2" t="s">
        <v>53</v>
      </c>
      <c r="G399" s="2" t="s">
        <v>53</v>
      </c>
      <c r="H399" s="2" t="s">
        <v>54</v>
      </c>
      <c r="I399" s="2" t="s">
        <v>54</v>
      </c>
      <c r="J399" s="2" t="s">
        <v>272</v>
      </c>
      <c r="K399" s="2" t="s">
        <v>898</v>
      </c>
      <c r="L399" s="2" t="s">
        <v>404</v>
      </c>
      <c r="M399" s="2" t="s">
        <v>72</v>
      </c>
      <c r="N399" s="3"/>
      <c r="O399" s="3"/>
      <c r="P399" s="3"/>
      <c r="Q399" s="3"/>
      <c r="R399" s="3"/>
      <c r="S399" s="3"/>
      <c r="T399" s="3"/>
      <c r="U399" s="3"/>
      <c r="V399" s="3"/>
      <c r="W399" s="3"/>
      <c r="X399" s="3"/>
      <c r="Y399" s="3"/>
      <c r="Z399" s="3"/>
    </row>
    <row r="400" spans="1:26" hidden="1" x14ac:dyDescent="0.3">
      <c r="A400" s="2" t="s">
        <v>467</v>
      </c>
      <c r="B400" s="2" t="s">
        <v>274</v>
      </c>
      <c r="C400" s="2" t="s">
        <v>274</v>
      </c>
      <c r="D400" s="2" t="s">
        <v>151</v>
      </c>
      <c r="E400" s="2" t="s">
        <v>151</v>
      </c>
      <c r="F400" s="2" t="s">
        <v>286</v>
      </c>
      <c r="G400" s="2" t="s">
        <v>286</v>
      </c>
      <c r="H400" s="2" t="s">
        <v>287</v>
      </c>
      <c r="I400" s="2" t="s">
        <v>287</v>
      </c>
      <c r="J400" s="2" t="s">
        <v>899</v>
      </c>
      <c r="K400" s="2" t="s">
        <v>900</v>
      </c>
      <c r="L400" s="2" t="s">
        <v>404</v>
      </c>
      <c r="M400" s="2" t="s">
        <v>72</v>
      </c>
      <c r="N400" s="3"/>
      <c r="O400" s="3"/>
      <c r="P400" s="3"/>
      <c r="Q400" s="3"/>
      <c r="R400" s="3"/>
      <c r="S400" s="3"/>
      <c r="T400" s="3"/>
      <c r="U400" s="3"/>
      <c r="V400" s="3"/>
      <c r="W400" s="3"/>
      <c r="X400" s="3"/>
      <c r="Y400" s="3"/>
      <c r="Z400" s="3"/>
    </row>
    <row r="401" spans="1:26" hidden="1" x14ac:dyDescent="0.3">
      <c r="A401" s="2" t="s">
        <v>467</v>
      </c>
      <c r="B401" s="2" t="s">
        <v>274</v>
      </c>
      <c r="C401" s="2" t="s">
        <v>274</v>
      </c>
      <c r="D401" s="2" t="s">
        <v>151</v>
      </c>
      <c r="E401" s="2" t="s">
        <v>151</v>
      </c>
      <c r="F401" s="2" t="s">
        <v>53</v>
      </c>
      <c r="G401" s="2" t="s">
        <v>53</v>
      </c>
      <c r="H401" s="2" t="s">
        <v>287</v>
      </c>
      <c r="I401" s="2" t="s">
        <v>287</v>
      </c>
      <c r="J401" s="2" t="s">
        <v>899</v>
      </c>
      <c r="K401" s="2" t="s">
        <v>900</v>
      </c>
      <c r="L401" s="2" t="s">
        <v>404</v>
      </c>
      <c r="M401" s="2" t="s">
        <v>72</v>
      </c>
      <c r="N401" s="3"/>
      <c r="O401" s="3"/>
      <c r="P401" s="3"/>
      <c r="Q401" s="3"/>
      <c r="R401" s="3"/>
      <c r="S401" s="3"/>
      <c r="T401" s="3"/>
      <c r="U401" s="3"/>
      <c r="V401" s="3"/>
      <c r="W401" s="3"/>
      <c r="X401" s="3"/>
      <c r="Y401" s="3"/>
      <c r="Z401" s="3"/>
    </row>
    <row r="402" spans="1:26" hidden="1" x14ac:dyDescent="0.3">
      <c r="A402" s="2" t="s">
        <v>467</v>
      </c>
      <c r="B402" s="2" t="s">
        <v>274</v>
      </c>
      <c r="C402" s="2" t="s">
        <v>274</v>
      </c>
      <c r="D402" s="2" t="s">
        <v>151</v>
      </c>
      <c r="E402" s="2" t="s">
        <v>151</v>
      </c>
      <c r="F402" s="2" t="s">
        <v>53</v>
      </c>
      <c r="G402" s="2" t="s">
        <v>53</v>
      </c>
      <c r="H402" s="2" t="s">
        <v>901</v>
      </c>
      <c r="I402" s="2" t="s">
        <v>901</v>
      </c>
      <c r="J402" s="2" t="s">
        <v>899</v>
      </c>
      <c r="K402" s="2" t="s">
        <v>900</v>
      </c>
      <c r="L402" s="2" t="s">
        <v>404</v>
      </c>
      <c r="M402" s="2" t="s">
        <v>72</v>
      </c>
      <c r="N402" s="3"/>
      <c r="O402" s="3"/>
      <c r="P402" s="3"/>
      <c r="Q402" s="3"/>
      <c r="R402" s="3"/>
      <c r="S402" s="3"/>
      <c r="T402" s="3"/>
      <c r="U402" s="3"/>
      <c r="V402" s="3"/>
      <c r="W402" s="3"/>
      <c r="X402" s="3"/>
      <c r="Y402" s="3"/>
      <c r="Z402" s="3"/>
    </row>
    <row r="403" spans="1:26" hidden="1" x14ac:dyDescent="0.3">
      <c r="A403" s="2" t="s">
        <v>467</v>
      </c>
      <c r="B403" s="2" t="s">
        <v>274</v>
      </c>
      <c r="C403" s="2" t="s">
        <v>274</v>
      </c>
      <c r="D403" s="2" t="s">
        <v>217</v>
      </c>
      <c r="E403" s="2" t="s">
        <v>217</v>
      </c>
      <c r="F403" s="2" t="s">
        <v>53</v>
      </c>
      <c r="G403" s="2" t="s">
        <v>53</v>
      </c>
      <c r="H403" s="2" t="s">
        <v>54</v>
      </c>
      <c r="I403" s="2" t="s">
        <v>54</v>
      </c>
      <c r="J403" s="2" t="s">
        <v>301</v>
      </c>
      <c r="K403" s="2" t="s">
        <v>134</v>
      </c>
      <c r="L403" s="2" t="s">
        <v>404</v>
      </c>
      <c r="M403" s="2" t="s">
        <v>72</v>
      </c>
      <c r="N403" s="3"/>
      <c r="O403" s="3"/>
      <c r="P403" s="3"/>
      <c r="Q403" s="3"/>
      <c r="R403" s="3"/>
      <c r="S403" s="3"/>
      <c r="T403" s="3"/>
      <c r="U403" s="3"/>
      <c r="V403" s="3"/>
      <c r="W403" s="3"/>
      <c r="X403" s="3"/>
      <c r="Y403" s="3"/>
      <c r="Z403" s="3"/>
    </row>
    <row r="404" spans="1:26" hidden="1" x14ac:dyDescent="0.3">
      <c r="A404" s="2" t="s">
        <v>467</v>
      </c>
      <c r="B404" s="2" t="s">
        <v>274</v>
      </c>
      <c r="C404" s="2" t="s">
        <v>274</v>
      </c>
      <c r="D404" s="2" t="s">
        <v>82</v>
      </c>
      <c r="E404" s="2" t="s">
        <v>82</v>
      </c>
      <c r="F404" s="2" t="s">
        <v>53</v>
      </c>
      <c r="G404" s="2" t="s">
        <v>53</v>
      </c>
      <c r="H404" s="2" t="s">
        <v>281</v>
      </c>
      <c r="I404" s="2" t="s">
        <v>281</v>
      </c>
      <c r="J404" s="2" t="s">
        <v>282</v>
      </c>
      <c r="K404" s="2" t="s">
        <v>902</v>
      </c>
      <c r="L404" s="2" t="s">
        <v>404</v>
      </c>
      <c r="M404" s="2" t="s">
        <v>72</v>
      </c>
      <c r="N404" s="3"/>
      <c r="O404" s="3"/>
      <c r="P404" s="3"/>
      <c r="Q404" s="3"/>
      <c r="R404" s="3"/>
      <c r="S404" s="3"/>
      <c r="T404" s="3"/>
      <c r="U404" s="3"/>
      <c r="V404" s="3"/>
      <c r="W404" s="3"/>
      <c r="X404" s="3"/>
      <c r="Y404" s="3"/>
      <c r="Z404" s="3"/>
    </row>
    <row r="405" spans="1:26" hidden="1" x14ac:dyDescent="0.3">
      <c r="A405" s="2" t="s">
        <v>467</v>
      </c>
      <c r="B405" s="2" t="s">
        <v>274</v>
      </c>
      <c r="C405" s="2" t="s">
        <v>274</v>
      </c>
      <c r="D405" s="2" t="s">
        <v>135</v>
      </c>
      <c r="E405" s="2" t="s">
        <v>135</v>
      </c>
      <c r="F405" s="2" t="s">
        <v>53</v>
      </c>
      <c r="G405" s="2" t="s">
        <v>53</v>
      </c>
      <c r="H405" s="2" t="s">
        <v>903</v>
      </c>
      <c r="I405" s="2" t="s">
        <v>903</v>
      </c>
      <c r="J405" s="2" t="s">
        <v>279</v>
      </c>
      <c r="K405" s="2" t="s">
        <v>904</v>
      </c>
      <c r="L405" s="2" t="s">
        <v>404</v>
      </c>
      <c r="M405" s="2" t="s">
        <v>72</v>
      </c>
      <c r="N405" s="3"/>
      <c r="O405" s="3"/>
      <c r="P405" s="3"/>
      <c r="Q405" s="3"/>
      <c r="R405" s="3"/>
      <c r="S405" s="3"/>
      <c r="T405" s="3"/>
      <c r="U405" s="3"/>
      <c r="V405" s="3"/>
      <c r="W405" s="3"/>
      <c r="X405" s="3"/>
      <c r="Y405" s="3"/>
      <c r="Z405" s="3"/>
    </row>
    <row r="406" spans="1:26" hidden="1" x14ac:dyDescent="0.3">
      <c r="A406" s="2" t="s">
        <v>467</v>
      </c>
      <c r="B406" s="2" t="s">
        <v>274</v>
      </c>
      <c r="C406" s="2" t="s">
        <v>274</v>
      </c>
      <c r="D406" s="2" t="s">
        <v>82</v>
      </c>
      <c r="E406" s="2" t="s">
        <v>82</v>
      </c>
      <c r="F406" s="2" t="s">
        <v>53</v>
      </c>
      <c r="G406" s="2" t="s">
        <v>53</v>
      </c>
      <c r="H406" s="2" t="s">
        <v>287</v>
      </c>
      <c r="I406" s="2" t="s">
        <v>287</v>
      </c>
      <c r="J406" s="2" t="s">
        <v>905</v>
      </c>
      <c r="K406" s="2" t="s">
        <v>906</v>
      </c>
      <c r="L406" s="2" t="s">
        <v>404</v>
      </c>
      <c r="M406" s="2" t="s">
        <v>72</v>
      </c>
      <c r="N406" s="3"/>
      <c r="O406" s="3"/>
      <c r="P406" s="3"/>
      <c r="Q406" s="3"/>
      <c r="R406" s="3"/>
      <c r="S406" s="3"/>
      <c r="T406" s="3"/>
      <c r="U406" s="3"/>
      <c r="V406" s="3"/>
      <c r="W406" s="3"/>
      <c r="X406" s="3"/>
      <c r="Y406" s="3"/>
      <c r="Z406" s="3"/>
    </row>
    <row r="407" spans="1:26" hidden="1" x14ac:dyDescent="0.3">
      <c r="A407" s="2" t="s">
        <v>467</v>
      </c>
      <c r="B407" s="2" t="s">
        <v>274</v>
      </c>
      <c r="C407" s="2" t="s">
        <v>274</v>
      </c>
      <c r="D407" s="2" t="s">
        <v>82</v>
      </c>
      <c r="E407" s="2" t="s">
        <v>82</v>
      </c>
      <c r="F407" s="2" t="s">
        <v>286</v>
      </c>
      <c r="G407" s="2" t="s">
        <v>286</v>
      </c>
      <c r="H407" s="2" t="s">
        <v>287</v>
      </c>
      <c r="I407" s="2" t="s">
        <v>287</v>
      </c>
      <c r="J407" s="2" t="s">
        <v>905</v>
      </c>
      <c r="K407" s="2" t="s">
        <v>906</v>
      </c>
      <c r="L407" s="2" t="s">
        <v>404</v>
      </c>
      <c r="M407" s="2" t="s">
        <v>72</v>
      </c>
      <c r="N407" s="3"/>
      <c r="O407" s="3"/>
      <c r="P407" s="3"/>
      <c r="Q407" s="3"/>
      <c r="R407" s="3"/>
      <c r="S407" s="3"/>
      <c r="T407" s="3"/>
      <c r="U407" s="3"/>
      <c r="V407" s="3"/>
      <c r="W407" s="3"/>
      <c r="X407" s="3"/>
      <c r="Y407" s="3"/>
      <c r="Z407" s="3"/>
    </row>
    <row r="408" spans="1:26" hidden="1" x14ac:dyDescent="0.3">
      <c r="A408" s="2" t="s">
        <v>467</v>
      </c>
      <c r="B408" s="2" t="s">
        <v>274</v>
      </c>
      <c r="C408" s="2" t="s">
        <v>274</v>
      </c>
      <c r="D408" s="2" t="s">
        <v>82</v>
      </c>
      <c r="E408" s="2" t="s">
        <v>82</v>
      </c>
      <c r="F408" s="2" t="s">
        <v>53</v>
      </c>
      <c r="G408" s="2" t="s">
        <v>53</v>
      </c>
      <c r="H408" s="2" t="s">
        <v>54</v>
      </c>
      <c r="I408" s="2" t="s">
        <v>54</v>
      </c>
      <c r="J408" s="2" t="s">
        <v>905</v>
      </c>
      <c r="K408" s="2" t="s">
        <v>906</v>
      </c>
      <c r="L408" s="2" t="s">
        <v>404</v>
      </c>
      <c r="M408" s="2" t="s">
        <v>72</v>
      </c>
      <c r="N408" s="3"/>
      <c r="O408" s="3"/>
      <c r="P408" s="3"/>
      <c r="Q408" s="3"/>
      <c r="R408" s="3"/>
      <c r="S408" s="3"/>
      <c r="T408" s="3"/>
      <c r="U408" s="3"/>
      <c r="V408" s="3"/>
      <c r="W408" s="3"/>
      <c r="X408" s="3"/>
      <c r="Y408" s="3"/>
      <c r="Z408" s="3"/>
    </row>
    <row r="409" spans="1:26" hidden="1" x14ac:dyDescent="0.3">
      <c r="A409" s="2" t="s">
        <v>467</v>
      </c>
      <c r="B409" s="2" t="s">
        <v>274</v>
      </c>
      <c r="C409" s="2" t="s">
        <v>274</v>
      </c>
      <c r="D409" s="2" t="s">
        <v>82</v>
      </c>
      <c r="E409" s="2" t="s">
        <v>82</v>
      </c>
      <c r="F409" s="2" t="s">
        <v>53</v>
      </c>
      <c r="G409" s="2" t="s">
        <v>53</v>
      </c>
      <c r="H409" s="2" t="s">
        <v>287</v>
      </c>
      <c r="I409" s="2" t="s">
        <v>287</v>
      </c>
      <c r="J409" s="2" t="s">
        <v>907</v>
      </c>
      <c r="K409" s="2" t="s">
        <v>906</v>
      </c>
      <c r="L409" s="2" t="s">
        <v>404</v>
      </c>
      <c r="M409" s="2" t="s">
        <v>72</v>
      </c>
      <c r="N409" s="3"/>
      <c r="O409" s="3"/>
      <c r="P409" s="3"/>
      <c r="Q409" s="3"/>
      <c r="R409" s="3"/>
      <c r="S409" s="3"/>
      <c r="T409" s="3"/>
      <c r="U409" s="3"/>
      <c r="V409" s="3"/>
      <c r="W409" s="3"/>
      <c r="X409" s="3"/>
      <c r="Y409" s="3"/>
      <c r="Z409" s="3"/>
    </row>
    <row r="410" spans="1:26" hidden="1" x14ac:dyDescent="0.3">
      <c r="A410" s="2" t="s">
        <v>467</v>
      </c>
      <c r="B410" s="2" t="s">
        <v>274</v>
      </c>
      <c r="C410" s="2" t="s">
        <v>274</v>
      </c>
      <c r="D410" s="2" t="s">
        <v>82</v>
      </c>
      <c r="E410" s="2" t="s">
        <v>82</v>
      </c>
      <c r="F410" s="2" t="s">
        <v>286</v>
      </c>
      <c r="G410" s="2" t="s">
        <v>286</v>
      </c>
      <c r="H410" s="2" t="s">
        <v>287</v>
      </c>
      <c r="I410" s="2" t="s">
        <v>287</v>
      </c>
      <c r="J410" s="2" t="s">
        <v>907</v>
      </c>
      <c r="K410" s="2" t="s">
        <v>906</v>
      </c>
      <c r="L410" s="2" t="s">
        <v>404</v>
      </c>
      <c r="M410" s="2" t="s">
        <v>72</v>
      </c>
      <c r="N410" s="3"/>
      <c r="O410" s="3"/>
      <c r="P410" s="3"/>
      <c r="Q410" s="3"/>
      <c r="R410" s="3"/>
      <c r="S410" s="3"/>
      <c r="T410" s="3"/>
      <c r="U410" s="3"/>
      <c r="V410" s="3"/>
      <c r="W410" s="3"/>
      <c r="X410" s="3"/>
      <c r="Y410" s="3"/>
      <c r="Z410" s="3"/>
    </row>
    <row r="411" spans="1:26" hidden="1" x14ac:dyDescent="0.3">
      <c r="A411" s="2" t="s">
        <v>467</v>
      </c>
      <c r="B411" s="2" t="s">
        <v>274</v>
      </c>
      <c r="C411" s="2" t="s">
        <v>274</v>
      </c>
      <c r="D411" s="2" t="s">
        <v>82</v>
      </c>
      <c r="E411" s="2" t="s">
        <v>82</v>
      </c>
      <c r="F411" s="2" t="s">
        <v>53</v>
      </c>
      <c r="G411" s="2" t="s">
        <v>53</v>
      </c>
      <c r="H411" s="2" t="s">
        <v>54</v>
      </c>
      <c r="I411" s="2" t="s">
        <v>54</v>
      </c>
      <c r="J411" s="2" t="s">
        <v>907</v>
      </c>
      <c r="K411" s="2" t="s">
        <v>906</v>
      </c>
      <c r="L411" s="2" t="s">
        <v>404</v>
      </c>
      <c r="M411" s="2" t="s">
        <v>72</v>
      </c>
      <c r="N411" s="3"/>
      <c r="O411" s="3"/>
      <c r="P411" s="3"/>
      <c r="Q411" s="3"/>
      <c r="R411" s="3"/>
      <c r="S411" s="3"/>
      <c r="T411" s="3"/>
      <c r="U411" s="3"/>
      <c r="V411" s="3"/>
      <c r="W411" s="3"/>
      <c r="X411" s="3"/>
      <c r="Y411" s="3"/>
      <c r="Z411" s="3"/>
    </row>
    <row r="412" spans="1:26" hidden="1" x14ac:dyDescent="0.3">
      <c r="A412" s="2" t="s">
        <v>467</v>
      </c>
      <c r="B412" s="2" t="s">
        <v>274</v>
      </c>
      <c r="C412" s="2" t="s">
        <v>274</v>
      </c>
      <c r="D412" s="2" t="s">
        <v>82</v>
      </c>
      <c r="E412" s="2" t="s">
        <v>82</v>
      </c>
      <c r="F412" s="2" t="s">
        <v>286</v>
      </c>
      <c r="G412" s="2" t="s">
        <v>286</v>
      </c>
      <c r="H412" s="2" t="s">
        <v>287</v>
      </c>
      <c r="I412" s="2" t="s">
        <v>287</v>
      </c>
      <c r="J412" s="2" t="s">
        <v>908</v>
      </c>
      <c r="K412" s="2" t="s">
        <v>906</v>
      </c>
      <c r="L412" s="2" t="s">
        <v>404</v>
      </c>
      <c r="M412" s="2" t="s">
        <v>72</v>
      </c>
      <c r="N412" s="3"/>
      <c r="O412" s="3"/>
      <c r="P412" s="3"/>
      <c r="Q412" s="3"/>
      <c r="R412" s="3"/>
      <c r="S412" s="3"/>
      <c r="T412" s="3"/>
      <c r="U412" s="3"/>
      <c r="V412" s="3"/>
      <c r="W412" s="3"/>
      <c r="X412" s="3"/>
      <c r="Y412" s="3"/>
      <c r="Z412" s="3"/>
    </row>
    <row r="413" spans="1:26" hidden="1" x14ac:dyDescent="0.3">
      <c r="A413" s="2" t="s">
        <v>467</v>
      </c>
      <c r="B413" s="2" t="s">
        <v>274</v>
      </c>
      <c r="C413" s="2" t="s">
        <v>274</v>
      </c>
      <c r="D413" s="2" t="s">
        <v>82</v>
      </c>
      <c r="E413" s="2" t="s">
        <v>82</v>
      </c>
      <c r="F413" s="2" t="s">
        <v>53</v>
      </c>
      <c r="G413" s="2" t="s">
        <v>53</v>
      </c>
      <c r="H413" s="2" t="s">
        <v>287</v>
      </c>
      <c r="I413" s="2" t="s">
        <v>287</v>
      </c>
      <c r="J413" s="2" t="s">
        <v>908</v>
      </c>
      <c r="K413" s="2" t="s">
        <v>906</v>
      </c>
      <c r="L413" s="2" t="s">
        <v>404</v>
      </c>
      <c r="M413" s="2" t="s">
        <v>72</v>
      </c>
      <c r="N413" s="3"/>
      <c r="O413" s="3"/>
      <c r="P413" s="3"/>
      <c r="Q413" s="3"/>
      <c r="R413" s="3"/>
      <c r="S413" s="3"/>
      <c r="T413" s="3"/>
      <c r="U413" s="3"/>
      <c r="V413" s="3"/>
      <c r="W413" s="3"/>
      <c r="X413" s="3"/>
      <c r="Y413" s="3"/>
      <c r="Z413" s="3"/>
    </row>
    <row r="414" spans="1:26" hidden="1" x14ac:dyDescent="0.3">
      <c r="A414" s="2" t="s">
        <v>467</v>
      </c>
      <c r="B414" s="2" t="s">
        <v>274</v>
      </c>
      <c r="C414" s="2" t="s">
        <v>274</v>
      </c>
      <c r="D414" s="2" t="s">
        <v>82</v>
      </c>
      <c r="E414" s="2" t="s">
        <v>82</v>
      </c>
      <c r="F414" s="2" t="s">
        <v>53</v>
      </c>
      <c r="G414" s="2" t="s">
        <v>53</v>
      </c>
      <c r="H414" s="2" t="s">
        <v>290</v>
      </c>
      <c r="I414" s="2" t="s">
        <v>290</v>
      </c>
      <c r="J414" s="2" t="s">
        <v>908</v>
      </c>
      <c r="K414" s="2" t="s">
        <v>906</v>
      </c>
      <c r="L414" s="2" t="s">
        <v>404</v>
      </c>
      <c r="M414" s="2" t="s">
        <v>72</v>
      </c>
      <c r="N414" s="3"/>
      <c r="O414" s="3"/>
      <c r="P414" s="3"/>
      <c r="Q414" s="3"/>
      <c r="R414" s="3"/>
      <c r="S414" s="3"/>
      <c r="T414" s="3"/>
      <c r="U414" s="3"/>
      <c r="V414" s="3"/>
      <c r="W414" s="3"/>
      <c r="X414" s="3"/>
      <c r="Y414" s="3"/>
      <c r="Z414" s="3"/>
    </row>
    <row r="415" spans="1:26" hidden="1" x14ac:dyDescent="0.3">
      <c r="A415" s="2" t="s">
        <v>467</v>
      </c>
      <c r="B415" s="2" t="s">
        <v>274</v>
      </c>
      <c r="C415" s="2" t="s">
        <v>274</v>
      </c>
      <c r="D415" s="2" t="s">
        <v>82</v>
      </c>
      <c r="E415" s="2" t="s">
        <v>82</v>
      </c>
      <c r="F415" s="2" t="s">
        <v>286</v>
      </c>
      <c r="G415" s="2" t="s">
        <v>286</v>
      </c>
      <c r="H415" s="2" t="s">
        <v>287</v>
      </c>
      <c r="I415" s="2" t="s">
        <v>287</v>
      </c>
      <c r="J415" s="2" t="s">
        <v>909</v>
      </c>
      <c r="K415" s="2" t="s">
        <v>906</v>
      </c>
      <c r="L415" s="2" t="s">
        <v>404</v>
      </c>
      <c r="M415" s="2" t="s">
        <v>72</v>
      </c>
      <c r="N415" s="3"/>
      <c r="O415" s="3"/>
      <c r="P415" s="3"/>
      <c r="Q415" s="3"/>
      <c r="R415" s="3"/>
      <c r="S415" s="3"/>
      <c r="T415" s="3"/>
      <c r="U415" s="3"/>
      <c r="V415" s="3"/>
      <c r="W415" s="3"/>
      <c r="X415" s="3"/>
      <c r="Y415" s="3"/>
      <c r="Z415" s="3"/>
    </row>
    <row r="416" spans="1:26" hidden="1" x14ac:dyDescent="0.3">
      <c r="A416" s="2" t="s">
        <v>467</v>
      </c>
      <c r="B416" s="2" t="s">
        <v>274</v>
      </c>
      <c r="C416" s="2" t="s">
        <v>274</v>
      </c>
      <c r="D416" s="2" t="s">
        <v>82</v>
      </c>
      <c r="E416" s="2" t="s">
        <v>82</v>
      </c>
      <c r="F416" s="2" t="s">
        <v>53</v>
      </c>
      <c r="G416" s="2" t="s">
        <v>53</v>
      </c>
      <c r="H416" s="2" t="s">
        <v>287</v>
      </c>
      <c r="I416" s="2" t="s">
        <v>287</v>
      </c>
      <c r="J416" s="2" t="s">
        <v>909</v>
      </c>
      <c r="K416" s="2" t="s">
        <v>906</v>
      </c>
      <c r="L416" s="2" t="s">
        <v>404</v>
      </c>
      <c r="M416" s="2" t="s">
        <v>72</v>
      </c>
      <c r="N416" s="3"/>
      <c r="O416" s="3"/>
      <c r="P416" s="3"/>
      <c r="Q416" s="3"/>
      <c r="R416" s="3"/>
      <c r="S416" s="3"/>
      <c r="T416" s="3"/>
      <c r="U416" s="3"/>
      <c r="V416" s="3"/>
      <c r="W416" s="3"/>
      <c r="X416" s="3"/>
      <c r="Y416" s="3"/>
      <c r="Z416" s="3"/>
    </row>
    <row r="417" spans="1:26" hidden="1" x14ac:dyDescent="0.3">
      <c r="A417" s="2" t="s">
        <v>467</v>
      </c>
      <c r="B417" s="2" t="s">
        <v>274</v>
      </c>
      <c r="C417" s="2" t="s">
        <v>274</v>
      </c>
      <c r="D417" s="2" t="s">
        <v>82</v>
      </c>
      <c r="E417" s="2" t="s">
        <v>82</v>
      </c>
      <c r="F417" s="2" t="s">
        <v>53</v>
      </c>
      <c r="G417" s="2" t="s">
        <v>53</v>
      </c>
      <c r="H417" s="2" t="s">
        <v>910</v>
      </c>
      <c r="I417" s="2" t="s">
        <v>910</v>
      </c>
      <c r="J417" s="2" t="s">
        <v>909</v>
      </c>
      <c r="K417" s="2" t="s">
        <v>906</v>
      </c>
      <c r="L417" s="2" t="s">
        <v>404</v>
      </c>
      <c r="M417" s="2" t="s">
        <v>72</v>
      </c>
      <c r="N417" s="3"/>
      <c r="O417" s="3"/>
      <c r="P417" s="3"/>
      <c r="Q417" s="3"/>
      <c r="R417" s="3"/>
      <c r="S417" s="3"/>
      <c r="T417" s="3"/>
      <c r="U417" s="3"/>
      <c r="V417" s="3"/>
      <c r="W417" s="3"/>
      <c r="X417" s="3"/>
      <c r="Y417" s="3"/>
      <c r="Z417" s="3"/>
    </row>
    <row r="418" spans="1:26" hidden="1" x14ac:dyDescent="0.3">
      <c r="A418" s="2" t="s">
        <v>467</v>
      </c>
      <c r="B418" s="2" t="s">
        <v>274</v>
      </c>
      <c r="C418" s="2" t="s">
        <v>274</v>
      </c>
      <c r="D418" s="2" t="s">
        <v>82</v>
      </c>
      <c r="E418" s="2" t="s">
        <v>82</v>
      </c>
      <c r="F418" s="2" t="s">
        <v>53</v>
      </c>
      <c r="G418" s="2" t="s">
        <v>53</v>
      </c>
      <c r="H418" s="2" t="s">
        <v>287</v>
      </c>
      <c r="I418" s="2" t="s">
        <v>287</v>
      </c>
      <c r="J418" s="2" t="s">
        <v>911</v>
      </c>
      <c r="K418" s="2" t="s">
        <v>906</v>
      </c>
      <c r="L418" s="2" t="s">
        <v>404</v>
      </c>
      <c r="M418" s="2" t="s">
        <v>72</v>
      </c>
      <c r="N418" s="3"/>
      <c r="O418" s="3"/>
      <c r="P418" s="3"/>
      <c r="Q418" s="3"/>
      <c r="R418" s="3"/>
      <c r="S418" s="3"/>
      <c r="T418" s="3"/>
      <c r="U418" s="3"/>
      <c r="V418" s="3"/>
      <c r="W418" s="3"/>
      <c r="X418" s="3"/>
      <c r="Y418" s="3"/>
      <c r="Z418" s="3"/>
    </row>
    <row r="419" spans="1:26" hidden="1" x14ac:dyDescent="0.3">
      <c r="A419" s="2" t="s">
        <v>467</v>
      </c>
      <c r="B419" s="2" t="s">
        <v>274</v>
      </c>
      <c r="C419" s="2" t="s">
        <v>274</v>
      </c>
      <c r="D419" s="2" t="s">
        <v>82</v>
      </c>
      <c r="E419" s="2" t="s">
        <v>82</v>
      </c>
      <c r="F419" s="2" t="s">
        <v>286</v>
      </c>
      <c r="G419" s="2" t="s">
        <v>286</v>
      </c>
      <c r="H419" s="2" t="s">
        <v>287</v>
      </c>
      <c r="I419" s="2" t="s">
        <v>287</v>
      </c>
      <c r="J419" s="2" t="s">
        <v>911</v>
      </c>
      <c r="K419" s="2" t="s">
        <v>906</v>
      </c>
      <c r="L419" s="2" t="s">
        <v>404</v>
      </c>
      <c r="M419" s="2" t="s">
        <v>72</v>
      </c>
      <c r="N419" s="3"/>
      <c r="O419" s="3"/>
      <c r="P419" s="3"/>
      <c r="Q419" s="3"/>
      <c r="R419" s="3"/>
      <c r="S419" s="3"/>
      <c r="T419" s="3"/>
      <c r="U419" s="3"/>
      <c r="V419" s="3"/>
      <c r="W419" s="3"/>
      <c r="X419" s="3"/>
      <c r="Y419" s="3"/>
      <c r="Z419" s="3"/>
    </row>
    <row r="420" spans="1:26" hidden="1" x14ac:dyDescent="0.3">
      <c r="A420" s="2" t="s">
        <v>467</v>
      </c>
      <c r="B420" s="2" t="s">
        <v>274</v>
      </c>
      <c r="C420" s="2" t="s">
        <v>274</v>
      </c>
      <c r="D420" s="2" t="s">
        <v>82</v>
      </c>
      <c r="E420" s="2" t="s">
        <v>82</v>
      </c>
      <c r="F420" s="2" t="s">
        <v>53</v>
      </c>
      <c r="G420" s="2" t="s">
        <v>53</v>
      </c>
      <c r="H420" s="2" t="s">
        <v>910</v>
      </c>
      <c r="I420" s="2" t="s">
        <v>910</v>
      </c>
      <c r="J420" s="2" t="s">
        <v>911</v>
      </c>
      <c r="K420" s="2" t="s">
        <v>906</v>
      </c>
      <c r="L420" s="2" t="s">
        <v>404</v>
      </c>
      <c r="M420" s="2" t="s">
        <v>72</v>
      </c>
      <c r="N420" s="3"/>
      <c r="O420" s="3"/>
      <c r="P420" s="3"/>
      <c r="Q420" s="3"/>
      <c r="R420" s="3"/>
      <c r="S420" s="3"/>
      <c r="T420" s="3"/>
      <c r="U420" s="3"/>
      <c r="V420" s="3"/>
      <c r="W420" s="3"/>
      <c r="X420" s="3"/>
      <c r="Y420" s="3"/>
      <c r="Z420" s="3"/>
    </row>
    <row r="421" spans="1:26" hidden="1" x14ac:dyDescent="0.3">
      <c r="A421" s="2" t="s">
        <v>467</v>
      </c>
      <c r="B421" s="2" t="s">
        <v>274</v>
      </c>
      <c r="C421" s="2" t="s">
        <v>274</v>
      </c>
      <c r="D421" s="2" t="s">
        <v>200</v>
      </c>
      <c r="E421" s="2" t="s">
        <v>200</v>
      </c>
      <c r="F421" s="2" t="s">
        <v>53</v>
      </c>
      <c r="G421" s="2" t="s">
        <v>53</v>
      </c>
      <c r="H421" s="2" t="s">
        <v>287</v>
      </c>
      <c r="I421" s="2" t="s">
        <v>287</v>
      </c>
      <c r="J421" s="2" t="s">
        <v>912</v>
      </c>
      <c r="K421" s="2" t="s">
        <v>913</v>
      </c>
      <c r="L421" s="2" t="s">
        <v>404</v>
      </c>
      <c r="M421" s="2" t="s">
        <v>72</v>
      </c>
      <c r="N421" s="3"/>
      <c r="O421" s="3"/>
      <c r="P421" s="3"/>
      <c r="Q421" s="3"/>
      <c r="R421" s="3"/>
      <c r="S421" s="3"/>
      <c r="T421" s="3"/>
      <c r="U421" s="3"/>
      <c r="V421" s="3"/>
      <c r="W421" s="3"/>
      <c r="X421" s="3"/>
      <c r="Y421" s="3"/>
      <c r="Z421" s="3"/>
    </row>
    <row r="422" spans="1:26" hidden="1" x14ac:dyDescent="0.3">
      <c r="A422" s="2" t="s">
        <v>467</v>
      </c>
      <c r="B422" s="2" t="s">
        <v>274</v>
      </c>
      <c r="C422" s="2" t="s">
        <v>274</v>
      </c>
      <c r="D422" s="2" t="s">
        <v>200</v>
      </c>
      <c r="E422" s="2" t="s">
        <v>200</v>
      </c>
      <c r="F422" s="2" t="s">
        <v>286</v>
      </c>
      <c r="G422" s="2" t="s">
        <v>286</v>
      </c>
      <c r="H422" s="2" t="s">
        <v>287</v>
      </c>
      <c r="I422" s="2" t="s">
        <v>287</v>
      </c>
      <c r="J422" s="2" t="s">
        <v>912</v>
      </c>
      <c r="K422" s="2" t="s">
        <v>913</v>
      </c>
      <c r="L422" s="2" t="s">
        <v>404</v>
      </c>
      <c r="M422" s="2" t="s">
        <v>72</v>
      </c>
      <c r="N422" s="3"/>
      <c r="O422" s="3"/>
      <c r="P422" s="3"/>
      <c r="Q422" s="3"/>
      <c r="R422" s="3"/>
      <c r="S422" s="3"/>
      <c r="T422" s="3"/>
      <c r="U422" s="3"/>
      <c r="V422" s="3"/>
      <c r="W422" s="3"/>
      <c r="X422" s="3"/>
      <c r="Y422" s="3"/>
      <c r="Z422" s="3"/>
    </row>
    <row r="423" spans="1:26" hidden="1" x14ac:dyDescent="0.3">
      <c r="A423" s="2" t="s">
        <v>467</v>
      </c>
      <c r="B423" s="2" t="s">
        <v>274</v>
      </c>
      <c r="C423" s="2" t="s">
        <v>274</v>
      </c>
      <c r="D423" s="2" t="s">
        <v>200</v>
      </c>
      <c r="E423" s="2" t="s">
        <v>200</v>
      </c>
      <c r="F423" s="2" t="s">
        <v>53</v>
      </c>
      <c r="G423" s="2" t="s">
        <v>53</v>
      </c>
      <c r="H423" s="2" t="s">
        <v>54</v>
      </c>
      <c r="I423" s="2" t="s">
        <v>54</v>
      </c>
      <c r="J423" s="2" t="s">
        <v>912</v>
      </c>
      <c r="K423" s="2" t="s">
        <v>913</v>
      </c>
      <c r="L423" s="2" t="s">
        <v>404</v>
      </c>
      <c r="M423" s="2" t="s">
        <v>72</v>
      </c>
      <c r="N423" s="3"/>
      <c r="O423" s="3"/>
      <c r="P423" s="3"/>
      <c r="Q423" s="3"/>
      <c r="R423" s="3"/>
      <c r="S423" s="3"/>
      <c r="T423" s="3"/>
      <c r="U423" s="3"/>
      <c r="V423" s="3"/>
      <c r="W423" s="3"/>
      <c r="X423" s="3"/>
      <c r="Y423" s="3"/>
      <c r="Z423" s="3"/>
    </row>
    <row r="424" spans="1:26" hidden="1" x14ac:dyDescent="0.3">
      <c r="A424" s="2" t="s">
        <v>467</v>
      </c>
      <c r="B424" s="2" t="s">
        <v>274</v>
      </c>
      <c r="C424" s="2" t="s">
        <v>274</v>
      </c>
      <c r="D424" s="2" t="s">
        <v>82</v>
      </c>
      <c r="E424" s="2" t="s">
        <v>82</v>
      </c>
      <c r="F424" s="2" t="s">
        <v>53</v>
      </c>
      <c r="G424" s="2" t="s">
        <v>53</v>
      </c>
      <c r="H424" s="2" t="s">
        <v>287</v>
      </c>
      <c r="I424" s="2" t="s">
        <v>287</v>
      </c>
      <c r="J424" s="2" t="s">
        <v>914</v>
      </c>
      <c r="K424" s="2" t="s">
        <v>915</v>
      </c>
      <c r="L424" s="2" t="s">
        <v>404</v>
      </c>
      <c r="M424" s="2" t="s">
        <v>72</v>
      </c>
      <c r="N424" s="3"/>
      <c r="O424" s="3"/>
      <c r="P424" s="3"/>
      <c r="Q424" s="3"/>
      <c r="R424" s="3"/>
      <c r="S424" s="3"/>
      <c r="T424" s="3"/>
      <c r="U424" s="3"/>
      <c r="V424" s="3"/>
      <c r="W424" s="3"/>
      <c r="X424" s="3"/>
      <c r="Y424" s="3"/>
      <c r="Z424" s="3"/>
    </row>
    <row r="425" spans="1:26" hidden="1" x14ac:dyDescent="0.3">
      <c r="A425" s="2" t="s">
        <v>467</v>
      </c>
      <c r="B425" s="2" t="s">
        <v>274</v>
      </c>
      <c r="C425" s="2" t="s">
        <v>274</v>
      </c>
      <c r="D425" s="2" t="s">
        <v>82</v>
      </c>
      <c r="E425" s="2" t="s">
        <v>82</v>
      </c>
      <c r="F425" s="2" t="s">
        <v>286</v>
      </c>
      <c r="G425" s="2" t="s">
        <v>286</v>
      </c>
      <c r="H425" s="2" t="s">
        <v>287</v>
      </c>
      <c r="I425" s="2" t="s">
        <v>287</v>
      </c>
      <c r="J425" s="2" t="s">
        <v>914</v>
      </c>
      <c r="K425" s="2" t="s">
        <v>915</v>
      </c>
      <c r="L425" s="2" t="s">
        <v>404</v>
      </c>
      <c r="M425" s="2" t="s">
        <v>72</v>
      </c>
      <c r="N425" s="3"/>
      <c r="O425" s="3"/>
      <c r="P425" s="3"/>
      <c r="Q425" s="3"/>
      <c r="R425" s="3"/>
      <c r="S425" s="3"/>
      <c r="T425" s="3"/>
      <c r="U425" s="3"/>
      <c r="V425" s="3"/>
      <c r="W425" s="3"/>
      <c r="X425" s="3"/>
      <c r="Y425" s="3"/>
      <c r="Z425" s="3"/>
    </row>
    <row r="426" spans="1:26" hidden="1" x14ac:dyDescent="0.3">
      <c r="A426" s="2" t="s">
        <v>467</v>
      </c>
      <c r="B426" s="2" t="s">
        <v>274</v>
      </c>
      <c r="C426" s="2" t="s">
        <v>274</v>
      </c>
      <c r="D426" s="2" t="s">
        <v>82</v>
      </c>
      <c r="E426" s="2" t="s">
        <v>82</v>
      </c>
      <c r="F426" s="2" t="s">
        <v>53</v>
      </c>
      <c r="G426" s="2" t="s">
        <v>53</v>
      </c>
      <c r="H426" s="2" t="s">
        <v>54</v>
      </c>
      <c r="I426" s="2" t="s">
        <v>54</v>
      </c>
      <c r="J426" s="2" t="s">
        <v>914</v>
      </c>
      <c r="K426" s="2" t="s">
        <v>915</v>
      </c>
      <c r="L426" s="2" t="s">
        <v>404</v>
      </c>
      <c r="M426" s="2" t="s">
        <v>72</v>
      </c>
      <c r="N426" s="3"/>
      <c r="O426" s="3"/>
      <c r="P426" s="3"/>
      <c r="Q426" s="3"/>
      <c r="R426" s="3"/>
      <c r="S426" s="3"/>
      <c r="T426" s="3"/>
      <c r="U426" s="3"/>
      <c r="V426" s="3"/>
      <c r="W426" s="3"/>
      <c r="X426" s="3"/>
      <c r="Y426" s="3"/>
      <c r="Z426" s="3"/>
    </row>
    <row r="427" spans="1:26" hidden="1" x14ac:dyDescent="0.3">
      <c r="A427" s="2" t="s">
        <v>467</v>
      </c>
      <c r="B427" s="2" t="s">
        <v>274</v>
      </c>
      <c r="C427" s="2" t="s">
        <v>274</v>
      </c>
      <c r="D427" s="2" t="s">
        <v>82</v>
      </c>
      <c r="E427" s="2" t="s">
        <v>82</v>
      </c>
      <c r="F427" s="2" t="s">
        <v>286</v>
      </c>
      <c r="G427" s="2" t="s">
        <v>286</v>
      </c>
      <c r="H427" s="2" t="s">
        <v>287</v>
      </c>
      <c r="I427" s="2" t="s">
        <v>287</v>
      </c>
      <c r="J427" s="2" t="s">
        <v>916</v>
      </c>
      <c r="K427" s="2" t="s">
        <v>915</v>
      </c>
      <c r="L427" s="2" t="s">
        <v>404</v>
      </c>
      <c r="M427" s="2" t="s">
        <v>72</v>
      </c>
      <c r="N427" s="3"/>
      <c r="O427" s="3"/>
      <c r="P427" s="3"/>
      <c r="Q427" s="3"/>
      <c r="R427" s="3"/>
      <c r="S427" s="3"/>
      <c r="T427" s="3"/>
      <c r="U427" s="3"/>
      <c r="V427" s="3"/>
      <c r="W427" s="3"/>
      <c r="X427" s="3"/>
      <c r="Y427" s="3"/>
      <c r="Z427" s="3"/>
    </row>
    <row r="428" spans="1:26" hidden="1" x14ac:dyDescent="0.3">
      <c r="A428" s="2" t="s">
        <v>467</v>
      </c>
      <c r="B428" s="2" t="s">
        <v>274</v>
      </c>
      <c r="C428" s="2" t="s">
        <v>274</v>
      </c>
      <c r="D428" s="2" t="s">
        <v>82</v>
      </c>
      <c r="E428" s="2" t="s">
        <v>82</v>
      </c>
      <c r="F428" s="2" t="s">
        <v>53</v>
      </c>
      <c r="G428" s="2" t="s">
        <v>53</v>
      </c>
      <c r="H428" s="2" t="s">
        <v>287</v>
      </c>
      <c r="I428" s="2" t="s">
        <v>287</v>
      </c>
      <c r="J428" s="2" t="s">
        <v>916</v>
      </c>
      <c r="K428" s="2" t="s">
        <v>915</v>
      </c>
      <c r="L428" s="2" t="s">
        <v>404</v>
      </c>
      <c r="M428" s="2" t="s">
        <v>72</v>
      </c>
      <c r="N428" s="3"/>
      <c r="O428" s="3"/>
      <c r="P428" s="3"/>
      <c r="Q428" s="3"/>
      <c r="R428" s="3"/>
      <c r="S428" s="3"/>
      <c r="T428" s="3"/>
      <c r="U428" s="3"/>
      <c r="V428" s="3"/>
      <c r="W428" s="3"/>
      <c r="X428" s="3"/>
      <c r="Y428" s="3"/>
      <c r="Z428" s="3"/>
    </row>
    <row r="429" spans="1:26" hidden="1" x14ac:dyDescent="0.3">
      <c r="A429" s="2" t="s">
        <v>467</v>
      </c>
      <c r="B429" s="2" t="s">
        <v>274</v>
      </c>
      <c r="C429" s="2" t="s">
        <v>274</v>
      </c>
      <c r="D429" s="2" t="s">
        <v>82</v>
      </c>
      <c r="E429" s="2" t="s">
        <v>82</v>
      </c>
      <c r="F429" s="2" t="s">
        <v>53</v>
      </c>
      <c r="G429" s="2" t="s">
        <v>53</v>
      </c>
      <c r="H429" s="2" t="s">
        <v>901</v>
      </c>
      <c r="I429" s="2" t="s">
        <v>901</v>
      </c>
      <c r="J429" s="2" t="s">
        <v>916</v>
      </c>
      <c r="K429" s="2" t="s">
        <v>915</v>
      </c>
      <c r="L429" s="2" t="s">
        <v>404</v>
      </c>
      <c r="M429" s="2" t="s">
        <v>72</v>
      </c>
      <c r="N429" s="3"/>
      <c r="O429" s="3"/>
      <c r="P429" s="3"/>
      <c r="Q429" s="3"/>
      <c r="R429" s="3"/>
      <c r="S429" s="3"/>
      <c r="T429" s="3"/>
      <c r="U429" s="3"/>
      <c r="V429" s="3"/>
      <c r="W429" s="3"/>
      <c r="X429" s="3"/>
      <c r="Y429" s="3"/>
      <c r="Z429" s="3"/>
    </row>
    <row r="430" spans="1:26" hidden="1" x14ac:dyDescent="0.3">
      <c r="A430" s="2" t="s">
        <v>467</v>
      </c>
      <c r="B430" s="2" t="s">
        <v>274</v>
      </c>
      <c r="C430" s="2" t="s">
        <v>274</v>
      </c>
      <c r="D430" s="2" t="s">
        <v>82</v>
      </c>
      <c r="E430" s="2" t="s">
        <v>82</v>
      </c>
      <c r="F430" s="2" t="s">
        <v>53</v>
      </c>
      <c r="G430" s="2" t="s">
        <v>53</v>
      </c>
      <c r="H430" s="2" t="s">
        <v>287</v>
      </c>
      <c r="I430" s="2" t="s">
        <v>287</v>
      </c>
      <c r="J430" s="2" t="s">
        <v>917</v>
      </c>
      <c r="K430" s="2" t="s">
        <v>915</v>
      </c>
      <c r="L430" s="2" t="s">
        <v>404</v>
      </c>
      <c r="M430" s="2" t="s">
        <v>72</v>
      </c>
      <c r="N430" s="3"/>
      <c r="O430" s="3"/>
      <c r="P430" s="3"/>
      <c r="Q430" s="3"/>
      <c r="R430" s="3"/>
      <c r="S430" s="3"/>
      <c r="T430" s="3"/>
      <c r="U430" s="3"/>
      <c r="V430" s="3"/>
      <c r="W430" s="3"/>
      <c r="X430" s="3"/>
      <c r="Y430" s="3"/>
      <c r="Z430" s="3"/>
    </row>
    <row r="431" spans="1:26" hidden="1" x14ac:dyDescent="0.3">
      <c r="A431" s="2" t="s">
        <v>467</v>
      </c>
      <c r="B431" s="2" t="s">
        <v>274</v>
      </c>
      <c r="C431" s="2" t="s">
        <v>274</v>
      </c>
      <c r="D431" s="2" t="s">
        <v>82</v>
      </c>
      <c r="E431" s="2" t="s">
        <v>82</v>
      </c>
      <c r="F431" s="2" t="s">
        <v>286</v>
      </c>
      <c r="G431" s="2" t="s">
        <v>286</v>
      </c>
      <c r="H431" s="2" t="s">
        <v>287</v>
      </c>
      <c r="I431" s="2" t="s">
        <v>287</v>
      </c>
      <c r="J431" s="2" t="s">
        <v>917</v>
      </c>
      <c r="K431" s="2" t="s">
        <v>915</v>
      </c>
      <c r="L431" s="2" t="s">
        <v>404</v>
      </c>
      <c r="M431" s="2" t="s">
        <v>72</v>
      </c>
      <c r="N431" s="3"/>
      <c r="O431" s="3"/>
      <c r="P431" s="3"/>
      <c r="Q431" s="3"/>
      <c r="R431" s="3"/>
      <c r="S431" s="3"/>
      <c r="T431" s="3"/>
      <c r="U431" s="3"/>
      <c r="V431" s="3"/>
      <c r="W431" s="3"/>
      <c r="X431" s="3"/>
      <c r="Y431" s="3"/>
      <c r="Z431" s="3"/>
    </row>
    <row r="432" spans="1:26" hidden="1" x14ac:dyDescent="0.3">
      <c r="A432" s="2" t="s">
        <v>467</v>
      </c>
      <c r="B432" s="2" t="s">
        <v>274</v>
      </c>
      <c r="C432" s="2" t="s">
        <v>274</v>
      </c>
      <c r="D432" s="2" t="s">
        <v>82</v>
      </c>
      <c r="E432" s="2" t="s">
        <v>82</v>
      </c>
      <c r="F432" s="2" t="s">
        <v>53</v>
      </c>
      <c r="G432" s="2" t="s">
        <v>53</v>
      </c>
      <c r="H432" s="2" t="s">
        <v>901</v>
      </c>
      <c r="I432" s="2" t="s">
        <v>901</v>
      </c>
      <c r="J432" s="2" t="s">
        <v>917</v>
      </c>
      <c r="K432" s="2" t="s">
        <v>915</v>
      </c>
      <c r="L432" s="2" t="s">
        <v>404</v>
      </c>
      <c r="M432" s="2" t="s">
        <v>72</v>
      </c>
      <c r="N432" s="3"/>
      <c r="O432" s="3"/>
      <c r="P432" s="3"/>
      <c r="Q432" s="3"/>
      <c r="R432" s="3"/>
      <c r="S432" s="3"/>
      <c r="T432" s="3"/>
      <c r="U432" s="3"/>
      <c r="V432" s="3"/>
      <c r="W432" s="3"/>
      <c r="X432" s="3"/>
      <c r="Y432" s="3"/>
      <c r="Z432" s="3"/>
    </row>
    <row r="433" spans="1:26" hidden="1" x14ac:dyDescent="0.3">
      <c r="A433" s="2" t="s">
        <v>467</v>
      </c>
      <c r="B433" s="2" t="s">
        <v>274</v>
      </c>
      <c r="C433" s="2" t="s">
        <v>274</v>
      </c>
      <c r="D433" s="2" t="s">
        <v>82</v>
      </c>
      <c r="E433" s="2" t="s">
        <v>82</v>
      </c>
      <c r="F433" s="2" t="s">
        <v>53</v>
      </c>
      <c r="G433" s="2" t="s">
        <v>53</v>
      </c>
      <c r="H433" s="2" t="s">
        <v>54</v>
      </c>
      <c r="I433" s="2" t="s">
        <v>54</v>
      </c>
      <c r="J433" s="2" t="s">
        <v>918</v>
      </c>
      <c r="K433" s="2" t="s">
        <v>297</v>
      </c>
      <c r="L433" s="2" t="s">
        <v>404</v>
      </c>
      <c r="M433" s="2" t="s">
        <v>72</v>
      </c>
      <c r="N433" s="3"/>
      <c r="O433" s="3"/>
      <c r="P433" s="3"/>
      <c r="Q433" s="3"/>
      <c r="R433" s="3"/>
      <c r="S433" s="3"/>
      <c r="T433" s="3"/>
      <c r="U433" s="3"/>
      <c r="V433" s="3"/>
      <c r="W433" s="3"/>
      <c r="X433" s="3"/>
      <c r="Y433" s="3"/>
      <c r="Z433" s="3"/>
    </row>
    <row r="434" spans="1:26" hidden="1" x14ac:dyDescent="0.3">
      <c r="A434" s="2" t="s">
        <v>467</v>
      </c>
      <c r="B434" s="2" t="s">
        <v>274</v>
      </c>
      <c r="C434" s="2" t="s">
        <v>274</v>
      </c>
      <c r="D434" s="2" t="s">
        <v>200</v>
      </c>
      <c r="E434" s="2" t="s">
        <v>200</v>
      </c>
      <c r="F434" s="2" t="s">
        <v>53</v>
      </c>
      <c r="G434" s="2" t="s">
        <v>53</v>
      </c>
      <c r="H434" s="2" t="s">
        <v>54</v>
      </c>
      <c r="I434" s="2" t="s">
        <v>54</v>
      </c>
      <c r="J434" s="2" t="s">
        <v>315</v>
      </c>
      <c r="K434" s="2" t="s">
        <v>919</v>
      </c>
      <c r="L434" s="2" t="s">
        <v>404</v>
      </c>
      <c r="M434" s="2" t="s">
        <v>72</v>
      </c>
      <c r="N434" s="3"/>
      <c r="O434" s="3"/>
      <c r="P434" s="3"/>
      <c r="Q434" s="3"/>
      <c r="R434" s="3"/>
      <c r="S434" s="3"/>
      <c r="T434" s="3"/>
      <c r="U434" s="3"/>
      <c r="V434" s="3"/>
      <c r="W434" s="3"/>
      <c r="X434" s="3"/>
      <c r="Y434" s="3"/>
      <c r="Z434" s="3"/>
    </row>
    <row r="435" spans="1:26" hidden="1" x14ac:dyDescent="0.3">
      <c r="A435" s="2" t="s">
        <v>467</v>
      </c>
      <c r="B435" s="2" t="s">
        <v>274</v>
      </c>
      <c r="C435" s="2" t="s">
        <v>274</v>
      </c>
      <c r="D435" s="2" t="s">
        <v>217</v>
      </c>
      <c r="E435" s="2" t="s">
        <v>217</v>
      </c>
      <c r="F435" s="2" t="s">
        <v>53</v>
      </c>
      <c r="G435" s="2" t="s">
        <v>53</v>
      </c>
      <c r="H435" s="2" t="s">
        <v>54</v>
      </c>
      <c r="I435" s="2" t="s">
        <v>54</v>
      </c>
      <c r="J435" s="2" t="s">
        <v>920</v>
      </c>
      <c r="K435" s="2" t="s">
        <v>300</v>
      </c>
      <c r="L435" s="2" t="s">
        <v>404</v>
      </c>
      <c r="M435" s="2" t="s">
        <v>72</v>
      </c>
      <c r="N435" s="3"/>
      <c r="O435" s="3"/>
      <c r="P435" s="3"/>
      <c r="Q435" s="3"/>
      <c r="R435" s="3"/>
      <c r="S435" s="3"/>
      <c r="T435" s="3"/>
      <c r="U435" s="3"/>
      <c r="V435" s="3"/>
      <c r="W435" s="3"/>
      <c r="X435" s="3"/>
      <c r="Y435" s="3"/>
      <c r="Z435" s="3"/>
    </row>
    <row r="436" spans="1:26" hidden="1" x14ac:dyDescent="0.3">
      <c r="A436" s="2" t="s">
        <v>467</v>
      </c>
      <c r="B436" s="2" t="s">
        <v>274</v>
      </c>
      <c r="C436" s="2" t="s">
        <v>274</v>
      </c>
      <c r="D436" s="2" t="s">
        <v>200</v>
      </c>
      <c r="E436" s="2" t="s">
        <v>200</v>
      </c>
      <c r="F436" s="2" t="s">
        <v>286</v>
      </c>
      <c r="G436" s="2" t="s">
        <v>286</v>
      </c>
      <c r="H436" s="2" t="s">
        <v>287</v>
      </c>
      <c r="I436" s="2" t="s">
        <v>287</v>
      </c>
      <c r="J436" s="2" t="s">
        <v>921</v>
      </c>
      <c r="K436" s="2" t="s">
        <v>922</v>
      </c>
      <c r="L436" s="2" t="s">
        <v>404</v>
      </c>
      <c r="M436" s="2" t="s">
        <v>72</v>
      </c>
      <c r="N436" s="3"/>
      <c r="O436" s="3"/>
      <c r="P436" s="3"/>
      <c r="Q436" s="3"/>
      <c r="R436" s="3"/>
      <c r="S436" s="3"/>
      <c r="T436" s="3"/>
      <c r="U436" s="3"/>
      <c r="V436" s="3"/>
      <c r="W436" s="3"/>
      <c r="X436" s="3"/>
      <c r="Y436" s="3"/>
      <c r="Z436" s="3"/>
    </row>
    <row r="437" spans="1:26" hidden="1" x14ac:dyDescent="0.3">
      <c r="A437" s="2" t="s">
        <v>467</v>
      </c>
      <c r="B437" s="2" t="s">
        <v>274</v>
      </c>
      <c r="C437" s="2" t="s">
        <v>274</v>
      </c>
      <c r="D437" s="2" t="s">
        <v>200</v>
      </c>
      <c r="E437" s="2" t="s">
        <v>200</v>
      </c>
      <c r="F437" s="2" t="s">
        <v>53</v>
      </c>
      <c r="G437" s="2" t="s">
        <v>53</v>
      </c>
      <c r="H437" s="2" t="s">
        <v>287</v>
      </c>
      <c r="I437" s="2" t="s">
        <v>287</v>
      </c>
      <c r="J437" s="2" t="s">
        <v>921</v>
      </c>
      <c r="K437" s="2" t="s">
        <v>922</v>
      </c>
      <c r="L437" s="2" t="s">
        <v>404</v>
      </c>
      <c r="M437" s="2" t="s">
        <v>72</v>
      </c>
      <c r="N437" s="3"/>
      <c r="O437" s="3"/>
      <c r="P437" s="3"/>
      <c r="Q437" s="3"/>
      <c r="R437" s="3"/>
      <c r="S437" s="3"/>
      <c r="T437" s="3"/>
      <c r="U437" s="3"/>
      <c r="V437" s="3"/>
      <c r="W437" s="3"/>
      <c r="X437" s="3"/>
      <c r="Y437" s="3"/>
      <c r="Z437" s="3"/>
    </row>
    <row r="438" spans="1:26" hidden="1" x14ac:dyDescent="0.3">
      <c r="A438" s="2" t="s">
        <v>467</v>
      </c>
      <c r="B438" s="2" t="s">
        <v>274</v>
      </c>
      <c r="C438" s="2" t="s">
        <v>274</v>
      </c>
      <c r="D438" s="2" t="s">
        <v>200</v>
      </c>
      <c r="E438" s="2" t="s">
        <v>200</v>
      </c>
      <c r="F438" s="2" t="s">
        <v>53</v>
      </c>
      <c r="G438" s="2" t="s">
        <v>53</v>
      </c>
      <c r="H438" s="2" t="s">
        <v>54</v>
      </c>
      <c r="I438" s="2" t="s">
        <v>54</v>
      </c>
      <c r="J438" s="2" t="s">
        <v>921</v>
      </c>
      <c r="K438" s="2" t="s">
        <v>922</v>
      </c>
      <c r="L438" s="2" t="s">
        <v>404</v>
      </c>
      <c r="M438" s="2" t="s">
        <v>72</v>
      </c>
      <c r="N438" s="3"/>
      <c r="O438" s="3"/>
      <c r="P438" s="3"/>
      <c r="Q438" s="3"/>
      <c r="R438" s="3"/>
      <c r="S438" s="3"/>
      <c r="T438" s="3"/>
      <c r="U438" s="3"/>
      <c r="V438" s="3"/>
      <c r="W438" s="3"/>
      <c r="X438" s="3"/>
      <c r="Y438" s="3"/>
      <c r="Z438" s="3"/>
    </row>
    <row r="439" spans="1:26" hidden="1" x14ac:dyDescent="0.3">
      <c r="A439" s="2" t="s">
        <v>467</v>
      </c>
      <c r="B439" s="2" t="s">
        <v>274</v>
      </c>
      <c r="C439" s="2" t="s">
        <v>274</v>
      </c>
      <c r="D439" s="2" t="s">
        <v>200</v>
      </c>
      <c r="E439" s="2" t="s">
        <v>200</v>
      </c>
      <c r="F439" s="2" t="s">
        <v>53</v>
      </c>
      <c r="G439" s="2" t="s">
        <v>53</v>
      </c>
      <c r="H439" s="2" t="s">
        <v>287</v>
      </c>
      <c r="I439" s="2" t="s">
        <v>287</v>
      </c>
      <c r="J439" s="2" t="s">
        <v>319</v>
      </c>
      <c r="K439" s="2" t="s">
        <v>923</v>
      </c>
      <c r="L439" s="2" t="s">
        <v>404</v>
      </c>
      <c r="M439" s="2" t="s">
        <v>72</v>
      </c>
      <c r="N439" s="3"/>
      <c r="O439" s="3"/>
      <c r="P439" s="3"/>
      <c r="Q439" s="3"/>
      <c r="R439" s="3"/>
      <c r="S439" s="3"/>
      <c r="T439" s="3"/>
      <c r="U439" s="3"/>
      <c r="V439" s="3"/>
      <c r="W439" s="3"/>
      <c r="X439" s="3"/>
      <c r="Y439" s="3"/>
      <c r="Z439" s="3"/>
    </row>
    <row r="440" spans="1:26" hidden="1" x14ac:dyDescent="0.3">
      <c r="A440" s="2" t="s">
        <v>467</v>
      </c>
      <c r="B440" s="2" t="s">
        <v>274</v>
      </c>
      <c r="C440" s="2" t="s">
        <v>274</v>
      </c>
      <c r="D440" s="2" t="s">
        <v>200</v>
      </c>
      <c r="E440" s="2" t="s">
        <v>200</v>
      </c>
      <c r="F440" s="2" t="s">
        <v>286</v>
      </c>
      <c r="G440" s="2" t="s">
        <v>286</v>
      </c>
      <c r="H440" s="2" t="s">
        <v>287</v>
      </c>
      <c r="I440" s="2" t="s">
        <v>287</v>
      </c>
      <c r="J440" s="2" t="s">
        <v>319</v>
      </c>
      <c r="K440" s="2" t="s">
        <v>923</v>
      </c>
      <c r="L440" s="2" t="s">
        <v>404</v>
      </c>
      <c r="M440" s="2" t="s">
        <v>72</v>
      </c>
      <c r="N440" s="3"/>
      <c r="O440" s="3"/>
      <c r="P440" s="3"/>
      <c r="Q440" s="3"/>
      <c r="R440" s="3"/>
      <c r="S440" s="3"/>
      <c r="T440" s="3"/>
      <c r="U440" s="3"/>
      <c r="V440" s="3"/>
      <c r="W440" s="3"/>
      <c r="X440" s="3"/>
      <c r="Y440" s="3"/>
      <c r="Z440" s="3"/>
    </row>
    <row r="441" spans="1:26" hidden="1" x14ac:dyDescent="0.3">
      <c r="A441" s="2" t="s">
        <v>467</v>
      </c>
      <c r="B441" s="2" t="s">
        <v>274</v>
      </c>
      <c r="C441" s="2" t="s">
        <v>274</v>
      </c>
      <c r="D441" s="2" t="s">
        <v>200</v>
      </c>
      <c r="E441" s="2" t="s">
        <v>200</v>
      </c>
      <c r="F441" s="2" t="s">
        <v>53</v>
      </c>
      <c r="G441" s="2" t="s">
        <v>53</v>
      </c>
      <c r="H441" s="2" t="s">
        <v>290</v>
      </c>
      <c r="I441" s="2" t="s">
        <v>290</v>
      </c>
      <c r="J441" s="2" t="s">
        <v>319</v>
      </c>
      <c r="K441" s="2" t="s">
        <v>923</v>
      </c>
      <c r="L441" s="2" t="s">
        <v>404</v>
      </c>
      <c r="M441" s="2" t="s">
        <v>72</v>
      </c>
      <c r="N441" s="3"/>
      <c r="O441" s="3"/>
      <c r="P441" s="3"/>
      <c r="Q441" s="3"/>
      <c r="R441" s="3"/>
      <c r="S441" s="3"/>
      <c r="T441" s="3"/>
      <c r="U441" s="3"/>
      <c r="V441" s="3"/>
      <c r="W441" s="3"/>
      <c r="X441" s="3"/>
      <c r="Y441" s="3"/>
      <c r="Z441" s="3"/>
    </row>
    <row r="442" spans="1:26" hidden="1" x14ac:dyDescent="0.3">
      <c r="A442" s="2" t="s">
        <v>467</v>
      </c>
      <c r="B442" s="2" t="s">
        <v>274</v>
      </c>
      <c r="C442" s="2" t="s">
        <v>274</v>
      </c>
      <c r="D442" s="2" t="s">
        <v>135</v>
      </c>
      <c r="E442" s="2" t="s">
        <v>135</v>
      </c>
      <c r="F442" s="2" t="s">
        <v>53</v>
      </c>
      <c r="G442" s="2" t="s">
        <v>53</v>
      </c>
      <c r="H442" s="2" t="s">
        <v>54</v>
      </c>
      <c r="I442" s="2" t="s">
        <v>54</v>
      </c>
      <c r="J442" s="2" t="s">
        <v>303</v>
      </c>
      <c r="K442" s="2" t="s">
        <v>924</v>
      </c>
      <c r="L442" s="2" t="s">
        <v>404</v>
      </c>
      <c r="M442" s="2" t="s">
        <v>72</v>
      </c>
      <c r="N442" s="3"/>
      <c r="O442" s="3"/>
      <c r="P442" s="3"/>
      <c r="Q442" s="3"/>
      <c r="R442" s="3"/>
      <c r="S442" s="3"/>
      <c r="T442" s="3"/>
      <c r="U442" s="3"/>
      <c r="V442" s="3"/>
      <c r="W442" s="3"/>
      <c r="X442" s="3"/>
      <c r="Y442" s="3"/>
      <c r="Z442" s="3"/>
    </row>
    <row r="443" spans="1:26" hidden="1" x14ac:dyDescent="0.3">
      <c r="A443" s="2" t="s">
        <v>467</v>
      </c>
      <c r="B443" s="2" t="s">
        <v>274</v>
      </c>
      <c r="C443" s="2" t="s">
        <v>274</v>
      </c>
      <c r="D443" s="2" t="s">
        <v>82</v>
      </c>
      <c r="E443" s="2" t="s">
        <v>82</v>
      </c>
      <c r="F443" s="2" t="s">
        <v>286</v>
      </c>
      <c r="G443" s="2" t="s">
        <v>286</v>
      </c>
      <c r="H443" s="2" t="s">
        <v>287</v>
      </c>
      <c r="I443" s="2" t="s">
        <v>287</v>
      </c>
      <c r="J443" s="2" t="s">
        <v>925</v>
      </c>
      <c r="K443" s="2" t="s">
        <v>926</v>
      </c>
      <c r="L443" s="2" t="s">
        <v>404</v>
      </c>
      <c r="M443" s="2" t="s">
        <v>72</v>
      </c>
      <c r="N443" s="3"/>
      <c r="O443" s="3"/>
      <c r="P443" s="3"/>
      <c r="Q443" s="3"/>
      <c r="R443" s="3"/>
      <c r="S443" s="3"/>
      <c r="T443" s="3"/>
      <c r="U443" s="3"/>
      <c r="V443" s="3"/>
      <c r="W443" s="3"/>
      <c r="X443" s="3"/>
      <c r="Y443" s="3"/>
      <c r="Z443" s="3"/>
    </row>
    <row r="444" spans="1:26" hidden="1" x14ac:dyDescent="0.3">
      <c r="A444" s="2" t="s">
        <v>467</v>
      </c>
      <c r="B444" s="2" t="s">
        <v>274</v>
      </c>
      <c r="C444" s="2" t="s">
        <v>274</v>
      </c>
      <c r="D444" s="2" t="s">
        <v>82</v>
      </c>
      <c r="E444" s="2" t="s">
        <v>82</v>
      </c>
      <c r="F444" s="2" t="s">
        <v>53</v>
      </c>
      <c r="G444" s="2" t="s">
        <v>53</v>
      </c>
      <c r="H444" s="2" t="s">
        <v>287</v>
      </c>
      <c r="I444" s="2" t="s">
        <v>287</v>
      </c>
      <c r="J444" s="2" t="s">
        <v>925</v>
      </c>
      <c r="K444" s="2" t="s">
        <v>926</v>
      </c>
      <c r="L444" s="2" t="s">
        <v>404</v>
      </c>
      <c r="M444" s="2" t="s">
        <v>72</v>
      </c>
      <c r="N444" s="3"/>
      <c r="O444" s="3"/>
      <c r="P444" s="3"/>
      <c r="Q444" s="3"/>
      <c r="R444" s="3"/>
      <c r="S444" s="3"/>
      <c r="T444" s="3"/>
      <c r="U444" s="3"/>
      <c r="V444" s="3"/>
      <c r="W444" s="3"/>
      <c r="X444" s="3"/>
      <c r="Y444" s="3"/>
      <c r="Z444" s="3"/>
    </row>
    <row r="445" spans="1:26" hidden="1" x14ac:dyDescent="0.3">
      <c r="A445" s="2" t="s">
        <v>467</v>
      </c>
      <c r="B445" s="2" t="s">
        <v>274</v>
      </c>
      <c r="C445" s="2" t="s">
        <v>274</v>
      </c>
      <c r="D445" s="2" t="s">
        <v>82</v>
      </c>
      <c r="E445" s="2" t="s">
        <v>82</v>
      </c>
      <c r="F445" s="2" t="s">
        <v>53</v>
      </c>
      <c r="G445" s="2" t="s">
        <v>53</v>
      </c>
      <c r="H445" s="2" t="s">
        <v>290</v>
      </c>
      <c r="I445" s="2" t="s">
        <v>290</v>
      </c>
      <c r="J445" s="2" t="s">
        <v>925</v>
      </c>
      <c r="K445" s="2" t="s">
        <v>926</v>
      </c>
      <c r="L445" s="2" t="s">
        <v>404</v>
      </c>
      <c r="M445" s="2" t="s">
        <v>72</v>
      </c>
      <c r="N445" s="3"/>
      <c r="O445" s="3"/>
      <c r="P445" s="3"/>
      <c r="Q445" s="3"/>
      <c r="R445" s="3"/>
      <c r="S445" s="3"/>
      <c r="T445" s="3"/>
      <c r="U445" s="3"/>
      <c r="V445" s="3"/>
      <c r="W445" s="3"/>
      <c r="X445" s="3"/>
      <c r="Y445" s="3"/>
      <c r="Z445" s="3"/>
    </row>
    <row r="446" spans="1:26" hidden="1" x14ac:dyDescent="0.3">
      <c r="A446" s="2" t="s">
        <v>467</v>
      </c>
      <c r="B446" s="2" t="s">
        <v>274</v>
      </c>
      <c r="C446" s="2" t="s">
        <v>274</v>
      </c>
      <c r="D446" s="2" t="s">
        <v>217</v>
      </c>
      <c r="E446" s="2" t="s">
        <v>217</v>
      </c>
      <c r="F446" s="2" t="s">
        <v>53</v>
      </c>
      <c r="G446" s="2" t="s">
        <v>53</v>
      </c>
      <c r="H446" s="2" t="s">
        <v>54</v>
      </c>
      <c r="I446" s="2" t="s">
        <v>54</v>
      </c>
      <c r="J446" s="2" t="s">
        <v>927</v>
      </c>
      <c r="K446" s="2" t="s">
        <v>845</v>
      </c>
      <c r="L446" s="2" t="s">
        <v>404</v>
      </c>
      <c r="M446" s="2" t="s">
        <v>72</v>
      </c>
      <c r="N446" s="3"/>
      <c r="O446" s="3"/>
      <c r="P446" s="3"/>
      <c r="Q446" s="3"/>
      <c r="R446" s="3"/>
      <c r="S446" s="3"/>
      <c r="T446" s="3"/>
      <c r="U446" s="3"/>
      <c r="V446" s="3"/>
      <c r="W446" s="3"/>
      <c r="X446" s="3"/>
      <c r="Y446" s="3"/>
      <c r="Z446" s="3"/>
    </row>
    <row r="447" spans="1:26" hidden="1" x14ac:dyDescent="0.3">
      <c r="A447" s="2" t="s">
        <v>467</v>
      </c>
      <c r="B447" s="2" t="s">
        <v>274</v>
      </c>
      <c r="C447" s="2" t="s">
        <v>274</v>
      </c>
      <c r="D447" s="2" t="s">
        <v>151</v>
      </c>
      <c r="E447" s="2" t="s">
        <v>151</v>
      </c>
      <c r="F447" s="2" t="s">
        <v>53</v>
      </c>
      <c r="G447" s="2" t="s">
        <v>53</v>
      </c>
      <c r="H447" s="2" t="s">
        <v>54</v>
      </c>
      <c r="I447" s="2" t="s">
        <v>54</v>
      </c>
      <c r="J447" s="2" t="s">
        <v>314</v>
      </c>
      <c r="K447" s="2" t="s">
        <v>928</v>
      </c>
      <c r="L447" s="2" t="s">
        <v>404</v>
      </c>
      <c r="M447" s="2" t="s">
        <v>72</v>
      </c>
      <c r="N447" s="3"/>
      <c r="O447" s="3"/>
      <c r="P447" s="3"/>
      <c r="Q447" s="3"/>
      <c r="R447" s="3"/>
      <c r="S447" s="3"/>
      <c r="T447" s="3"/>
      <c r="U447" s="3"/>
      <c r="V447" s="3"/>
      <c r="W447" s="3"/>
      <c r="X447" s="3"/>
      <c r="Y447" s="3"/>
      <c r="Z447" s="3"/>
    </row>
    <row r="448" spans="1:26" hidden="1" x14ac:dyDescent="0.3">
      <c r="A448" s="2" t="s">
        <v>467</v>
      </c>
      <c r="B448" s="2" t="s">
        <v>274</v>
      </c>
      <c r="C448" s="2" t="s">
        <v>274</v>
      </c>
      <c r="D448" s="2" t="s">
        <v>200</v>
      </c>
      <c r="E448" s="2" t="s">
        <v>200</v>
      </c>
      <c r="F448" s="2" t="s">
        <v>286</v>
      </c>
      <c r="G448" s="2" t="s">
        <v>286</v>
      </c>
      <c r="H448" s="2" t="s">
        <v>287</v>
      </c>
      <c r="I448" s="2" t="s">
        <v>287</v>
      </c>
      <c r="J448" s="2" t="s">
        <v>929</v>
      </c>
      <c r="K448" s="2" t="s">
        <v>930</v>
      </c>
      <c r="L448" s="2" t="s">
        <v>404</v>
      </c>
      <c r="M448" s="2" t="s">
        <v>72</v>
      </c>
      <c r="N448" s="3"/>
      <c r="O448" s="3"/>
      <c r="P448" s="3"/>
      <c r="Q448" s="3"/>
      <c r="R448" s="3"/>
      <c r="S448" s="3"/>
      <c r="T448" s="3"/>
      <c r="U448" s="3"/>
      <c r="V448" s="3"/>
      <c r="W448" s="3"/>
      <c r="X448" s="3"/>
      <c r="Y448" s="3"/>
      <c r="Z448" s="3"/>
    </row>
    <row r="449" spans="1:26" hidden="1" x14ac:dyDescent="0.3">
      <c r="A449" s="2" t="s">
        <v>467</v>
      </c>
      <c r="B449" s="2" t="s">
        <v>274</v>
      </c>
      <c r="C449" s="2" t="s">
        <v>274</v>
      </c>
      <c r="D449" s="2" t="s">
        <v>200</v>
      </c>
      <c r="E449" s="2" t="s">
        <v>200</v>
      </c>
      <c r="F449" s="2" t="s">
        <v>53</v>
      </c>
      <c r="G449" s="2" t="s">
        <v>53</v>
      </c>
      <c r="H449" s="2" t="s">
        <v>287</v>
      </c>
      <c r="I449" s="2" t="s">
        <v>287</v>
      </c>
      <c r="J449" s="2" t="s">
        <v>929</v>
      </c>
      <c r="K449" s="2" t="s">
        <v>930</v>
      </c>
      <c r="L449" s="2" t="s">
        <v>404</v>
      </c>
      <c r="M449" s="2" t="s">
        <v>72</v>
      </c>
      <c r="N449" s="3"/>
      <c r="O449" s="3"/>
      <c r="P449" s="3"/>
      <c r="Q449" s="3"/>
      <c r="R449" s="3"/>
      <c r="S449" s="3"/>
      <c r="T449" s="3"/>
      <c r="U449" s="3"/>
      <c r="V449" s="3"/>
      <c r="W449" s="3"/>
      <c r="X449" s="3"/>
      <c r="Y449" s="3"/>
      <c r="Z449" s="3"/>
    </row>
    <row r="450" spans="1:26" hidden="1" x14ac:dyDescent="0.3">
      <c r="A450" s="2" t="s">
        <v>467</v>
      </c>
      <c r="B450" s="2" t="s">
        <v>274</v>
      </c>
      <c r="C450" s="2" t="s">
        <v>274</v>
      </c>
      <c r="D450" s="2" t="s">
        <v>200</v>
      </c>
      <c r="E450" s="2" t="s">
        <v>200</v>
      </c>
      <c r="F450" s="2" t="s">
        <v>53</v>
      </c>
      <c r="G450" s="2" t="s">
        <v>53</v>
      </c>
      <c r="H450" s="2" t="s">
        <v>54</v>
      </c>
      <c r="I450" s="2" t="s">
        <v>54</v>
      </c>
      <c r="J450" s="2" t="s">
        <v>929</v>
      </c>
      <c r="K450" s="2" t="s">
        <v>930</v>
      </c>
      <c r="L450" s="2" t="s">
        <v>404</v>
      </c>
      <c r="M450" s="2" t="s">
        <v>72</v>
      </c>
      <c r="N450" s="3"/>
      <c r="O450" s="3"/>
      <c r="P450" s="3"/>
      <c r="Q450" s="3"/>
      <c r="R450" s="3"/>
      <c r="S450" s="3"/>
      <c r="T450" s="3"/>
      <c r="U450" s="3"/>
      <c r="V450" s="3"/>
      <c r="W450" s="3"/>
      <c r="X450" s="3"/>
      <c r="Y450" s="3"/>
      <c r="Z450" s="3"/>
    </row>
    <row r="451" spans="1:26" hidden="1" x14ac:dyDescent="0.3">
      <c r="A451" s="2" t="s">
        <v>467</v>
      </c>
      <c r="B451" s="2" t="s">
        <v>274</v>
      </c>
      <c r="C451" s="2" t="s">
        <v>274</v>
      </c>
      <c r="D451" s="2" t="s">
        <v>200</v>
      </c>
      <c r="E451" s="2" t="s">
        <v>200</v>
      </c>
      <c r="F451" s="2" t="s">
        <v>53</v>
      </c>
      <c r="G451" s="2" t="s">
        <v>53</v>
      </c>
      <c r="H451" s="2" t="s">
        <v>287</v>
      </c>
      <c r="I451" s="2" t="s">
        <v>287</v>
      </c>
      <c r="J451" s="2" t="s">
        <v>931</v>
      </c>
      <c r="K451" s="2" t="s">
        <v>930</v>
      </c>
      <c r="L451" s="2" t="s">
        <v>404</v>
      </c>
      <c r="M451" s="2" t="s">
        <v>72</v>
      </c>
      <c r="N451" s="3"/>
      <c r="O451" s="3"/>
      <c r="P451" s="3"/>
      <c r="Q451" s="3"/>
      <c r="R451" s="3"/>
      <c r="S451" s="3"/>
      <c r="T451" s="3"/>
      <c r="U451" s="3"/>
      <c r="V451" s="3"/>
      <c r="W451" s="3"/>
      <c r="X451" s="3"/>
      <c r="Y451" s="3"/>
      <c r="Z451" s="3"/>
    </row>
    <row r="452" spans="1:26" hidden="1" x14ac:dyDescent="0.3">
      <c r="A452" s="2" t="s">
        <v>467</v>
      </c>
      <c r="B452" s="2" t="s">
        <v>274</v>
      </c>
      <c r="C452" s="2" t="s">
        <v>274</v>
      </c>
      <c r="D452" s="2" t="s">
        <v>200</v>
      </c>
      <c r="E452" s="2" t="s">
        <v>200</v>
      </c>
      <c r="F452" s="2" t="s">
        <v>286</v>
      </c>
      <c r="G452" s="2" t="s">
        <v>286</v>
      </c>
      <c r="H452" s="2" t="s">
        <v>287</v>
      </c>
      <c r="I452" s="2" t="s">
        <v>287</v>
      </c>
      <c r="J452" s="2" t="s">
        <v>931</v>
      </c>
      <c r="K452" s="2" t="s">
        <v>930</v>
      </c>
      <c r="L452" s="2" t="s">
        <v>404</v>
      </c>
      <c r="M452" s="2" t="s">
        <v>72</v>
      </c>
      <c r="N452" s="3"/>
      <c r="O452" s="3"/>
      <c r="P452" s="3"/>
      <c r="Q452" s="3"/>
      <c r="R452" s="3"/>
      <c r="S452" s="3"/>
      <c r="T452" s="3"/>
      <c r="U452" s="3"/>
      <c r="V452" s="3"/>
      <c r="W452" s="3"/>
      <c r="X452" s="3"/>
      <c r="Y452" s="3"/>
      <c r="Z452" s="3"/>
    </row>
    <row r="453" spans="1:26" hidden="1" x14ac:dyDescent="0.3">
      <c r="A453" s="2" t="s">
        <v>467</v>
      </c>
      <c r="B453" s="2" t="s">
        <v>274</v>
      </c>
      <c r="C453" s="2" t="s">
        <v>274</v>
      </c>
      <c r="D453" s="2" t="s">
        <v>200</v>
      </c>
      <c r="E453" s="2" t="s">
        <v>200</v>
      </c>
      <c r="F453" s="2" t="s">
        <v>53</v>
      </c>
      <c r="G453" s="2" t="s">
        <v>53</v>
      </c>
      <c r="H453" s="2" t="s">
        <v>54</v>
      </c>
      <c r="I453" s="2" t="s">
        <v>54</v>
      </c>
      <c r="J453" s="2" t="s">
        <v>931</v>
      </c>
      <c r="K453" s="2" t="s">
        <v>930</v>
      </c>
      <c r="L453" s="2" t="s">
        <v>404</v>
      </c>
      <c r="M453" s="2" t="s">
        <v>72</v>
      </c>
      <c r="N453" s="3"/>
      <c r="O453" s="3"/>
      <c r="P453" s="3"/>
      <c r="Q453" s="3"/>
      <c r="R453" s="3"/>
      <c r="S453" s="3"/>
      <c r="T453" s="3"/>
      <c r="U453" s="3"/>
      <c r="V453" s="3"/>
      <c r="W453" s="3"/>
      <c r="X453" s="3"/>
      <c r="Y453" s="3"/>
      <c r="Z453" s="3"/>
    </row>
    <row r="454" spans="1:26" hidden="1" x14ac:dyDescent="0.3">
      <c r="A454" s="2" t="s">
        <v>467</v>
      </c>
      <c r="B454" s="2" t="s">
        <v>274</v>
      </c>
      <c r="C454" s="2" t="s">
        <v>274</v>
      </c>
      <c r="D454" s="2" t="s">
        <v>200</v>
      </c>
      <c r="E454" s="2" t="s">
        <v>200</v>
      </c>
      <c r="F454" s="2" t="s">
        <v>53</v>
      </c>
      <c r="G454" s="2" t="s">
        <v>53</v>
      </c>
      <c r="H454" s="2" t="s">
        <v>287</v>
      </c>
      <c r="I454" s="2" t="s">
        <v>287</v>
      </c>
      <c r="J454" s="2" t="s">
        <v>932</v>
      </c>
      <c r="K454" s="2" t="s">
        <v>930</v>
      </c>
      <c r="L454" s="2" t="s">
        <v>404</v>
      </c>
      <c r="M454" s="2" t="s">
        <v>72</v>
      </c>
      <c r="N454" s="3"/>
      <c r="O454" s="3"/>
      <c r="P454" s="3"/>
      <c r="Q454" s="3"/>
      <c r="R454" s="3"/>
      <c r="S454" s="3"/>
      <c r="T454" s="3"/>
      <c r="U454" s="3"/>
      <c r="V454" s="3"/>
      <c r="W454" s="3"/>
      <c r="X454" s="3"/>
      <c r="Y454" s="3"/>
      <c r="Z454" s="3"/>
    </row>
    <row r="455" spans="1:26" hidden="1" x14ac:dyDescent="0.3">
      <c r="A455" s="2" t="s">
        <v>467</v>
      </c>
      <c r="B455" s="2" t="s">
        <v>274</v>
      </c>
      <c r="C455" s="2" t="s">
        <v>274</v>
      </c>
      <c r="D455" s="2" t="s">
        <v>200</v>
      </c>
      <c r="E455" s="2" t="s">
        <v>200</v>
      </c>
      <c r="F455" s="2" t="s">
        <v>286</v>
      </c>
      <c r="G455" s="2" t="s">
        <v>286</v>
      </c>
      <c r="H455" s="2" t="s">
        <v>287</v>
      </c>
      <c r="I455" s="2" t="s">
        <v>287</v>
      </c>
      <c r="J455" s="2" t="s">
        <v>932</v>
      </c>
      <c r="K455" s="2" t="s">
        <v>930</v>
      </c>
      <c r="L455" s="2" t="s">
        <v>404</v>
      </c>
      <c r="M455" s="2" t="s">
        <v>72</v>
      </c>
      <c r="N455" s="3"/>
      <c r="O455" s="3"/>
      <c r="P455" s="3"/>
      <c r="Q455" s="3"/>
      <c r="R455" s="3"/>
      <c r="S455" s="3"/>
      <c r="T455" s="3"/>
      <c r="U455" s="3"/>
      <c r="V455" s="3"/>
      <c r="W455" s="3"/>
      <c r="X455" s="3"/>
      <c r="Y455" s="3"/>
      <c r="Z455" s="3"/>
    </row>
    <row r="456" spans="1:26" hidden="1" x14ac:dyDescent="0.3">
      <c r="A456" s="2" t="s">
        <v>467</v>
      </c>
      <c r="B456" s="2" t="s">
        <v>274</v>
      </c>
      <c r="C456" s="2" t="s">
        <v>274</v>
      </c>
      <c r="D456" s="2" t="s">
        <v>200</v>
      </c>
      <c r="E456" s="2" t="s">
        <v>200</v>
      </c>
      <c r="F456" s="2" t="s">
        <v>53</v>
      </c>
      <c r="G456" s="2" t="s">
        <v>53</v>
      </c>
      <c r="H456" s="2" t="s">
        <v>54</v>
      </c>
      <c r="I456" s="2" t="s">
        <v>54</v>
      </c>
      <c r="J456" s="2" t="s">
        <v>932</v>
      </c>
      <c r="K456" s="2" t="s">
        <v>930</v>
      </c>
      <c r="L456" s="2" t="s">
        <v>404</v>
      </c>
      <c r="M456" s="2" t="s">
        <v>72</v>
      </c>
      <c r="N456" s="3"/>
      <c r="O456" s="3"/>
      <c r="P456" s="3"/>
      <c r="Q456" s="3"/>
      <c r="R456" s="3"/>
      <c r="S456" s="3"/>
      <c r="T456" s="3"/>
      <c r="U456" s="3"/>
      <c r="V456" s="3"/>
      <c r="W456" s="3"/>
      <c r="X456" s="3"/>
      <c r="Y456" s="3"/>
      <c r="Z456" s="3"/>
    </row>
    <row r="457" spans="1:26" hidden="1" x14ac:dyDescent="0.3">
      <c r="A457" s="2" t="s">
        <v>467</v>
      </c>
      <c r="B457" s="2" t="s">
        <v>274</v>
      </c>
      <c r="C457" s="2" t="s">
        <v>274</v>
      </c>
      <c r="D457" s="2" t="s">
        <v>200</v>
      </c>
      <c r="E457" s="2" t="s">
        <v>200</v>
      </c>
      <c r="F457" s="2" t="s">
        <v>53</v>
      </c>
      <c r="G457" s="2" t="s">
        <v>53</v>
      </c>
      <c r="H457" s="2" t="s">
        <v>287</v>
      </c>
      <c r="I457" s="2" t="s">
        <v>287</v>
      </c>
      <c r="J457" s="2" t="s">
        <v>933</v>
      </c>
      <c r="K457" s="2" t="s">
        <v>930</v>
      </c>
      <c r="L457" s="2" t="s">
        <v>404</v>
      </c>
      <c r="M457" s="2" t="s">
        <v>72</v>
      </c>
      <c r="N457" s="3"/>
      <c r="O457" s="3"/>
      <c r="P457" s="3"/>
      <c r="Q457" s="3"/>
      <c r="R457" s="3"/>
      <c r="S457" s="3"/>
      <c r="T457" s="3"/>
      <c r="U457" s="3"/>
      <c r="V457" s="3"/>
      <c r="W457" s="3"/>
      <c r="X457" s="3"/>
      <c r="Y457" s="3"/>
      <c r="Z457" s="3"/>
    </row>
    <row r="458" spans="1:26" hidden="1" x14ac:dyDescent="0.3">
      <c r="A458" s="2" t="s">
        <v>467</v>
      </c>
      <c r="B458" s="2" t="s">
        <v>274</v>
      </c>
      <c r="C458" s="2" t="s">
        <v>274</v>
      </c>
      <c r="D458" s="2" t="s">
        <v>200</v>
      </c>
      <c r="E458" s="2" t="s">
        <v>200</v>
      </c>
      <c r="F458" s="2" t="s">
        <v>286</v>
      </c>
      <c r="G458" s="2" t="s">
        <v>286</v>
      </c>
      <c r="H458" s="2" t="s">
        <v>287</v>
      </c>
      <c r="I458" s="2" t="s">
        <v>287</v>
      </c>
      <c r="J458" s="2" t="s">
        <v>933</v>
      </c>
      <c r="K458" s="2" t="s">
        <v>930</v>
      </c>
      <c r="L458" s="2" t="s">
        <v>404</v>
      </c>
      <c r="M458" s="2" t="s">
        <v>72</v>
      </c>
      <c r="N458" s="3"/>
      <c r="O458" s="3"/>
      <c r="P458" s="3"/>
      <c r="Q458" s="3"/>
      <c r="R458" s="3"/>
      <c r="S458" s="3"/>
      <c r="T458" s="3"/>
      <c r="U458" s="3"/>
      <c r="V458" s="3"/>
      <c r="W458" s="3"/>
      <c r="X458" s="3"/>
      <c r="Y458" s="3"/>
      <c r="Z458" s="3"/>
    </row>
    <row r="459" spans="1:26" hidden="1" x14ac:dyDescent="0.3">
      <c r="A459" s="2" t="s">
        <v>467</v>
      </c>
      <c r="B459" s="2" t="s">
        <v>274</v>
      </c>
      <c r="C459" s="2" t="s">
        <v>274</v>
      </c>
      <c r="D459" s="2" t="s">
        <v>200</v>
      </c>
      <c r="E459" s="2" t="s">
        <v>200</v>
      </c>
      <c r="F459" s="2" t="s">
        <v>53</v>
      </c>
      <c r="G459" s="2" t="s">
        <v>53</v>
      </c>
      <c r="H459" s="2" t="s">
        <v>54</v>
      </c>
      <c r="I459" s="2" t="s">
        <v>54</v>
      </c>
      <c r="J459" s="2" t="s">
        <v>933</v>
      </c>
      <c r="K459" s="2" t="s">
        <v>930</v>
      </c>
      <c r="L459" s="2" t="s">
        <v>404</v>
      </c>
      <c r="M459" s="2" t="s">
        <v>72</v>
      </c>
      <c r="N459" s="3"/>
      <c r="O459" s="3"/>
      <c r="P459" s="3"/>
      <c r="Q459" s="3"/>
      <c r="R459" s="3"/>
      <c r="S459" s="3"/>
      <c r="T459" s="3"/>
      <c r="U459" s="3"/>
      <c r="V459" s="3"/>
      <c r="W459" s="3"/>
      <c r="X459" s="3"/>
      <c r="Y459" s="3"/>
      <c r="Z459" s="3"/>
    </row>
    <row r="460" spans="1:26" hidden="1" x14ac:dyDescent="0.3">
      <c r="A460" s="2" t="s">
        <v>467</v>
      </c>
      <c r="B460" s="2" t="s">
        <v>274</v>
      </c>
      <c r="C460" s="2" t="s">
        <v>274</v>
      </c>
      <c r="D460" s="2" t="s">
        <v>200</v>
      </c>
      <c r="E460" s="2" t="s">
        <v>200</v>
      </c>
      <c r="F460" s="2" t="s">
        <v>53</v>
      </c>
      <c r="G460" s="2" t="s">
        <v>53</v>
      </c>
      <c r="H460" s="2" t="s">
        <v>287</v>
      </c>
      <c r="I460" s="2" t="s">
        <v>287</v>
      </c>
      <c r="J460" s="2" t="s">
        <v>934</v>
      </c>
      <c r="K460" s="2" t="s">
        <v>930</v>
      </c>
      <c r="L460" s="2" t="s">
        <v>404</v>
      </c>
      <c r="M460" s="2" t="s">
        <v>72</v>
      </c>
      <c r="N460" s="3"/>
      <c r="O460" s="3"/>
      <c r="P460" s="3"/>
      <c r="Q460" s="3"/>
      <c r="R460" s="3"/>
      <c r="S460" s="3"/>
      <c r="T460" s="3"/>
      <c r="U460" s="3"/>
      <c r="V460" s="3"/>
      <c r="W460" s="3"/>
      <c r="X460" s="3"/>
      <c r="Y460" s="3"/>
      <c r="Z460" s="3"/>
    </row>
    <row r="461" spans="1:26" hidden="1" x14ac:dyDescent="0.3">
      <c r="A461" s="2" t="s">
        <v>467</v>
      </c>
      <c r="B461" s="2" t="s">
        <v>274</v>
      </c>
      <c r="C461" s="2" t="s">
        <v>274</v>
      </c>
      <c r="D461" s="2" t="s">
        <v>200</v>
      </c>
      <c r="E461" s="2" t="s">
        <v>200</v>
      </c>
      <c r="F461" s="2" t="s">
        <v>286</v>
      </c>
      <c r="G461" s="2" t="s">
        <v>286</v>
      </c>
      <c r="H461" s="2" t="s">
        <v>287</v>
      </c>
      <c r="I461" s="2" t="s">
        <v>287</v>
      </c>
      <c r="J461" s="2" t="s">
        <v>934</v>
      </c>
      <c r="K461" s="2" t="s">
        <v>930</v>
      </c>
      <c r="L461" s="2" t="s">
        <v>404</v>
      </c>
      <c r="M461" s="2" t="s">
        <v>72</v>
      </c>
      <c r="N461" s="3"/>
      <c r="O461" s="3"/>
      <c r="P461" s="3"/>
      <c r="Q461" s="3"/>
      <c r="R461" s="3"/>
      <c r="S461" s="3"/>
      <c r="T461" s="3"/>
      <c r="U461" s="3"/>
      <c r="V461" s="3"/>
      <c r="W461" s="3"/>
      <c r="X461" s="3"/>
      <c r="Y461" s="3"/>
      <c r="Z461" s="3"/>
    </row>
    <row r="462" spans="1:26" hidden="1" x14ac:dyDescent="0.3">
      <c r="A462" s="2" t="s">
        <v>467</v>
      </c>
      <c r="B462" s="2" t="s">
        <v>274</v>
      </c>
      <c r="C462" s="2" t="s">
        <v>274</v>
      </c>
      <c r="D462" s="2" t="s">
        <v>200</v>
      </c>
      <c r="E462" s="2" t="s">
        <v>200</v>
      </c>
      <c r="F462" s="2" t="s">
        <v>53</v>
      </c>
      <c r="G462" s="2" t="s">
        <v>53</v>
      </c>
      <c r="H462" s="2" t="s">
        <v>54</v>
      </c>
      <c r="I462" s="2" t="s">
        <v>54</v>
      </c>
      <c r="J462" s="2" t="s">
        <v>934</v>
      </c>
      <c r="K462" s="2" t="s">
        <v>930</v>
      </c>
      <c r="L462" s="2" t="s">
        <v>404</v>
      </c>
      <c r="M462" s="2" t="s">
        <v>72</v>
      </c>
      <c r="N462" s="3"/>
      <c r="O462" s="3"/>
      <c r="P462" s="3"/>
      <c r="Q462" s="3"/>
      <c r="R462" s="3"/>
      <c r="S462" s="3"/>
      <c r="T462" s="3"/>
      <c r="U462" s="3"/>
      <c r="V462" s="3"/>
      <c r="W462" s="3"/>
      <c r="X462" s="3"/>
      <c r="Y462" s="3"/>
      <c r="Z462" s="3"/>
    </row>
    <row r="463" spans="1:26" hidden="1" x14ac:dyDescent="0.3">
      <c r="A463" s="2" t="s">
        <v>467</v>
      </c>
      <c r="B463" s="2" t="s">
        <v>274</v>
      </c>
      <c r="C463" s="2" t="s">
        <v>274</v>
      </c>
      <c r="D463" s="2" t="s">
        <v>200</v>
      </c>
      <c r="E463" s="2" t="s">
        <v>200</v>
      </c>
      <c r="F463" s="2" t="s">
        <v>53</v>
      </c>
      <c r="G463" s="2" t="s">
        <v>53</v>
      </c>
      <c r="H463" s="2" t="s">
        <v>287</v>
      </c>
      <c r="I463" s="2" t="s">
        <v>287</v>
      </c>
      <c r="J463" s="2" t="s">
        <v>935</v>
      </c>
      <c r="K463" s="2" t="s">
        <v>930</v>
      </c>
      <c r="L463" s="2" t="s">
        <v>404</v>
      </c>
      <c r="M463" s="2" t="s">
        <v>72</v>
      </c>
      <c r="N463" s="3"/>
      <c r="O463" s="3"/>
      <c r="P463" s="3"/>
      <c r="Q463" s="3"/>
      <c r="R463" s="3"/>
      <c r="S463" s="3"/>
      <c r="T463" s="3"/>
      <c r="U463" s="3"/>
      <c r="V463" s="3"/>
      <c r="W463" s="3"/>
      <c r="X463" s="3"/>
      <c r="Y463" s="3"/>
      <c r="Z463" s="3"/>
    </row>
    <row r="464" spans="1:26" hidden="1" x14ac:dyDescent="0.3">
      <c r="A464" s="2" t="s">
        <v>467</v>
      </c>
      <c r="B464" s="2" t="s">
        <v>274</v>
      </c>
      <c r="C464" s="2" t="s">
        <v>274</v>
      </c>
      <c r="D464" s="2" t="s">
        <v>200</v>
      </c>
      <c r="E464" s="2" t="s">
        <v>200</v>
      </c>
      <c r="F464" s="2" t="s">
        <v>286</v>
      </c>
      <c r="G464" s="2" t="s">
        <v>286</v>
      </c>
      <c r="H464" s="2" t="s">
        <v>287</v>
      </c>
      <c r="I464" s="2" t="s">
        <v>287</v>
      </c>
      <c r="J464" s="2" t="s">
        <v>935</v>
      </c>
      <c r="K464" s="2" t="s">
        <v>930</v>
      </c>
      <c r="L464" s="2" t="s">
        <v>404</v>
      </c>
      <c r="M464" s="2" t="s">
        <v>72</v>
      </c>
      <c r="N464" s="3"/>
      <c r="O464" s="3"/>
      <c r="P464" s="3"/>
      <c r="Q464" s="3"/>
      <c r="R464" s="3"/>
      <c r="S464" s="3"/>
      <c r="T464" s="3"/>
      <c r="U464" s="3"/>
      <c r="V464" s="3"/>
      <c r="W464" s="3"/>
      <c r="X464" s="3"/>
      <c r="Y464" s="3"/>
      <c r="Z464" s="3"/>
    </row>
    <row r="465" spans="1:26" hidden="1" x14ac:dyDescent="0.3">
      <c r="A465" s="2" t="s">
        <v>467</v>
      </c>
      <c r="B465" s="2" t="s">
        <v>274</v>
      </c>
      <c r="C465" s="2" t="s">
        <v>274</v>
      </c>
      <c r="D465" s="2" t="s">
        <v>200</v>
      </c>
      <c r="E465" s="2" t="s">
        <v>200</v>
      </c>
      <c r="F465" s="2" t="s">
        <v>53</v>
      </c>
      <c r="G465" s="2" t="s">
        <v>53</v>
      </c>
      <c r="H465" s="2" t="s">
        <v>54</v>
      </c>
      <c r="I465" s="2" t="s">
        <v>54</v>
      </c>
      <c r="J465" s="2" t="s">
        <v>935</v>
      </c>
      <c r="K465" s="2" t="s">
        <v>930</v>
      </c>
      <c r="L465" s="2" t="s">
        <v>404</v>
      </c>
      <c r="M465" s="2" t="s">
        <v>72</v>
      </c>
      <c r="N465" s="3"/>
      <c r="O465" s="3"/>
      <c r="P465" s="3"/>
      <c r="Q465" s="3"/>
      <c r="R465" s="3"/>
      <c r="S465" s="3"/>
      <c r="T465" s="3"/>
      <c r="U465" s="3"/>
      <c r="V465" s="3"/>
      <c r="W465" s="3"/>
      <c r="X465" s="3"/>
      <c r="Y465" s="3"/>
      <c r="Z465" s="3"/>
    </row>
    <row r="466" spans="1:26" hidden="1" x14ac:dyDescent="0.3">
      <c r="A466" s="2" t="s">
        <v>467</v>
      </c>
      <c r="B466" s="2" t="s">
        <v>274</v>
      </c>
      <c r="C466" s="2" t="s">
        <v>274</v>
      </c>
      <c r="D466" s="2" t="s">
        <v>151</v>
      </c>
      <c r="E466" s="2" t="s">
        <v>151</v>
      </c>
      <c r="F466" s="2" t="s">
        <v>53</v>
      </c>
      <c r="G466" s="2" t="s">
        <v>53</v>
      </c>
      <c r="H466" s="2" t="s">
        <v>309</v>
      </c>
      <c r="I466" s="2" t="s">
        <v>309</v>
      </c>
      <c r="J466" s="2" t="s">
        <v>310</v>
      </c>
      <c r="K466" s="2" t="s">
        <v>311</v>
      </c>
      <c r="L466" s="2" t="s">
        <v>404</v>
      </c>
      <c r="M466" s="2" t="s">
        <v>72</v>
      </c>
      <c r="N466" s="3"/>
      <c r="O466" s="3"/>
      <c r="P466" s="3"/>
      <c r="Q466" s="3"/>
      <c r="R466" s="3"/>
      <c r="S466" s="3"/>
      <c r="T466" s="3"/>
      <c r="U466" s="3"/>
      <c r="V466" s="3"/>
      <c r="W466" s="3"/>
      <c r="X466" s="3"/>
      <c r="Y466" s="3"/>
      <c r="Z466" s="3"/>
    </row>
    <row r="467" spans="1:26" hidden="1" x14ac:dyDescent="0.3">
      <c r="A467" s="2" t="s">
        <v>467</v>
      </c>
      <c r="B467" s="2" t="s">
        <v>274</v>
      </c>
      <c r="C467" s="2" t="s">
        <v>274</v>
      </c>
      <c r="D467" s="2" t="s">
        <v>151</v>
      </c>
      <c r="E467" s="2" t="s">
        <v>151</v>
      </c>
      <c r="F467" s="2" t="s">
        <v>53</v>
      </c>
      <c r="G467" s="2" t="s">
        <v>53</v>
      </c>
      <c r="H467" s="2" t="s">
        <v>54</v>
      </c>
      <c r="I467" s="2" t="s">
        <v>54</v>
      </c>
      <c r="J467" s="2" t="s">
        <v>312</v>
      </c>
      <c r="K467" s="2" t="s">
        <v>311</v>
      </c>
      <c r="L467" s="2" t="s">
        <v>404</v>
      </c>
      <c r="M467" s="2" t="s">
        <v>72</v>
      </c>
      <c r="N467" s="3"/>
      <c r="O467" s="3"/>
      <c r="P467" s="3"/>
      <c r="Q467" s="3"/>
      <c r="R467" s="3"/>
      <c r="S467" s="3"/>
      <c r="T467" s="3"/>
      <c r="U467" s="3"/>
      <c r="V467" s="3"/>
      <c r="W467" s="3"/>
      <c r="X467" s="3"/>
      <c r="Y467" s="3"/>
      <c r="Z467" s="3"/>
    </row>
    <row r="468" spans="1:26" hidden="1" x14ac:dyDescent="0.3">
      <c r="A468" s="2" t="s">
        <v>467</v>
      </c>
      <c r="B468" s="2" t="s">
        <v>274</v>
      </c>
      <c r="C468" s="2" t="s">
        <v>274</v>
      </c>
      <c r="D468" s="2" t="s">
        <v>62</v>
      </c>
      <c r="E468" s="2" t="s">
        <v>62</v>
      </c>
      <c r="F468" s="2" t="s">
        <v>53</v>
      </c>
      <c r="G468" s="2" t="s">
        <v>53</v>
      </c>
      <c r="H468" s="2" t="s">
        <v>54</v>
      </c>
      <c r="I468" s="2" t="s">
        <v>54</v>
      </c>
      <c r="J468" s="2" t="s">
        <v>62</v>
      </c>
      <c r="K468" s="2"/>
      <c r="L468" s="2" t="s">
        <v>404</v>
      </c>
      <c r="M468" s="2" t="s">
        <v>72</v>
      </c>
      <c r="N468" s="3"/>
      <c r="O468" s="3"/>
      <c r="P468" s="3"/>
      <c r="Q468" s="3"/>
      <c r="R468" s="3"/>
      <c r="S468" s="3"/>
      <c r="T468" s="3"/>
      <c r="U468" s="3"/>
      <c r="V468" s="3"/>
      <c r="W468" s="3"/>
      <c r="X468" s="3"/>
      <c r="Y468" s="3"/>
      <c r="Z468" s="3"/>
    </row>
    <row r="469" spans="1:26" hidden="1" x14ac:dyDescent="0.3">
      <c r="A469" s="2" t="s">
        <v>467</v>
      </c>
      <c r="B469" s="2" t="s">
        <v>274</v>
      </c>
      <c r="C469" s="2" t="s">
        <v>274</v>
      </c>
      <c r="D469" s="2" t="s">
        <v>64</v>
      </c>
      <c r="E469" s="2" t="s">
        <v>64</v>
      </c>
      <c r="F469" s="2" t="s">
        <v>53</v>
      </c>
      <c r="G469" s="2" t="s">
        <v>53</v>
      </c>
      <c r="H469" s="2" t="s">
        <v>54</v>
      </c>
      <c r="I469" s="2" t="s">
        <v>54</v>
      </c>
      <c r="J469" s="2" t="s">
        <v>64</v>
      </c>
      <c r="K469" s="2"/>
      <c r="L469" s="2" t="s">
        <v>404</v>
      </c>
      <c r="M469" s="2" t="s">
        <v>72</v>
      </c>
      <c r="N469" s="3"/>
      <c r="O469" s="3"/>
      <c r="P469" s="3"/>
      <c r="Q469" s="3"/>
      <c r="R469" s="3"/>
      <c r="S469" s="3"/>
      <c r="T469" s="3"/>
      <c r="U469" s="3"/>
      <c r="V469" s="3"/>
      <c r="W469" s="3"/>
      <c r="X469" s="3"/>
      <c r="Y469" s="3"/>
      <c r="Z469" s="3"/>
    </row>
    <row r="470" spans="1:26" hidden="1" x14ac:dyDescent="0.3">
      <c r="A470" s="2" t="s">
        <v>467</v>
      </c>
      <c r="B470" s="2" t="s">
        <v>274</v>
      </c>
      <c r="C470" s="2" t="s">
        <v>274</v>
      </c>
      <c r="D470" s="2" t="s">
        <v>82</v>
      </c>
      <c r="E470" s="2" t="s">
        <v>82</v>
      </c>
      <c r="F470" s="2" t="s">
        <v>53</v>
      </c>
      <c r="G470" s="2" t="s">
        <v>53</v>
      </c>
      <c r="H470" s="2" t="s">
        <v>54</v>
      </c>
      <c r="I470" s="2" t="s">
        <v>54</v>
      </c>
      <c r="J470" s="2" t="s">
        <v>936</v>
      </c>
      <c r="K470" s="2"/>
      <c r="L470" s="2" t="s">
        <v>404</v>
      </c>
      <c r="M470" s="2" t="s">
        <v>72</v>
      </c>
      <c r="N470" s="3"/>
      <c r="O470" s="3"/>
      <c r="P470" s="3"/>
      <c r="Q470" s="3"/>
      <c r="R470" s="3"/>
      <c r="S470" s="3"/>
      <c r="T470" s="3"/>
      <c r="U470" s="3"/>
      <c r="V470" s="3"/>
      <c r="W470" s="3"/>
      <c r="X470" s="3"/>
      <c r="Y470" s="3"/>
      <c r="Z470" s="3"/>
    </row>
    <row r="471" spans="1:26" hidden="1" x14ac:dyDescent="0.3">
      <c r="A471" s="2" t="s">
        <v>467</v>
      </c>
      <c r="B471" s="2" t="s">
        <v>274</v>
      </c>
      <c r="C471" s="2" t="s">
        <v>274</v>
      </c>
      <c r="D471" s="2" t="s">
        <v>200</v>
      </c>
      <c r="E471" s="2" t="s">
        <v>200</v>
      </c>
      <c r="F471" s="2" t="s">
        <v>286</v>
      </c>
      <c r="G471" s="2" t="s">
        <v>286</v>
      </c>
      <c r="H471" s="2" t="s">
        <v>287</v>
      </c>
      <c r="I471" s="2" t="s">
        <v>287</v>
      </c>
      <c r="J471" s="2" t="s">
        <v>937</v>
      </c>
      <c r="K471" s="2"/>
      <c r="L471" s="2" t="s">
        <v>404</v>
      </c>
      <c r="M471" s="2" t="s">
        <v>72</v>
      </c>
      <c r="N471" s="3"/>
      <c r="O471" s="3"/>
      <c r="P471" s="3"/>
      <c r="Q471" s="3"/>
      <c r="R471" s="3"/>
      <c r="S471" s="3"/>
      <c r="T471" s="3"/>
      <c r="U471" s="3"/>
      <c r="V471" s="3"/>
      <c r="W471" s="3"/>
      <c r="X471" s="3"/>
      <c r="Y471" s="3"/>
      <c r="Z471" s="3"/>
    </row>
    <row r="472" spans="1:26" hidden="1" x14ac:dyDescent="0.3">
      <c r="A472" s="2" t="s">
        <v>467</v>
      </c>
      <c r="B472" s="2" t="s">
        <v>274</v>
      </c>
      <c r="C472" s="2" t="s">
        <v>274</v>
      </c>
      <c r="D472" s="2" t="s">
        <v>200</v>
      </c>
      <c r="E472" s="2" t="s">
        <v>200</v>
      </c>
      <c r="F472" s="2" t="s">
        <v>53</v>
      </c>
      <c r="G472" s="2" t="s">
        <v>53</v>
      </c>
      <c r="H472" s="2" t="s">
        <v>287</v>
      </c>
      <c r="I472" s="2" t="s">
        <v>287</v>
      </c>
      <c r="J472" s="2" t="s">
        <v>937</v>
      </c>
      <c r="K472" s="2"/>
      <c r="L472" s="2" t="s">
        <v>404</v>
      </c>
      <c r="M472" s="2" t="s">
        <v>72</v>
      </c>
      <c r="N472" s="3"/>
      <c r="O472" s="3"/>
      <c r="P472" s="3"/>
      <c r="Q472" s="3"/>
      <c r="R472" s="3"/>
      <c r="S472" s="3"/>
      <c r="T472" s="3"/>
      <c r="U472" s="3"/>
      <c r="V472" s="3"/>
      <c r="W472" s="3"/>
      <c r="X472" s="3"/>
      <c r="Y472" s="3"/>
      <c r="Z472" s="3"/>
    </row>
    <row r="473" spans="1:26" hidden="1" x14ac:dyDescent="0.3">
      <c r="A473" s="2" t="s">
        <v>467</v>
      </c>
      <c r="B473" s="2" t="s">
        <v>274</v>
      </c>
      <c r="C473" s="2" t="s">
        <v>274</v>
      </c>
      <c r="D473" s="2" t="s">
        <v>200</v>
      </c>
      <c r="E473" s="2" t="s">
        <v>200</v>
      </c>
      <c r="F473" s="2" t="s">
        <v>53</v>
      </c>
      <c r="G473" s="2" t="s">
        <v>53</v>
      </c>
      <c r="H473" s="2" t="s">
        <v>54</v>
      </c>
      <c r="I473" s="2" t="s">
        <v>54</v>
      </c>
      <c r="J473" s="2" t="s">
        <v>937</v>
      </c>
      <c r="K473" s="2"/>
      <c r="L473" s="2" t="s">
        <v>404</v>
      </c>
      <c r="M473" s="2" t="s">
        <v>72</v>
      </c>
      <c r="N473" s="3"/>
      <c r="O473" s="3"/>
      <c r="P473" s="3"/>
      <c r="Q473" s="3"/>
      <c r="R473" s="3"/>
      <c r="S473" s="3"/>
      <c r="T473" s="3"/>
      <c r="U473" s="3"/>
      <c r="V473" s="3"/>
      <c r="W473" s="3"/>
      <c r="X473" s="3"/>
      <c r="Y473" s="3"/>
      <c r="Z473" s="3"/>
    </row>
    <row r="474" spans="1:26" hidden="1" x14ac:dyDescent="0.3">
      <c r="A474" s="2" t="s">
        <v>467</v>
      </c>
      <c r="B474" s="2" t="s">
        <v>325</v>
      </c>
      <c r="C474" s="2" t="s">
        <v>325</v>
      </c>
      <c r="D474" s="2" t="s">
        <v>400</v>
      </c>
      <c r="E474" s="2" t="s">
        <v>400</v>
      </c>
      <c r="F474" s="2" t="s">
        <v>53</v>
      </c>
      <c r="G474" s="2" t="s">
        <v>53</v>
      </c>
      <c r="H474" s="2" t="s">
        <v>54</v>
      </c>
      <c r="I474" s="2" t="s">
        <v>54</v>
      </c>
      <c r="J474" s="2"/>
      <c r="K474" s="2"/>
      <c r="L474" s="2" t="s">
        <v>404</v>
      </c>
      <c r="M474" s="2" t="s">
        <v>57</v>
      </c>
      <c r="N474" s="3"/>
      <c r="O474" s="3"/>
      <c r="P474" s="3"/>
      <c r="Q474" s="3"/>
      <c r="R474" s="3"/>
      <c r="S474" s="3"/>
      <c r="T474" s="3"/>
      <c r="U474" s="3"/>
      <c r="V474" s="3"/>
      <c r="W474" s="3"/>
      <c r="X474" s="3"/>
      <c r="Y474" s="3"/>
      <c r="Z474" s="3"/>
    </row>
    <row r="475" spans="1:26" hidden="1" x14ac:dyDescent="0.3">
      <c r="A475" s="2" t="s">
        <v>467</v>
      </c>
      <c r="B475" s="2" t="s">
        <v>325</v>
      </c>
      <c r="C475" s="2" t="s">
        <v>325</v>
      </c>
      <c r="D475" s="2" t="s">
        <v>151</v>
      </c>
      <c r="E475" s="2" t="s">
        <v>151</v>
      </c>
      <c r="F475" s="2" t="s">
        <v>53</v>
      </c>
      <c r="G475" s="2" t="s">
        <v>53</v>
      </c>
      <c r="H475" s="2" t="s">
        <v>54</v>
      </c>
      <c r="I475" s="2" t="s">
        <v>54</v>
      </c>
      <c r="J475" s="2" t="s">
        <v>332</v>
      </c>
      <c r="K475" s="2"/>
      <c r="L475" s="2" t="s">
        <v>404</v>
      </c>
      <c r="M475" s="2" t="s">
        <v>57</v>
      </c>
      <c r="N475" s="3"/>
      <c r="O475" s="3"/>
      <c r="P475" s="3"/>
      <c r="Q475" s="3"/>
      <c r="R475" s="3"/>
      <c r="S475" s="3"/>
      <c r="T475" s="3"/>
      <c r="U475" s="3"/>
      <c r="V475" s="3"/>
      <c r="W475" s="3"/>
      <c r="X475" s="3"/>
      <c r="Y475" s="3"/>
      <c r="Z475" s="3"/>
    </row>
    <row r="476" spans="1:26" hidden="1" x14ac:dyDescent="0.3">
      <c r="A476" s="2" t="s">
        <v>467</v>
      </c>
      <c r="B476" s="2" t="s">
        <v>325</v>
      </c>
      <c r="C476" s="2" t="s">
        <v>325</v>
      </c>
      <c r="D476" s="2" t="s">
        <v>132</v>
      </c>
      <c r="E476" s="2" t="s">
        <v>132</v>
      </c>
      <c r="F476" s="2" t="s">
        <v>53</v>
      </c>
      <c r="G476" s="2" t="s">
        <v>53</v>
      </c>
      <c r="H476" s="2" t="s">
        <v>54</v>
      </c>
      <c r="I476" s="2" t="s">
        <v>54</v>
      </c>
      <c r="J476" s="2" t="s">
        <v>938</v>
      </c>
      <c r="K476" s="2"/>
      <c r="L476" s="2" t="s">
        <v>404</v>
      </c>
      <c r="M476" s="2" t="s">
        <v>57</v>
      </c>
      <c r="N476" s="3"/>
      <c r="O476" s="3"/>
      <c r="P476" s="3"/>
      <c r="Q476" s="3"/>
      <c r="R476" s="3"/>
      <c r="S476" s="3"/>
      <c r="T476" s="3"/>
      <c r="U476" s="3"/>
      <c r="V476" s="3"/>
      <c r="W476" s="3"/>
      <c r="X476" s="3"/>
      <c r="Y476" s="3"/>
      <c r="Z476" s="3"/>
    </row>
    <row r="477" spans="1:26" hidden="1" x14ac:dyDescent="0.3">
      <c r="A477" s="2" t="s">
        <v>467</v>
      </c>
      <c r="B477" s="2" t="s">
        <v>325</v>
      </c>
      <c r="C477" s="2" t="s">
        <v>325</v>
      </c>
      <c r="D477" s="2" t="s">
        <v>132</v>
      </c>
      <c r="E477" s="2" t="s">
        <v>132</v>
      </c>
      <c r="F477" s="2" t="s">
        <v>53</v>
      </c>
      <c r="G477" s="2" t="s">
        <v>53</v>
      </c>
      <c r="H477" s="2" t="s">
        <v>54</v>
      </c>
      <c r="I477" s="2" t="s">
        <v>54</v>
      </c>
      <c r="J477" s="2" t="s">
        <v>330</v>
      </c>
      <c r="K477" s="2"/>
      <c r="L477" s="2" t="s">
        <v>404</v>
      </c>
      <c r="M477" s="2" t="s">
        <v>57</v>
      </c>
      <c r="N477" s="3"/>
      <c r="O477" s="3"/>
      <c r="P477" s="3"/>
      <c r="Q477" s="3"/>
      <c r="R477" s="3"/>
      <c r="S477" s="3"/>
      <c r="T477" s="3"/>
      <c r="U477" s="3"/>
      <c r="V477" s="3"/>
      <c r="W477" s="3"/>
      <c r="X477" s="3"/>
      <c r="Y477" s="3"/>
      <c r="Z477" s="3"/>
    </row>
    <row r="478" spans="1:26" hidden="1" x14ac:dyDescent="0.3">
      <c r="A478" s="2" t="s">
        <v>467</v>
      </c>
      <c r="B478" s="2" t="s">
        <v>325</v>
      </c>
      <c r="C478" s="2" t="s">
        <v>325</v>
      </c>
      <c r="D478" s="2" t="s">
        <v>82</v>
      </c>
      <c r="E478" s="2" t="s">
        <v>82</v>
      </c>
      <c r="F478" s="2" t="s">
        <v>53</v>
      </c>
      <c r="G478" s="2" t="s">
        <v>53</v>
      </c>
      <c r="H478" s="2" t="s">
        <v>54</v>
      </c>
      <c r="I478" s="2" t="s">
        <v>54</v>
      </c>
      <c r="J478" s="2" t="s">
        <v>334</v>
      </c>
      <c r="K478" s="2"/>
      <c r="L478" s="2" t="s">
        <v>404</v>
      </c>
      <c r="M478" s="2" t="s">
        <v>57</v>
      </c>
      <c r="N478" s="3"/>
      <c r="O478" s="3"/>
      <c r="P478" s="3"/>
      <c r="Q478" s="3"/>
      <c r="R478" s="3"/>
      <c r="S478" s="3"/>
      <c r="T478" s="3"/>
      <c r="U478" s="3"/>
      <c r="V478" s="3"/>
      <c r="W478" s="3"/>
      <c r="X478" s="3"/>
      <c r="Y478" s="3"/>
      <c r="Z478" s="3"/>
    </row>
    <row r="479" spans="1:26" hidden="1" x14ac:dyDescent="0.3">
      <c r="A479" s="2" t="s">
        <v>467</v>
      </c>
      <c r="B479" s="2" t="s">
        <v>325</v>
      </c>
      <c r="C479" s="2" t="s">
        <v>325</v>
      </c>
      <c r="D479" s="2" t="s">
        <v>132</v>
      </c>
      <c r="E479" s="2" t="s">
        <v>132</v>
      </c>
      <c r="F479" s="2" t="s">
        <v>53</v>
      </c>
      <c r="G479" s="2" t="s">
        <v>53</v>
      </c>
      <c r="H479" s="2" t="s">
        <v>54</v>
      </c>
      <c r="I479" s="2" t="s">
        <v>54</v>
      </c>
      <c r="J479" s="2" t="s">
        <v>939</v>
      </c>
      <c r="K479" s="2"/>
      <c r="L479" s="2" t="s">
        <v>404</v>
      </c>
      <c r="M479" s="2" t="s">
        <v>57</v>
      </c>
      <c r="N479" s="3"/>
      <c r="O479" s="3"/>
      <c r="P479" s="3"/>
      <c r="Q479" s="3"/>
      <c r="R479" s="3"/>
      <c r="S479" s="3"/>
      <c r="T479" s="3"/>
      <c r="U479" s="3"/>
      <c r="V479" s="3"/>
      <c r="W479" s="3"/>
      <c r="X479" s="3"/>
      <c r="Y479" s="3"/>
      <c r="Z479" s="3"/>
    </row>
    <row r="480" spans="1:26" hidden="1" x14ac:dyDescent="0.3">
      <c r="A480" s="2" t="s">
        <v>467</v>
      </c>
      <c r="B480" s="2" t="s">
        <v>325</v>
      </c>
      <c r="C480" s="2" t="s">
        <v>325</v>
      </c>
      <c r="D480" s="2" t="s">
        <v>132</v>
      </c>
      <c r="E480" s="2" t="s">
        <v>132</v>
      </c>
      <c r="F480" s="2" t="s">
        <v>53</v>
      </c>
      <c r="G480" s="2" t="s">
        <v>53</v>
      </c>
      <c r="H480" s="2" t="s">
        <v>54</v>
      </c>
      <c r="I480" s="2" t="s">
        <v>54</v>
      </c>
      <c r="J480" s="2" t="s">
        <v>940</v>
      </c>
      <c r="K480" s="2"/>
      <c r="L480" s="2" t="s">
        <v>404</v>
      </c>
      <c r="M480" s="2" t="s">
        <v>57</v>
      </c>
      <c r="N480" s="3"/>
      <c r="O480" s="3"/>
      <c r="P480" s="3"/>
      <c r="Q480" s="3"/>
      <c r="R480" s="3"/>
      <c r="S480" s="3"/>
      <c r="T480" s="3"/>
      <c r="U480" s="3"/>
      <c r="V480" s="3"/>
      <c r="W480" s="3"/>
      <c r="X480" s="3"/>
      <c r="Y480" s="3"/>
      <c r="Z480" s="3"/>
    </row>
    <row r="481" spans="1:26" hidden="1" x14ac:dyDescent="0.3">
      <c r="A481" s="2" t="s">
        <v>467</v>
      </c>
      <c r="B481" s="2" t="s">
        <v>325</v>
      </c>
      <c r="C481" s="2" t="s">
        <v>325</v>
      </c>
      <c r="D481" s="2" t="s">
        <v>132</v>
      </c>
      <c r="E481" s="2" t="s">
        <v>132</v>
      </c>
      <c r="F481" s="2" t="s">
        <v>53</v>
      </c>
      <c r="G481" s="2" t="s">
        <v>53</v>
      </c>
      <c r="H481" s="2" t="s">
        <v>54</v>
      </c>
      <c r="I481" s="2" t="s">
        <v>54</v>
      </c>
      <c r="J481" s="2" t="s">
        <v>941</v>
      </c>
      <c r="K481" s="2"/>
      <c r="L481" s="2" t="s">
        <v>404</v>
      </c>
      <c r="M481" s="2" t="s">
        <v>57</v>
      </c>
      <c r="N481" s="3"/>
      <c r="O481" s="3"/>
      <c r="P481" s="3"/>
      <c r="Q481" s="3"/>
      <c r="R481" s="3"/>
      <c r="S481" s="3"/>
      <c r="T481" s="3"/>
      <c r="U481" s="3"/>
      <c r="V481" s="3"/>
      <c r="W481" s="3"/>
      <c r="X481" s="3"/>
      <c r="Y481" s="3"/>
      <c r="Z481" s="3"/>
    </row>
    <row r="482" spans="1:26" hidden="1" x14ac:dyDescent="0.3">
      <c r="A482" s="2" t="s">
        <v>467</v>
      </c>
      <c r="B482" s="2" t="s">
        <v>325</v>
      </c>
      <c r="C482" s="2" t="s">
        <v>325</v>
      </c>
      <c r="D482" s="2" t="s">
        <v>66</v>
      </c>
      <c r="E482" s="2" t="s">
        <v>66</v>
      </c>
      <c r="F482" s="2" t="s">
        <v>53</v>
      </c>
      <c r="G482" s="2" t="s">
        <v>53</v>
      </c>
      <c r="H482" s="2" t="s">
        <v>54</v>
      </c>
      <c r="I482" s="2" t="s">
        <v>54</v>
      </c>
      <c r="J482" s="2" t="s">
        <v>942</v>
      </c>
      <c r="K482" s="2"/>
      <c r="L482" s="2" t="s">
        <v>404</v>
      </c>
      <c r="M482" s="2" t="s">
        <v>57</v>
      </c>
      <c r="N482" s="3"/>
      <c r="O482" s="3"/>
      <c r="P482" s="3"/>
      <c r="Q482" s="3"/>
      <c r="R482" s="3"/>
      <c r="S482" s="3"/>
      <c r="T482" s="3"/>
      <c r="U482" s="3"/>
      <c r="V482" s="3"/>
      <c r="W482" s="3"/>
      <c r="X482" s="3"/>
      <c r="Y482" s="3"/>
      <c r="Z482" s="3"/>
    </row>
    <row r="483" spans="1:26" hidden="1" x14ac:dyDescent="0.3">
      <c r="A483" s="2" t="s">
        <v>467</v>
      </c>
      <c r="B483" s="2" t="s">
        <v>325</v>
      </c>
      <c r="C483" s="2" t="s">
        <v>325</v>
      </c>
      <c r="D483" s="2" t="s">
        <v>82</v>
      </c>
      <c r="E483" s="2" t="s">
        <v>82</v>
      </c>
      <c r="F483" s="2" t="s">
        <v>53</v>
      </c>
      <c r="G483" s="2" t="s">
        <v>53</v>
      </c>
      <c r="H483" s="2" t="s">
        <v>54</v>
      </c>
      <c r="I483" s="2" t="s">
        <v>54</v>
      </c>
      <c r="J483" s="2" t="s">
        <v>943</v>
      </c>
      <c r="K483" s="2"/>
      <c r="L483" s="2" t="s">
        <v>404</v>
      </c>
      <c r="M483" s="2" t="s">
        <v>57</v>
      </c>
      <c r="N483" s="3"/>
      <c r="O483" s="3"/>
      <c r="P483" s="3"/>
      <c r="Q483" s="3"/>
      <c r="R483" s="3"/>
      <c r="S483" s="3"/>
      <c r="T483" s="3"/>
      <c r="U483" s="3"/>
      <c r="V483" s="3"/>
      <c r="W483" s="3"/>
      <c r="X483" s="3"/>
      <c r="Y483" s="3"/>
      <c r="Z483" s="3"/>
    </row>
    <row r="484" spans="1:26" hidden="1" x14ac:dyDescent="0.3">
      <c r="A484" s="2" t="s">
        <v>467</v>
      </c>
      <c r="B484" s="2" t="s">
        <v>325</v>
      </c>
      <c r="C484" s="2" t="s">
        <v>325</v>
      </c>
      <c r="D484" s="2" t="s">
        <v>82</v>
      </c>
      <c r="E484" s="2" t="s">
        <v>82</v>
      </c>
      <c r="F484" s="2" t="s">
        <v>53</v>
      </c>
      <c r="G484" s="2" t="s">
        <v>53</v>
      </c>
      <c r="H484" s="2" t="s">
        <v>54</v>
      </c>
      <c r="I484" s="2" t="s">
        <v>54</v>
      </c>
      <c r="J484" s="2" t="s">
        <v>944</v>
      </c>
      <c r="K484" s="2"/>
      <c r="L484" s="2" t="s">
        <v>404</v>
      </c>
      <c r="M484" s="2" t="s">
        <v>57</v>
      </c>
      <c r="N484" s="3"/>
      <c r="O484" s="3"/>
      <c r="P484" s="3"/>
      <c r="Q484" s="3"/>
      <c r="R484" s="3"/>
      <c r="S484" s="3"/>
      <c r="T484" s="3"/>
      <c r="U484" s="3"/>
      <c r="V484" s="3"/>
      <c r="W484" s="3"/>
      <c r="X484" s="3"/>
      <c r="Y484" s="3"/>
      <c r="Z484" s="3"/>
    </row>
    <row r="485" spans="1:26" hidden="1" x14ac:dyDescent="0.3">
      <c r="A485" s="2" t="s">
        <v>467</v>
      </c>
      <c r="B485" s="2" t="s">
        <v>325</v>
      </c>
      <c r="C485" s="2" t="s">
        <v>325</v>
      </c>
      <c r="D485" s="2" t="s">
        <v>151</v>
      </c>
      <c r="E485" s="2" t="s">
        <v>151</v>
      </c>
      <c r="F485" s="2" t="s">
        <v>53</v>
      </c>
      <c r="G485" s="2" t="s">
        <v>53</v>
      </c>
      <c r="H485" s="2" t="s">
        <v>54</v>
      </c>
      <c r="I485" s="2" t="s">
        <v>54</v>
      </c>
      <c r="J485" s="2" t="s">
        <v>945</v>
      </c>
      <c r="K485" s="2"/>
      <c r="L485" s="2" t="s">
        <v>404</v>
      </c>
      <c r="M485" s="2" t="s">
        <v>57</v>
      </c>
      <c r="N485" s="3"/>
      <c r="O485" s="3"/>
      <c r="P485" s="3"/>
      <c r="Q485" s="3"/>
      <c r="R485" s="3"/>
      <c r="S485" s="3"/>
      <c r="T485" s="3"/>
      <c r="U485" s="3"/>
      <c r="V485" s="3"/>
      <c r="W485" s="3"/>
      <c r="X485" s="3"/>
      <c r="Y485" s="3"/>
      <c r="Z485" s="3"/>
    </row>
    <row r="486" spans="1:26" hidden="1" x14ac:dyDescent="0.3">
      <c r="A486" s="2" t="s">
        <v>467</v>
      </c>
      <c r="B486" s="2" t="s">
        <v>325</v>
      </c>
      <c r="C486" s="2" t="s">
        <v>325</v>
      </c>
      <c r="D486" s="2" t="s">
        <v>82</v>
      </c>
      <c r="E486" s="2" t="s">
        <v>82</v>
      </c>
      <c r="F486" s="2" t="s">
        <v>53</v>
      </c>
      <c r="G486" s="2" t="s">
        <v>53</v>
      </c>
      <c r="H486" s="2" t="s">
        <v>54</v>
      </c>
      <c r="I486" s="2" t="s">
        <v>54</v>
      </c>
      <c r="J486" s="2" t="s">
        <v>946</v>
      </c>
      <c r="K486" s="2"/>
      <c r="L486" s="2" t="s">
        <v>404</v>
      </c>
      <c r="M486" s="2" t="s">
        <v>57</v>
      </c>
      <c r="N486" s="3"/>
      <c r="O486" s="3"/>
      <c r="P486" s="3"/>
      <c r="Q486" s="3"/>
      <c r="R486" s="3"/>
      <c r="S486" s="3"/>
      <c r="T486" s="3"/>
      <c r="U486" s="3"/>
      <c r="V486" s="3"/>
      <c r="W486" s="3"/>
      <c r="X486" s="3"/>
      <c r="Y486" s="3"/>
      <c r="Z486" s="3"/>
    </row>
    <row r="487" spans="1:26" hidden="1" x14ac:dyDescent="0.3">
      <c r="A487" s="2" t="s">
        <v>467</v>
      </c>
      <c r="B487" s="2" t="s">
        <v>325</v>
      </c>
      <c r="C487" s="2" t="s">
        <v>325</v>
      </c>
      <c r="D487" s="2" t="s">
        <v>82</v>
      </c>
      <c r="E487" s="2" t="s">
        <v>82</v>
      </c>
      <c r="F487" s="2" t="s">
        <v>53</v>
      </c>
      <c r="G487" s="2" t="s">
        <v>53</v>
      </c>
      <c r="H487" s="2" t="s">
        <v>54</v>
      </c>
      <c r="I487" s="2" t="s">
        <v>54</v>
      </c>
      <c r="J487" s="2" t="s">
        <v>947</v>
      </c>
      <c r="K487" s="2"/>
      <c r="L487" s="2" t="s">
        <v>404</v>
      </c>
      <c r="M487" s="2" t="s">
        <v>57</v>
      </c>
      <c r="N487" s="3"/>
      <c r="O487" s="3"/>
      <c r="P487" s="3"/>
      <c r="Q487" s="3"/>
      <c r="R487" s="3"/>
      <c r="S487" s="3"/>
      <c r="T487" s="3"/>
      <c r="U487" s="3"/>
      <c r="V487" s="3"/>
      <c r="W487" s="3"/>
      <c r="X487" s="3"/>
      <c r="Y487" s="3"/>
      <c r="Z487" s="3"/>
    </row>
    <row r="488" spans="1:26" x14ac:dyDescent="0.3">
      <c r="A488" s="2" t="s">
        <v>467</v>
      </c>
      <c r="B488" s="2" t="s">
        <v>342</v>
      </c>
      <c r="C488" s="2" t="s">
        <v>342</v>
      </c>
      <c r="D488" s="2" t="s">
        <v>200</v>
      </c>
      <c r="E488" s="2" t="s">
        <v>200</v>
      </c>
      <c r="F488" s="2" t="s">
        <v>53</v>
      </c>
      <c r="G488" s="2" t="s">
        <v>53</v>
      </c>
      <c r="H488" s="2" t="s">
        <v>54</v>
      </c>
      <c r="I488" s="2" t="s">
        <v>54</v>
      </c>
      <c r="J488" s="2" t="s">
        <v>948</v>
      </c>
      <c r="K488" s="2" t="s">
        <v>949</v>
      </c>
      <c r="L488" s="2" t="s">
        <v>404</v>
      </c>
      <c r="M488" s="2" t="s">
        <v>57</v>
      </c>
      <c r="N488" s="3"/>
      <c r="O488" s="3"/>
      <c r="P488" s="3"/>
      <c r="Q488" s="3"/>
      <c r="R488" s="3"/>
      <c r="S488" s="3"/>
      <c r="T488" s="3"/>
      <c r="U488" s="3"/>
      <c r="V488" s="3"/>
      <c r="W488" s="3"/>
      <c r="X488" s="3"/>
      <c r="Y488" s="3"/>
      <c r="Z488" s="3"/>
    </row>
    <row r="489" spans="1:26" x14ac:dyDescent="0.3">
      <c r="A489" s="2" t="s">
        <v>467</v>
      </c>
      <c r="B489" s="2" t="s">
        <v>342</v>
      </c>
      <c r="C489" s="2" t="s">
        <v>342</v>
      </c>
      <c r="D489" s="2" t="s">
        <v>200</v>
      </c>
      <c r="E489" s="2" t="s">
        <v>200</v>
      </c>
      <c r="F489" s="2" t="s">
        <v>53</v>
      </c>
      <c r="G489" s="2" t="s">
        <v>53</v>
      </c>
      <c r="H489" s="2" t="s">
        <v>54</v>
      </c>
      <c r="I489" s="2" t="s">
        <v>54</v>
      </c>
      <c r="J489" s="2" t="s">
        <v>950</v>
      </c>
      <c r="K489" s="2" t="s">
        <v>949</v>
      </c>
      <c r="L489" s="2" t="s">
        <v>404</v>
      </c>
      <c r="M489" s="2" t="s">
        <v>57</v>
      </c>
      <c r="N489" s="3"/>
      <c r="O489" s="3"/>
      <c r="P489" s="3"/>
      <c r="Q489" s="3"/>
      <c r="R489" s="3"/>
      <c r="S489" s="3"/>
      <c r="T489" s="3"/>
      <c r="U489" s="3"/>
      <c r="V489" s="3"/>
      <c r="W489" s="3"/>
      <c r="X489" s="3"/>
      <c r="Y489" s="3"/>
      <c r="Z489" s="3"/>
    </row>
    <row r="490" spans="1:26" x14ac:dyDescent="0.3">
      <c r="A490" s="2" t="s">
        <v>467</v>
      </c>
      <c r="B490" s="2" t="s">
        <v>342</v>
      </c>
      <c r="C490" s="2" t="s">
        <v>342</v>
      </c>
      <c r="D490" s="2" t="s">
        <v>200</v>
      </c>
      <c r="E490" s="2" t="s">
        <v>200</v>
      </c>
      <c r="F490" s="2" t="s">
        <v>53</v>
      </c>
      <c r="G490" s="2" t="s">
        <v>53</v>
      </c>
      <c r="H490" s="2" t="s">
        <v>54</v>
      </c>
      <c r="I490" s="2" t="s">
        <v>54</v>
      </c>
      <c r="J490" s="2" t="s">
        <v>951</v>
      </c>
      <c r="K490" s="2" t="s">
        <v>949</v>
      </c>
      <c r="L490" s="2" t="s">
        <v>404</v>
      </c>
      <c r="M490" s="2" t="s">
        <v>57</v>
      </c>
      <c r="N490" s="3"/>
      <c r="O490" s="3"/>
      <c r="P490" s="3"/>
      <c r="Q490" s="3"/>
      <c r="R490" s="3"/>
      <c r="S490" s="3"/>
      <c r="T490" s="3"/>
      <c r="U490" s="3"/>
      <c r="V490" s="3"/>
      <c r="W490" s="3"/>
      <c r="X490" s="3"/>
      <c r="Y490" s="3"/>
      <c r="Z490" s="3"/>
    </row>
    <row r="491" spans="1:26" x14ac:dyDescent="0.3">
      <c r="A491" s="2" t="s">
        <v>467</v>
      </c>
      <c r="B491" s="2" t="s">
        <v>342</v>
      </c>
      <c r="C491" s="2" t="s">
        <v>342</v>
      </c>
      <c r="D491" s="2" t="s">
        <v>82</v>
      </c>
      <c r="E491" s="2" t="s">
        <v>82</v>
      </c>
      <c r="F491" s="2" t="s">
        <v>53</v>
      </c>
      <c r="G491" s="2" t="s">
        <v>53</v>
      </c>
      <c r="H491" s="2" t="s">
        <v>54</v>
      </c>
      <c r="I491" s="2" t="s">
        <v>54</v>
      </c>
      <c r="J491" s="2" t="s">
        <v>952</v>
      </c>
      <c r="K491" s="2" t="s">
        <v>953</v>
      </c>
      <c r="L491" s="2" t="s">
        <v>404</v>
      </c>
      <c r="M491" s="2" t="s">
        <v>57</v>
      </c>
      <c r="N491" s="3"/>
      <c r="O491" s="3"/>
      <c r="P491" s="3"/>
      <c r="Q491" s="3"/>
      <c r="R491" s="3"/>
      <c r="S491" s="3"/>
      <c r="T491" s="3"/>
      <c r="U491" s="3"/>
      <c r="V491" s="3"/>
      <c r="W491" s="3"/>
      <c r="X491" s="3"/>
      <c r="Y491" s="3"/>
      <c r="Z491" s="3"/>
    </row>
    <row r="492" spans="1:26" x14ac:dyDescent="0.3">
      <c r="A492" s="2" t="s">
        <v>467</v>
      </c>
      <c r="B492" s="2" t="s">
        <v>342</v>
      </c>
      <c r="C492" s="2" t="s">
        <v>342</v>
      </c>
      <c r="D492" s="2" t="s">
        <v>82</v>
      </c>
      <c r="E492" s="2" t="s">
        <v>82</v>
      </c>
      <c r="F492" s="2" t="s">
        <v>53</v>
      </c>
      <c r="G492" s="2" t="s">
        <v>53</v>
      </c>
      <c r="H492" s="2" t="s">
        <v>54</v>
      </c>
      <c r="I492" s="2" t="s">
        <v>54</v>
      </c>
      <c r="J492" s="2" t="s">
        <v>954</v>
      </c>
      <c r="K492" s="2" t="s">
        <v>955</v>
      </c>
      <c r="L492" s="2" t="s">
        <v>404</v>
      </c>
      <c r="M492" s="2" t="s">
        <v>57</v>
      </c>
      <c r="N492" s="3"/>
      <c r="O492" s="3"/>
      <c r="P492" s="3"/>
      <c r="Q492" s="3"/>
      <c r="R492" s="3"/>
      <c r="S492" s="3"/>
      <c r="T492" s="3"/>
      <c r="U492" s="3"/>
      <c r="V492" s="3"/>
      <c r="W492" s="3"/>
      <c r="X492" s="3"/>
      <c r="Y492" s="3"/>
      <c r="Z492" s="3"/>
    </row>
    <row r="493" spans="1:26" x14ac:dyDescent="0.3">
      <c r="A493" s="2" t="s">
        <v>467</v>
      </c>
      <c r="B493" s="2" t="s">
        <v>342</v>
      </c>
      <c r="C493" s="2" t="s">
        <v>342</v>
      </c>
      <c r="D493" s="2" t="s">
        <v>82</v>
      </c>
      <c r="E493" s="2" t="s">
        <v>82</v>
      </c>
      <c r="F493" s="2" t="s">
        <v>53</v>
      </c>
      <c r="G493" s="2" t="s">
        <v>53</v>
      </c>
      <c r="H493" s="2" t="s">
        <v>54</v>
      </c>
      <c r="I493" s="2" t="s">
        <v>54</v>
      </c>
      <c r="J493" s="2" t="s">
        <v>956</v>
      </c>
      <c r="K493" s="2"/>
      <c r="L493" s="2" t="s">
        <v>404</v>
      </c>
      <c r="M493" s="2" t="s">
        <v>57</v>
      </c>
      <c r="N493" s="3"/>
      <c r="O493" s="3"/>
      <c r="P493" s="3"/>
      <c r="Q493" s="3"/>
      <c r="R493" s="3"/>
      <c r="S493" s="3"/>
      <c r="T493" s="3"/>
      <c r="U493" s="3"/>
      <c r="V493" s="3"/>
      <c r="W493" s="3"/>
      <c r="X493" s="3"/>
      <c r="Y493" s="3"/>
      <c r="Z493" s="3"/>
    </row>
    <row r="494" spans="1:26" x14ac:dyDescent="0.3">
      <c r="A494" s="2" t="s">
        <v>467</v>
      </c>
      <c r="B494" s="2" t="s">
        <v>342</v>
      </c>
      <c r="C494" s="2" t="s">
        <v>342</v>
      </c>
      <c r="D494" s="2" t="s">
        <v>82</v>
      </c>
      <c r="E494" s="2" t="s">
        <v>82</v>
      </c>
      <c r="F494" s="2" t="s">
        <v>53</v>
      </c>
      <c r="G494" s="2" t="s">
        <v>53</v>
      </c>
      <c r="H494" s="2" t="s">
        <v>54</v>
      </c>
      <c r="I494" s="2" t="s">
        <v>54</v>
      </c>
      <c r="J494" s="2" t="s">
        <v>957</v>
      </c>
      <c r="K494" s="2"/>
      <c r="L494" s="2" t="s">
        <v>404</v>
      </c>
      <c r="M494" s="2" t="s">
        <v>57</v>
      </c>
      <c r="N494" s="3"/>
      <c r="O494" s="3"/>
      <c r="P494" s="3"/>
      <c r="Q494" s="3"/>
      <c r="R494" s="3"/>
      <c r="S494" s="3"/>
      <c r="T494" s="3"/>
      <c r="U494" s="3"/>
      <c r="V494" s="3"/>
      <c r="W494" s="3"/>
      <c r="X494" s="3"/>
      <c r="Y494" s="3"/>
      <c r="Z494" s="3"/>
    </row>
    <row r="495" spans="1:26" x14ac:dyDescent="0.3">
      <c r="A495" s="2" t="s">
        <v>467</v>
      </c>
      <c r="B495" s="2" t="s">
        <v>342</v>
      </c>
      <c r="C495" s="2" t="s">
        <v>342</v>
      </c>
      <c r="D495" s="2" t="s">
        <v>151</v>
      </c>
      <c r="E495" s="2" t="s">
        <v>151</v>
      </c>
      <c r="F495" s="2" t="s">
        <v>53</v>
      </c>
      <c r="G495" s="2" t="s">
        <v>53</v>
      </c>
      <c r="H495" s="2" t="s">
        <v>54</v>
      </c>
      <c r="I495" s="2" t="s">
        <v>54</v>
      </c>
      <c r="J495" s="2" t="s">
        <v>353</v>
      </c>
      <c r="K495" s="2"/>
      <c r="L495" s="2" t="s">
        <v>404</v>
      </c>
      <c r="M495" s="2" t="s">
        <v>57</v>
      </c>
      <c r="N495" s="3"/>
      <c r="O495" s="3"/>
      <c r="P495" s="3"/>
      <c r="Q495" s="3"/>
      <c r="R495" s="3"/>
      <c r="S495" s="3"/>
      <c r="T495" s="3"/>
      <c r="U495" s="3"/>
      <c r="V495" s="3"/>
      <c r="W495" s="3"/>
      <c r="X495" s="3"/>
      <c r="Y495" s="3"/>
      <c r="Z495" s="3"/>
    </row>
    <row r="496" spans="1:26" x14ac:dyDescent="0.3">
      <c r="A496" s="2" t="s">
        <v>467</v>
      </c>
      <c r="B496" s="2" t="s">
        <v>342</v>
      </c>
      <c r="C496" s="2" t="s">
        <v>342</v>
      </c>
      <c r="D496" s="2" t="s">
        <v>151</v>
      </c>
      <c r="E496" s="2" t="s">
        <v>151</v>
      </c>
      <c r="F496" s="2" t="s">
        <v>53</v>
      </c>
      <c r="G496" s="2" t="s">
        <v>53</v>
      </c>
      <c r="H496" s="2" t="s">
        <v>54</v>
      </c>
      <c r="I496" s="2" t="s">
        <v>54</v>
      </c>
      <c r="J496" s="2" t="s">
        <v>352</v>
      </c>
      <c r="K496" s="2"/>
      <c r="L496" s="2" t="s">
        <v>404</v>
      </c>
      <c r="M496" s="2" t="s">
        <v>57</v>
      </c>
      <c r="N496" s="3"/>
      <c r="O496" s="3"/>
      <c r="P496" s="3"/>
      <c r="Q496" s="3"/>
      <c r="R496" s="3"/>
      <c r="S496" s="3"/>
      <c r="T496" s="3"/>
      <c r="U496" s="3"/>
      <c r="V496" s="3"/>
      <c r="W496" s="3"/>
      <c r="X496" s="3"/>
      <c r="Y496" s="3"/>
      <c r="Z496" s="3"/>
    </row>
    <row r="497" spans="1:26" x14ac:dyDescent="0.3">
      <c r="A497" s="2" t="s">
        <v>467</v>
      </c>
      <c r="B497" s="2" t="s">
        <v>342</v>
      </c>
      <c r="C497" s="2" t="s">
        <v>342</v>
      </c>
      <c r="D497" s="2" t="s">
        <v>82</v>
      </c>
      <c r="E497" s="2" t="s">
        <v>82</v>
      </c>
      <c r="F497" s="2" t="s">
        <v>53</v>
      </c>
      <c r="G497" s="2" t="s">
        <v>53</v>
      </c>
      <c r="H497" s="2" t="s">
        <v>54</v>
      </c>
      <c r="I497" s="2" t="s">
        <v>54</v>
      </c>
      <c r="J497" s="2" t="s">
        <v>349</v>
      </c>
      <c r="K497" s="2"/>
      <c r="L497" s="2" t="s">
        <v>404</v>
      </c>
      <c r="M497" s="2" t="s">
        <v>57</v>
      </c>
      <c r="N497" s="3"/>
      <c r="O497" s="3"/>
      <c r="P497" s="3"/>
      <c r="Q497" s="3"/>
      <c r="R497" s="3"/>
      <c r="S497" s="3"/>
      <c r="T497" s="3"/>
      <c r="U497" s="3"/>
      <c r="V497" s="3"/>
      <c r="W497" s="3"/>
      <c r="X497" s="3"/>
      <c r="Y497" s="3"/>
      <c r="Z497" s="3"/>
    </row>
    <row r="498" spans="1:26" x14ac:dyDescent="0.3">
      <c r="A498" s="2" t="s">
        <v>467</v>
      </c>
      <c r="B498" s="2" t="s">
        <v>359</v>
      </c>
      <c r="C498" s="2" t="s">
        <v>359</v>
      </c>
      <c r="D498" s="2" t="s">
        <v>82</v>
      </c>
      <c r="E498" s="2" t="s">
        <v>82</v>
      </c>
      <c r="F498" s="2" t="s">
        <v>53</v>
      </c>
      <c r="G498" s="2" t="s">
        <v>53</v>
      </c>
      <c r="H498" s="2" t="s">
        <v>958</v>
      </c>
      <c r="I498" s="2" t="s">
        <v>958</v>
      </c>
      <c r="J498" s="2" t="s">
        <v>959</v>
      </c>
      <c r="K498" s="2" t="s">
        <v>960</v>
      </c>
      <c r="L498" s="2" t="s">
        <v>404</v>
      </c>
      <c r="M498" s="2" t="s">
        <v>72</v>
      </c>
      <c r="N498" s="3"/>
      <c r="O498" s="3"/>
      <c r="P498" s="3"/>
      <c r="Q498" s="3"/>
      <c r="R498" s="3"/>
      <c r="S498" s="3"/>
      <c r="T498" s="3"/>
      <c r="U498" s="3"/>
      <c r="V498" s="3"/>
      <c r="W498" s="3"/>
      <c r="X498" s="3"/>
      <c r="Y498" s="3"/>
      <c r="Z498" s="3"/>
    </row>
    <row r="499" spans="1:26" x14ac:dyDescent="0.3">
      <c r="A499" s="2" t="s">
        <v>467</v>
      </c>
      <c r="B499" s="2" t="s">
        <v>359</v>
      </c>
      <c r="C499" s="2" t="s">
        <v>359</v>
      </c>
      <c r="D499" s="2" t="s">
        <v>82</v>
      </c>
      <c r="E499" s="2" t="s">
        <v>82</v>
      </c>
      <c r="F499" s="2" t="s">
        <v>53</v>
      </c>
      <c r="G499" s="2" t="s">
        <v>53</v>
      </c>
      <c r="H499" s="2" t="s">
        <v>54</v>
      </c>
      <c r="I499" s="2" t="s">
        <v>54</v>
      </c>
      <c r="J499" s="2" t="s">
        <v>961</v>
      </c>
      <c r="K499" s="2" t="s">
        <v>962</v>
      </c>
      <c r="L499" s="2" t="s">
        <v>404</v>
      </c>
      <c r="M499" s="2" t="s">
        <v>72</v>
      </c>
      <c r="N499" s="3"/>
      <c r="O499" s="3"/>
      <c r="P499" s="3"/>
      <c r="Q499" s="3"/>
      <c r="R499" s="3"/>
      <c r="S499" s="3"/>
      <c r="T499" s="3"/>
      <c r="U499" s="3"/>
      <c r="V499" s="3"/>
      <c r="W499" s="3"/>
      <c r="X499" s="3"/>
      <c r="Y499" s="3"/>
      <c r="Z499" s="3"/>
    </row>
    <row r="500" spans="1:26" x14ac:dyDescent="0.3">
      <c r="A500" s="2" t="s">
        <v>467</v>
      </c>
      <c r="B500" s="2" t="s">
        <v>359</v>
      </c>
      <c r="C500" s="2" t="s">
        <v>359</v>
      </c>
      <c r="D500" s="2" t="s">
        <v>82</v>
      </c>
      <c r="E500" s="2" t="s">
        <v>82</v>
      </c>
      <c r="F500" s="2" t="s">
        <v>53</v>
      </c>
      <c r="G500" s="2" t="s">
        <v>53</v>
      </c>
      <c r="H500" s="2" t="s">
        <v>963</v>
      </c>
      <c r="I500" s="2" t="s">
        <v>963</v>
      </c>
      <c r="J500" s="2" t="s">
        <v>964</v>
      </c>
      <c r="K500" s="2" t="s">
        <v>965</v>
      </c>
      <c r="L500" s="2" t="s">
        <v>404</v>
      </c>
      <c r="M500" s="2" t="s">
        <v>72</v>
      </c>
      <c r="N500" s="3"/>
      <c r="O500" s="3"/>
      <c r="P500" s="3"/>
      <c r="Q500" s="3"/>
      <c r="R500" s="3"/>
      <c r="S500" s="3"/>
      <c r="T500" s="3"/>
      <c r="U500" s="3"/>
      <c r="V500" s="3"/>
      <c r="W500" s="3"/>
      <c r="X500" s="3"/>
      <c r="Y500" s="3"/>
      <c r="Z500" s="3"/>
    </row>
    <row r="501" spans="1:26" x14ac:dyDescent="0.3">
      <c r="A501" s="2" t="s">
        <v>467</v>
      </c>
      <c r="B501" s="2" t="s">
        <v>359</v>
      </c>
      <c r="C501" s="2" t="s">
        <v>359</v>
      </c>
      <c r="D501" s="2" t="s">
        <v>82</v>
      </c>
      <c r="E501" s="2" t="s">
        <v>82</v>
      </c>
      <c r="F501" s="2" t="s">
        <v>53</v>
      </c>
      <c r="G501" s="2" t="s">
        <v>53</v>
      </c>
      <c r="H501" s="2" t="s">
        <v>54</v>
      </c>
      <c r="I501" s="2" t="s">
        <v>54</v>
      </c>
      <c r="J501" s="2" t="s">
        <v>966</v>
      </c>
      <c r="K501" s="2" t="s">
        <v>967</v>
      </c>
      <c r="L501" s="2" t="s">
        <v>404</v>
      </c>
      <c r="M501" s="2" t="s">
        <v>72</v>
      </c>
      <c r="N501" s="3"/>
      <c r="O501" s="3"/>
      <c r="P501" s="3"/>
      <c r="Q501" s="3"/>
      <c r="R501" s="3"/>
      <c r="S501" s="3"/>
      <c r="T501" s="3"/>
      <c r="U501" s="3"/>
      <c r="V501" s="3"/>
      <c r="W501" s="3"/>
      <c r="X501" s="3"/>
      <c r="Y501" s="3"/>
      <c r="Z501" s="3"/>
    </row>
    <row r="502" spans="1:26" x14ac:dyDescent="0.3">
      <c r="A502" s="2" t="s">
        <v>467</v>
      </c>
      <c r="B502" s="2" t="s">
        <v>359</v>
      </c>
      <c r="C502" s="2" t="s">
        <v>359</v>
      </c>
      <c r="D502" s="2" t="s">
        <v>82</v>
      </c>
      <c r="E502" s="2" t="s">
        <v>82</v>
      </c>
      <c r="F502" s="2" t="s">
        <v>53</v>
      </c>
      <c r="G502" s="2" t="s">
        <v>53</v>
      </c>
      <c r="H502" s="2" t="s">
        <v>968</v>
      </c>
      <c r="I502" s="2" t="s">
        <v>968</v>
      </c>
      <c r="J502" s="2" t="s">
        <v>969</v>
      </c>
      <c r="K502" s="2" t="s">
        <v>970</v>
      </c>
      <c r="L502" s="2" t="s">
        <v>404</v>
      </c>
      <c r="M502" s="2" t="s">
        <v>72</v>
      </c>
      <c r="N502" s="3"/>
      <c r="O502" s="3"/>
      <c r="P502" s="3"/>
      <c r="Q502" s="3"/>
      <c r="R502" s="3"/>
      <c r="S502" s="3"/>
      <c r="T502" s="3"/>
      <c r="U502" s="3"/>
      <c r="V502" s="3"/>
      <c r="W502" s="3"/>
      <c r="X502" s="3"/>
      <c r="Y502" s="3"/>
      <c r="Z502" s="3"/>
    </row>
    <row r="503" spans="1:26" x14ac:dyDescent="0.3">
      <c r="A503" s="2" t="s">
        <v>467</v>
      </c>
      <c r="B503" s="2" t="s">
        <v>359</v>
      </c>
      <c r="C503" s="2" t="s">
        <v>359</v>
      </c>
      <c r="D503" s="2" t="s">
        <v>82</v>
      </c>
      <c r="E503" s="2" t="s">
        <v>82</v>
      </c>
      <c r="F503" s="2" t="s">
        <v>53</v>
      </c>
      <c r="G503" s="2" t="s">
        <v>53</v>
      </c>
      <c r="H503" s="2" t="s">
        <v>968</v>
      </c>
      <c r="I503" s="2" t="s">
        <v>968</v>
      </c>
      <c r="J503" s="2" t="s">
        <v>971</v>
      </c>
      <c r="K503" s="2" t="s">
        <v>970</v>
      </c>
      <c r="L503" s="2" t="s">
        <v>404</v>
      </c>
      <c r="M503" s="2" t="s">
        <v>72</v>
      </c>
      <c r="N503" s="3"/>
      <c r="O503" s="3"/>
      <c r="P503" s="3"/>
      <c r="Q503" s="3"/>
      <c r="R503" s="3"/>
      <c r="S503" s="3"/>
      <c r="T503" s="3"/>
      <c r="U503" s="3"/>
      <c r="V503" s="3"/>
      <c r="W503" s="3"/>
      <c r="X503" s="3"/>
      <c r="Y503" s="3"/>
      <c r="Z503" s="3"/>
    </row>
    <row r="504" spans="1:26" x14ac:dyDescent="0.3">
      <c r="A504" s="2" t="s">
        <v>467</v>
      </c>
      <c r="B504" s="2" t="s">
        <v>359</v>
      </c>
      <c r="C504" s="2" t="s">
        <v>359</v>
      </c>
      <c r="D504" s="2" t="s">
        <v>151</v>
      </c>
      <c r="E504" s="2" t="s">
        <v>151</v>
      </c>
      <c r="F504" s="2" t="s">
        <v>53</v>
      </c>
      <c r="G504" s="2" t="s">
        <v>53</v>
      </c>
      <c r="H504" s="2" t="s">
        <v>963</v>
      </c>
      <c r="I504" s="2" t="s">
        <v>963</v>
      </c>
      <c r="J504" s="2" t="s">
        <v>972</v>
      </c>
      <c r="K504" s="2" t="s">
        <v>973</v>
      </c>
      <c r="L504" s="2" t="s">
        <v>404</v>
      </c>
      <c r="M504" s="2" t="s">
        <v>72</v>
      </c>
      <c r="N504" s="3"/>
      <c r="O504" s="3"/>
      <c r="P504" s="3"/>
      <c r="Q504" s="3"/>
      <c r="R504" s="3"/>
      <c r="S504" s="3"/>
      <c r="T504" s="3"/>
      <c r="U504" s="3"/>
      <c r="V504" s="3"/>
      <c r="W504" s="3"/>
      <c r="X504" s="3"/>
      <c r="Y504" s="3"/>
      <c r="Z504" s="3"/>
    </row>
    <row r="505" spans="1:26" x14ac:dyDescent="0.3">
      <c r="A505" s="2" t="s">
        <v>467</v>
      </c>
      <c r="B505" s="2" t="s">
        <v>359</v>
      </c>
      <c r="C505" s="2" t="s">
        <v>359</v>
      </c>
      <c r="D505" s="2" t="s">
        <v>151</v>
      </c>
      <c r="E505" s="2" t="s">
        <v>151</v>
      </c>
      <c r="F505" s="2" t="s">
        <v>53</v>
      </c>
      <c r="G505" s="2" t="s">
        <v>53</v>
      </c>
      <c r="H505" s="2" t="s">
        <v>963</v>
      </c>
      <c r="I505" s="2" t="s">
        <v>963</v>
      </c>
      <c r="J505" s="2" t="s">
        <v>974</v>
      </c>
      <c r="K505" s="2" t="s">
        <v>973</v>
      </c>
      <c r="L505" s="2" t="s">
        <v>404</v>
      </c>
      <c r="M505" s="2" t="s">
        <v>72</v>
      </c>
      <c r="N505" s="3"/>
      <c r="O505" s="3"/>
      <c r="P505" s="3"/>
      <c r="Q505" s="3"/>
      <c r="R505" s="3"/>
      <c r="S505" s="3"/>
      <c r="T505" s="3"/>
      <c r="U505" s="3"/>
      <c r="V505" s="3"/>
      <c r="W505" s="3"/>
      <c r="X505" s="3"/>
      <c r="Y505" s="3"/>
      <c r="Z505" s="3"/>
    </row>
    <row r="506" spans="1:26" x14ac:dyDescent="0.3">
      <c r="A506" s="2" t="s">
        <v>467</v>
      </c>
      <c r="B506" s="2" t="s">
        <v>359</v>
      </c>
      <c r="C506" s="2" t="s">
        <v>359</v>
      </c>
      <c r="D506" s="2" t="s">
        <v>151</v>
      </c>
      <c r="E506" s="2" t="s">
        <v>151</v>
      </c>
      <c r="F506" s="2" t="s">
        <v>53</v>
      </c>
      <c r="G506" s="2" t="s">
        <v>53</v>
      </c>
      <c r="H506" s="2" t="s">
        <v>54</v>
      </c>
      <c r="I506" s="2" t="s">
        <v>54</v>
      </c>
      <c r="J506" s="2" t="s">
        <v>975</v>
      </c>
      <c r="K506" s="2" t="s">
        <v>976</v>
      </c>
      <c r="L506" s="2" t="s">
        <v>404</v>
      </c>
      <c r="M506" s="2" t="s">
        <v>72</v>
      </c>
      <c r="N506" s="3"/>
      <c r="O506" s="3"/>
      <c r="P506" s="3"/>
      <c r="Q506" s="3"/>
      <c r="R506" s="3"/>
      <c r="S506" s="3"/>
      <c r="T506" s="3"/>
      <c r="U506" s="3"/>
      <c r="V506" s="3"/>
      <c r="W506" s="3"/>
      <c r="X506" s="3"/>
      <c r="Y506" s="3"/>
      <c r="Z506" s="3"/>
    </row>
    <row r="507" spans="1:26" x14ac:dyDescent="0.3">
      <c r="A507" s="2" t="s">
        <v>467</v>
      </c>
      <c r="B507" s="2" t="s">
        <v>359</v>
      </c>
      <c r="C507" s="2" t="s">
        <v>359</v>
      </c>
      <c r="D507" s="2" t="s">
        <v>82</v>
      </c>
      <c r="E507" s="2" t="s">
        <v>82</v>
      </c>
      <c r="F507" s="2" t="s">
        <v>53</v>
      </c>
      <c r="G507" s="2" t="s">
        <v>53</v>
      </c>
      <c r="H507" s="2" t="s">
        <v>958</v>
      </c>
      <c r="I507" s="2" t="s">
        <v>958</v>
      </c>
      <c r="J507" s="2" t="s">
        <v>977</v>
      </c>
      <c r="K507" s="2" t="s">
        <v>978</v>
      </c>
      <c r="L507" s="2" t="s">
        <v>404</v>
      </c>
      <c r="M507" s="2" t="s">
        <v>72</v>
      </c>
      <c r="N507" s="3"/>
      <c r="O507" s="3"/>
      <c r="P507" s="3"/>
      <c r="Q507" s="3"/>
      <c r="R507" s="3"/>
      <c r="S507" s="3"/>
      <c r="T507" s="3"/>
      <c r="U507" s="3"/>
      <c r="V507" s="3"/>
      <c r="W507" s="3"/>
      <c r="X507" s="3"/>
      <c r="Y507" s="3"/>
      <c r="Z507" s="3"/>
    </row>
    <row r="508" spans="1:26" x14ac:dyDescent="0.3">
      <c r="A508" s="2" t="s">
        <v>467</v>
      </c>
      <c r="B508" s="2" t="s">
        <v>359</v>
      </c>
      <c r="C508" s="2" t="s">
        <v>359</v>
      </c>
      <c r="D508" s="2" t="s">
        <v>82</v>
      </c>
      <c r="E508" s="2" t="s">
        <v>82</v>
      </c>
      <c r="F508" s="2" t="s">
        <v>53</v>
      </c>
      <c r="G508" s="2" t="s">
        <v>53</v>
      </c>
      <c r="H508" s="2" t="s">
        <v>979</v>
      </c>
      <c r="I508" s="2" t="s">
        <v>979</v>
      </c>
      <c r="J508" s="2" t="s">
        <v>980</v>
      </c>
      <c r="K508" s="2" t="s">
        <v>981</v>
      </c>
      <c r="L508" s="2" t="s">
        <v>404</v>
      </c>
      <c r="M508" s="2" t="s">
        <v>72</v>
      </c>
      <c r="N508" s="3"/>
      <c r="O508" s="3"/>
      <c r="P508" s="3"/>
      <c r="Q508" s="3"/>
      <c r="R508" s="3"/>
      <c r="S508" s="3"/>
      <c r="T508" s="3"/>
      <c r="U508" s="3"/>
      <c r="V508" s="3"/>
      <c r="W508" s="3"/>
      <c r="X508" s="3"/>
      <c r="Y508" s="3"/>
      <c r="Z508" s="3"/>
    </row>
    <row r="509" spans="1:26" x14ac:dyDescent="0.3">
      <c r="A509" s="2" t="s">
        <v>467</v>
      </c>
      <c r="B509" s="2" t="s">
        <v>359</v>
      </c>
      <c r="C509" s="2" t="s">
        <v>359</v>
      </c>
      <c r="D509" s="2" t="s">
        <v>217</v>
      </c>
      <c r="E509" s="2" t="s">
        <v>217</v>
      </c>
      <c r="F509" s="2" t="s">
        <v>53</v>
      </c>
      <c r="G509" s="2" t="s">
        <v>53</v>
      </c>
      <c r="H509" s="2" t="s">
        <v>982</v>
      </c>
      <c r="I509" s="2" t="s">
        <v>982</v>
      </c>
      <c r="J509" s="2" t="s">
        <v>983</v>
      </c>
      <c r="K509" s="2" t="s">
        <v>984</v>
      </c>
      <c r="L509" s="2" t="s">
        <v>404</v>
      </c>
      <c r="M509" s="2" t="s">
        <v>72</v>
      </c>
      <c r="N509" s="3"/>
      <c r="O509" s="3"/>
      <c r="P509" s="3"/>
      <c r="Q509" s="3"/>
      <c r="R509" s="3"/>
      <c r="S509" s="3"/>
      <c r="T509" s="3"/>
      <c r="U509" s="3"/>
      <c r="V509" s="3"/>
      <c r="W509" s="3"/>
      <c r="X509" s="3"/>
      <c r="Y509" s="3"/>
      <c r="Z509" s="3"/>
    </row>
    <row r="510" spans="1:26" x14ac:dyDescent="0.3">
      <c r="A510" s="2" t="s">
        <v>467</v>
      </c>
      <c r="B510" s="2" t="s">
        <v>359</v>
      </c>
      <c r="C510" s="2" t="s">
        <v>359</v>
      </c>
      <c r="D510" s="2" t="s">
        <v>400</v>
      </c>
      <c r="E510" s="2" t="s">
        <v>400</v>
      </c>
      <c r="F510" s="2" t="s">
        <v>53</v>
      </c>
      <c r="G510" s="2" t="s">
        <v>53</v>
      </c>
      <c r="H510" s="2" t="s">
        <v>54</v>
      </c>
      <c r="I510" s="2" t="s">
        <v>54</v>
      </c>
      <c r="J510" s="2" t="s">
        <v>985</v>
      </c>
      <c r="K510" s="2"/>
      <c r="L510" s="2" t="s">
        <v>404</v>
      </c>
      <c r="M510" s="2" t="s">
        <v>72</v>
      </c>
      <c r="N510" s="3"/>
      <c r="O510" s="3"/>
      <c r="P510" s="3"/>
      <c r="Q510" s="3"/>
      <c r="R510" s="3"/>
      <c r="S510" s="3"/>
      <c r="T510" s="3"/>
      <c r="U510" s="3"/>
      <c r="V510" s="3"/>
      <c r="W510" s="3"/>
      <c r="X510" s="3"/>
      <c r="Y510" s="3"/>
      <c r="Z510" s="3"/>
    </row>
    <row r="511" spans="1:26" x14ac:dyDescent="0.3">
      <c r="A511" s="2" t="s">
        <v>467</v>
      </c>
      <c r="B511" s="2" t="s">
        <v>359</v>
      </c>
      <c r="C511" s="2" t="s">
        <v>359</v>
      </c>
      <c r="D511" s="2" t="s">
        <v>66</v>
      </c>
      <c r="E511" s="2" t="s">
        <v>66</v>
      </c>
      <c r="F511" s="2" t="s">
        <v>53</v>
      </c>
      <c r="G511" s="2" t="s">
        <v>53</v>
      </c>
      <c r="H511" s="2" t="s">
        <v>54</v>
      </c>
      <c r="I511" s="2" t="s">
        <v>54</v>
      </c>
      <c r="J511" s="2" t="s">
        <v>986</v>
      </c>
      <c r="K511" s="2"/>
      <c r="L511" s="2" t="s">
        <v>404</v>
      </c>
      <c r="M511" s="2" t="s">
        <v>72</v>
      </c>
      <c r="N511" s="3"/>
      <c r="O511" s="3"/>
      <c r="P511" s="3"/>
      <c r="Q511" s="3"/>
      <c r="R511" s="3"/>
      <c r="S511" s="3"/>
      <c r="T511" s="3"/>
      <c r="U511" s="3"/>
      <c r="V511" s="3"/>
      <c r="W511" s="3"/>
      <c r="X511" s="3"/>
      <c r="Y511" s="3"/>
      <c r="Z511" s="3"/>
    </row>
    <row r="512" spans="1:26" x14ac:dyDescent="0.3">
      <c r="A512" s="2" t="s">
        <v>467</v>
      </c>
      <c r="B512" s="2" t="s">
        <v>359</v>
      </c>
      <c r="C512" s="2" t="s">
        <v>359</v>
      </c>
      <c r="D512" s="2" t="s">
        <v>82</v>
      </c>
      <c r="E512" s="2" t="s">
        <v>82</v>
      </c>
      <c r="F512" s="2" t="s">
        <v>53</v>
      </c>
      <c r="G512" s="2" t="s">
        <v>53</v>
      </c>
      <c r="H512" s="2" t="s">
        <v>54</v>
      </c>
      <c r="I512" s="2" t="s">
        <v>54</v>
      </c>
      <c r="J512" s="2" t="s">
        <v>987</v>
      </c>
      <c r="K512" s="2"/>
      <c r="L512" s="2" t="s">
        <v>404</v>
      </c>
      <c r="M512" s="2" t="s">
        <v>72</v>
      </c>
      <c r="N512" s="3"/>
      <c r="O512" s="3"/>
      <c r="P512" s="3"/>
      <c r="Q512" s="3"/>
      <c r="R512" s="3"/>
      <c r="S512" s="3"/>
      <c r="T512" s="3"/>
      <c r="U512" s="3"/>
      <c r="V512" s="3"/>
      <c r="W512" s="3"/>
      <c r="X512" s="3"/>
      <c r="Y512" s="3"/>
      <c r="Z512" s="3"/>
    </row>
    <row r="513" spans="1:26" x14ac:dyDescent="0.3">
      <c r="A513" s="2" t="s">
        <v>467</v>
      </c>
      <c r="B513" s="2" t="s">
        <v>359</v>
      </c>
      <c r="C513" s="2" t="s">
        <v>359</v>
      </c>
      <c r="D513" s="2" t="s">
        <v>151</v>
      </c>
      <c r="E513" s="2" t="s">
        <v>151</v>
      </c>
      <c r="F513" s="2" t="s">
        <v>53</v>
      </c>
      <c r="G513" s="2" t="s">
        <v>53</v>
      </c>
      <c r="H513" s="2" t="s">
        <v>54</v>
      </c>
      <c r="I513" s="2" t="s">
        <v>54</v>
      </c>
      <c r="J513" s="2" t="s">
        <v>988</v>
      </c>
      <c r="K513" s="2"/>
      <c r="L513" s="2" t="s">
        <v>404</v>
      </c>
      <c r="M513" s="2" t="s">
        <v>72</v>
      </c>
      <c r="N513" s="3"/>
      <c r="O513" s="3"/>
      <c r="P513" s="3"/>
      <c r="Q513" s="3"/>
      <c r="R513" s="3"/>
      <c r="S513" s="3"/>
      <c r="T513" s="3"/>
      <c r="U513" s="3"/>
      <c r="V513" s="3"/>
      <c r="W513" s="3"/>
      <c r="X513" s="3"/>
      <c r="Y513" s="3"/>
      <c r="Z513" s="3"/>
    </row>
    <row r="514" spans="1:26" x14ac:dyDescent="0.3">
      <c r="A514" s="2" t="s">
        <v>467</v>
      </c>
      <c r="B514" s="2" t="s">
        <v>359</v>
      </c>
      <c r="C514" s="2" t="s">
        <v>359</v>
      </c>
      <c r="D514" s="2" t="s">
        <v>82</v>
      </c>
      <c r="E514" s="2" t="s">
        <v>82</v>
      </c>
      <c r="F514" s="2" t="s">
        <v>53</v>
      </c>
      <c r="G514" s="2" t="s">
        <v>53</v>
      </c>
      <c r="H514" s="2" t="s">
        <v>54</v>
      </c>
      <c r="I514" s="2" t="s">
        <v>54</v>
      </c>
      <c r="J514" s="2" t="s">
        <v>370</v>
      </c>
      <c r="K514" s="2"/>
      <c r="L514" s="2" t="s">
        <v>404</v>
      </c>
      <c r="M514" s="2" t="s">
        <v>72</v>
      </c>
      <c r="N514" s="3"/>
      <c r="O514" s="3"/>
      <c r="P514" s="3"/>
      <c r="Q514" s="3"/>
      <c r="R514" s="3"/>
      <c r="S514" s="3"/>
      <c r="T514" s="3"/>
      <c r="U514" s="3"/>
      <c r="V514" s="3"/>
      <c r="W514" s="3"/>
      <c r="X514" s="3"/>
      <c r="Y514" s="3"/>
      <c r="Z514" s="3"/>
    </row>
    <row r="515" spans="1:26" x14ac:dyDescent="0.3">
      <c r="A515" s="2" t="s">
        <v>467</v>
      </c>
      <c r="B515" s="2" t="s">
        <v>359</v>
      </c>
      <c r="C515" s="2" t="s">
        <v>359</v>
      </c>
      <c r="D515" s="2" t="s">
        <v>62</v>
      </c>
      <c r="E515" s="2" t="s">
        <v>62</v>
      </c>
      <c r="F515" s="2" t="s">
        <v>53</v>
      </c>
      <c r="G515" s="2" t="s">
        <v>53</v>
      </c>
      <c r="H515" s="2" t="s">
        <v>54</v>
      </c>
      <c r="I515" s="2" t="s">
        <v>54</v>
      </c>
      <c r="J515" s="2" t="s">
        <v>63</v>
      </c>
      <c r="K515" s="2"/>
      <c r="L515" s="2" t="s">
        <v>404</v>
      </c>
      <c r="M515" s="2" t="s">
        <v>72</v>
      </c>
      <c r="N515" s="3"/>
      <c r="O515" s="3"/>
      <c r="P515" s="3"/>
      <c r="Q515" s="3"/>
      <c r="R515" s="3"/>
      <c r="S515" s="3"/>
      <c r="T515" s="3"/>
      <c r="U515" s="3"/>
      <c r="V515" s="3"/>
      <c r="W515" s="3"/>
      <c r="X515" s="3"/>
      <c r="Y515" s="3"/>
      <c r="Z515" s="3"/>
    </row>
    <row r="516" spans="1:26" x14ac:dyDescent="0.3">
      <c r="A516" s="2" t="s">
        <v>467</v>
      </c>
      <c r="B516" s="2" t="s">
        <v>359</v>
      </c>
      <c r="C516" s="2" t="s">
        <v>359</v>
      </c>
      <c r="D516" s="2" t="s">
        <v>64</v>
      </c>
      <c r="E516" s="2" t="s">
        <v>64</v>
      </c>
      <c r="F516" s="2" t="s">
        <v>53</v>
      </c>
      <c r="G516" s="2" t="s">
        <v>53</v>
      </c>
      <c r="H516" s="2" t="s">
        <v>54</v>
      </c>
      <c r="I516" s="2" t="s">
        <v>54</v>
      </c>
      <c r="J516" s="2" t="s">
        <v>989</v>
      </c>
      <c r="K516" s="2"/>
      <c r="L516" s="2" t="s">
        <v>404</v>
      </c>
      <c r="M516" s="2" t="s">
        <v>72</v>
      </c>
      <c r="N516" s="3"/>
      <c r="O516" s="3"/>
      <c r="P516" s="3"/>
      <c r="Q516" s="3"/>
      <c r="R516" s="3"/>
      <c r="S516" s="3"/>
      <c r="T516" s="3"/>
      <c r="U516" s="3"/>
      <c r="V516" s="3"/>
      <c r="W516" s="3"/>
      <c r="X516" s="3"/>
      <c r="Y516" s="3"/>
      <c r="Z516" s="3"/>
    </row>
    <row r="517" spans="1:26" x14ac:dyDescent="0.3">
      <c r="A517" s="2" t="s">
        <v>467</v>
      </c>
      <c r="B517" s="2" t="s">
        <v>359</v>
      </c>
      <c r="C517" s="2" t="s">
        <v>359</v>
      </c>
      <c r="D517" s="2" t="s">
        <v>82</v>
      </c>
      <c r="E517" s="2" t="s">
        <v>82</v>
      </c>
      <c r="F517" s="2" t="s">
        <v>53</v>
      </c>
      <c r="G517" s="2" t="s">
        <v>53</v>
      </c>
      <c r="H517" s="2" t="s">
        <v>54</v>
      </c>
      <c r="I517" s="2" t="s">
        <v>54</v>
      </c>
      <c r="J517" s="2" t="s">
        <v>365</v>
      </c>
      <c r="K517" s="2"/>
      <c r="L517" s="2" t="s">
        <v>404</v>
      </c>
      <c r="M517" s="2" t="s">
        <v>72</v>
      </c>
      <c r="N517" s="3"/>
      <c r="O517" s="3"/>
      <c r="P517" s="3"/>
      <c r="Q517" s="3"/>
      <c r="R517" s="3"/>
      <c r="S517" s="3"/>
      <c r="T517" s="3"/>
      <c r="U517" s="3"/>
      <c r="V517" s="3"/>
      <c r="W517" s="3"/>
      <c r="X517" s="3"/>
      <c r="Y517" s="3"/>
      <c r="Z517" s="3"/>
    </row>
    <row r="518" spans="1:26" x14ac:dyDescent="0.3">
      <c r="A518" s="2" t="s">
        <v>467</v>
      </c>
      <c r="B518" s="2" t="s">
        <v>359</v>
      </c>
      <c r="C518" s="2" t="s">
        <v>359</v>
      </c>
      <c r="D518" s="2" t="s">
        <v>82</v>
      </c>
      <c r="E518" s="2" t="s">
        <v>82</v>
      </c>
      <c r="F518" s="2" t="s">
        <v>53</v>
      </c>
      <c r="G518" s="2" t="s">
        <v>53</v>
      </c>
      <c r="H518" s="2" t="s">
        <v>54</v>
      </c>
      <c r="I518" s="2" t="s">
        <v>54</v>
      </c>
      <c r="J518" s="2" t="s">
        <v>367</v>
      </c>
      <c r="K518" s="2"/>
      <c r="L518" s="2" t="s">
        <v>404</v>
      </c>
      <c r="M518" s="2" t="s">
        <v>72</v>
      </c>
      <c r="N518" s="3"/>
      <c r="O518" s="3"/>
      <c r="P518" s="3"/>
      <c r="Q518" s="3"/>
      <c r="R518" s="3"/>
      <c r="S518" s="3"/>
      <c r="T518" s="3"/>
      <c r="U518" s="3"/>
      <c r="V518" s="3"/>
      <c r="W518" s="3"/>
      <c r="X518" s="3"/>
      <c r="Y518" s="3"/>
      <c r="Z518" s="3"/>
    </row>
    <row r="519" spans="1:26" x14ac:dyDescent="0.3">
      <c r="A519" s="2" t="s">
        <v>467</v>
      </c>
      <c r="B519" s="2" t="s">
        <v>392</v>
      </c>
      <c r="C519" s="2" t="s">
        <v>392</v>
      </c>
      <c r="D519" s="2" t="s">
        <v>82</v>
      </c>
      <c r="E519" s="2" t="s">
        <v>82</v>
      </c>
      <c r="F519" s="2" t="s">
        <v>53</v>
      </c>
      <c r="G519" s="2" t="s">
        <v>53</v>
      </c>
      <c r="H519" s="2" t="s">
        <v>54</v>
      </c>
      <c r="I519" s="2" t="s">
        <v>54</v>
      </c>
      <c r="J519" s="2" t="s">
        <v>990</v>
      </c>
      <c r="K519" s="2" t="s">
        <v>991</v>
      </c>
      <c r="L519" s="2" t="s">
        <v>404</v>
      </c>
      <c r="M519" s="2" t="s">
        <v>213</v>
      </c>
      <c r="N519" s="3"/>
      <c r="O519" s="3"/>
      <c r="P519" s="3"/>
      <c r="Q519" s="3"/>
      <c r="R519" s="3"/>
      <c r="S519" s="3"/>
      <c r="T519" s="3"/>
      <c r="U519" s="3"/>
      <c r="V519" s="3"/>
      <c r="W519" s="3"/>
      <c r="X519" s="3"/>
      <c r="Y519" s="3"/>
      <c r="Z519" s="3"/>
    </row>
    <row r="520" spans="1:26" x14ac:dyDescent="0.3">
      <c r="A520" s="2" t="s">
        <v>467</v>
      </c>
      <c r="B520" s="2" t="s">
        <v>392</v>
      </c>
      <c r="C520" s="2" t="s">
        <v>392</v>
      </c>
      <c r="D520" s="2" t="s">
        <v>82</v>
      </c>
      <c r="E520" s="2" t="s">
        <v>82</v>
      </c>
      <c r="F520" s="2" t="s">
        <v>53</v>
      </c>
      <c r="G520" s="2" t="s">
        <v>53</v>
      </c>
      <c r="H520" s="2" t="s">
        <v>54</v>
      </c>
      <c r="I520" s="2" t="s">
        <v>54</v>
      </c>
      <c r="J520" s="2" t="s">
        <v>992</v>
      </c>
      <c r="K520" s="2" t="s">
        <v>993</v>
      </c>
      <c r="L520" s="2" t="s">
        <v>404</v>
      </c>
      <c r="M520" s="2" t="s">
        <v>213</v>
      </c>
      <c r="N520" s="3"/>
      <c r="O520" s="3"/>
      <c r="P520" s="3"/>
      <c r="Q520" s="3"/>
      <c r="R520" s="3"/>
      <c r="S520" s="3"/>
      <c r="T520" s="3"/>
      <c r="U520" s="3"/>
      <c r="V520" s="3"/>
      <c r="W520" s="3"/>
      <c r="X520" s="3"/>
      <c r="Y520" s="3"/>
      <c r="Z520" s="3"/>
    </row>
    <row r="521" spans="1:26" hidden="1" x14ac:dyDescent="0.3">
      <c r="A521" s="2" t="s">
        <v>467</v>
      </c>
      <c r="B521" s="2" t="s">
        <v>396</v>
      </c>
      <c r="C521" s="2" t="s">
        <v>396</v>
      </c>
      <c r="D521" s="2" t="s">
        <v>82</v>
      </c>
      <c r="E521" s="2" t="s">
        <v>82</v>
      </c>
      <c r="F521" s="2" t="s">
        <v>53</v>
      </c>
      <c r="G521" s="2" t="s">
        <v>53</v>
      </c>
      <c r="H521" s="2" t="s">
        <v>54</v>
      </c>
      <c r="I521" s="2" t="s">
        <v>54</v>
      </c>
      <c r="J521" s="2" t="s">
        <v>994</v>
      </c>
      <c r="K521" s="2" t="s">
        <v>397</v>
      </c>
      <c r="L521" s="2" t="s">
        <v>404</v>
      </c>
      <c r="M521" s="2" t="s">
        <v>57</v>
      </c>
      <c r="N521" s="3"/>
      <c r="O521" s="3"/>
      <c r="P521" s="3"/>
      <c r="Q521" s="3"/>
      <c r="R521" s="3"/>
      <c r="S521" s="3"/>
      <c r="T521" s="3"/>
      <c r="U521" s="3"/>
      <c r="V521" s="3"/>
      <c r="W521" s="3"/>
      <c r="X521" s="3"/>
      <c r="Y521" s="3"/>
      <c r="Z521" s="3"/>
    </row>
    <row r="522" spans="1:26" hidden="1" x14ac:dyDescent="0.3">
      <c r="A522" s="2" t="s">
        <v>467</v>
      </c>
      <c r="B522" s="2" t="s">
        <v>396</v>
      </c>
      <c r="C522" s="2" t="s">
        <v>396</v>
      </c>
      <c r="D522" s="2" t="s">
        <v>151</v>
      </c>
      <c r="E522" s="2" t="s">
        <v>151</v>
      </c>
      <c r="F522" s="2" t="s">
        <v>53</v>
      </c>
      <c r="G522" s="2" t="s">
        <v>53</v>
      </c>
      <c r="H522" s="2" t="s">
        <v>54</v>
      </c>
      <c r="I522" s="2" t="s">
        <v>54</v>
      </c>
      <c r="J522" s="2" t="s">
        <v>995</v>
      </c>
      <c r="K522" s="2" t="s">
        <v>996</v>
      </c>
      <c r="L522" s="2" t="s">
        <v>404</v>
      </c>
      <c r="M522" s="2" t="s">
        <v>57</v>
      </c>
      <c r="N522" s="3"/>
      <c r="O522" s="3"/>
      <c r="P522" s="3"/>
      <c r="Q522" s="3"/>
      <c r="R522" s="3"/>
      <c r="S522" s="3"/>
      <c r="T522" s="3"/>
      <c r="U522" s="3"/>
      <c r="V522" s="3"/>
      <c r="W522" s="3"/>
      <c r="X522" s="3"/>
      <c r="Y522" s="3"/>
      <c r="Z522" s="3"/>
    </row>
    <row r="523" spans="1:26" hidden="1" x14ac:dyDescent="0.3">
      <c r="A523" s="2" t="s">
        <v>467</v>
      </c>
      <c r="B523" s="2" t="s">
        <v>396</v>
      </c>
      <c r="C523" s="2" t="s">
        <v>396</v>
      </c>
      <c r="D523" s="2" t="s">
        <v>151</v>
      </c>
      <c r="E523" s="2" t="s">
        <v>151</v>
      </c>
      <c r="F523" s="2" t="s">
        <v>53</v>
      </c>
      <c r="G523" s="2" t="s">
        <v>53</v>
      </c>
      <c r="H523" s="2" t="s">
        <v>54</v>
      </c>
      <c r="I523" s="2" t="s">
        <v>54</v>
      </c>
      <c r="J523" s="2" t="s">
        <v>997</v>
      </c>
      <c r="K523" s="2" t="s">
        <v>998</v>
      </c>
      <c r="L523" s="2" t="s">
        <v>404</v>
      </c>
      <c r="M523" s="2" t="s">
        <v>57</v>
      </c>
      <c r="N523" s="3"/>
      <c r="O523" s="3"/>
      <c r="P523" s="3"/>
      <c r="Q523" s="3"/>
      <c r="R523" s="3"/>
      <c r="S523" s="3"/>
      <c r="T523" s="3"/>
      <c r="U523" s="3"/>
      <c r="V523" s="3"/>
      <c r="W523" s="3"/>
      <c r="X523" s="3"/>
      <c r="Y523" s="3"/>
      <c r="Z523" s="3"/>
    </row>
    <row r="524" spans="1:26" hidden="1" x14ac:dyDescent="0.3">
      <c r="A524" s="2" t="s">
        <v>467</v>
      </c>
      <c r="B524" s="2" t="s">
        <v>396</v>
      </c>
      <c r="C524" s="2" t="s">
        <v>396</v>
      </c>
      <c r="D524" s="2" t="s">
        <v>151</v>
      </c>
      <c r="E524" s="2" t="s">
        <v>151</v>
      </c>
      <c r="F524" s="2" t="s">
        <v>53</v>
      </c>
      <c r="G524" s="2" t="s">
        <v>53</v>
      </c>
      <c r="H524" s="2" t="s">
        <v>54</v>
      </c>
      <c r="I524" s="2" t="s">
        <v>54</v>
      </c>
      <c r="J524" s="2" t="s">
        <v>999</v>
      </c>
      <c r="K524" s="2" t="s">
        <v>998</v>
      </c>
      <c r="L524" s="2" t="s">
        <v>404</v>
      </c>
      <c r="M524" s="2" t="s">
        <v>57</v>
      </c>
      <c r="N524" s="3"/>
      <c r="O524" s="3"/>
      <c r="P524" s="3"/>
      <c r="Q524" s="3"/>
      <c r="R524" s="3"/>
      <c r="S524" s="3"/>
      <c r="T524" s="3"/>
      <c r="U524" s="3"/>
      <c r="V524" s="3"/>
      <c r="W524" s="3"/>
      <c r="X524" s="3"/>
      <c r="Y524" s="3"/>
      <c r="Z524" s="3"/>
    </row>
    <row r="525" spans="1:26" hidden="1" x14ac:dyDescent="0.3">
      <c r="A525" s="2" t="s">
        <v>467</v>
      </c>
      <c r="B525" s="2" t="s">
        <v>396</v>
      </c>
      <c r="C525" s="2" t="s">
        <v>396</v>
      </c>
      <c r="D525" s="2" t="s">
        <v>151</v>
      </c>
      <c r="E525" s="2" t="s">
        <v>151</v>
      </c>
      <c r="F525" s="2" t="s">
        <v>53</v>
      </c>
      <c r="G525" s="2" t="s">
        <v>53</v>
      </c>
      <c r="H525" s="2" t="s">
        <v>54</v>
      </c>
      <c r="I525" s="2" t="s">
        <v>54</v>
      </c>
      <c r="J525" s="2" t="s">
        <v>1000</v>
      </c>
      <c r="K525" s="2" t="s">
        <v>998</v>
      </c>
      <c r="L525" s="2" t="s">
        <v>404</v>
      </c>
      <c r="M525" s="2" t="s">
        <v>57</v>
      </c>
      <c r="N525" s="3"/>
      <c r="O525" s="3"/>
      <c r="P525" s="3"/>
      <c r="Q525" s="3"/>
      <c r="R525" s="3"/>
      <c r="S525" s="3"/>
      <c r="T525" s="3"/>
      <c r="U525" s="3"/>
      <c r="V525" s="3"/>
      <c r="W525" s="3"/>
      <c r="X525" s="3"/>
      <c r="Y525" s="3"/>
      <c r="Z525" s="3"/>
    </row>
    <row r="526" spans="1:26" hidden="1" x14ac:dyDescent="0.3">
      <c r="A526" s="2" t="s">
        <v>467</v>
      </c>
      <c r="B526" s="2" t="s">
        <v>396</v>
      </c>
      <c r="C526" s="2" t="s">
        <v>396</v>
      </c>
      <c r="D526" s="2" t="s">
        <v>82</v>
      </c>
      <c r="E526" s="2" t="s">
        <v>82</v>
      </c>
      <c r="F526" s="2" t="s">
        <v>53</v>
      </c>
      <c r="G526" s="2" t="s">
        <v>53</v>
      </c>
      <c r="H526" s="2" t="s">
        <v>54</v>
      </c>
      <c r="I526" s="2" t="s">
        <v>54</v>
      </c>
      <c r="J526" s="2" t="s">
        <v>1001</v>
      </c>
      <c r="K526" s="2" t="s">
        <v>670</v>
      </c>
      <c r="L526" s="2" t="s">
        <v>404</v>
      </c>
      <c r="M526" s="2" t="s">
        <v>57</v>
      </c>
      <c r="N526" s="3"/>
      <c r="O526" s="3"/>
      <c r="P526" s="3"/>
      <c r="Q526" s="3"/>
      <c r="R526" s="3"/>
      <c r="S526" s="3"/>
      <c r="T526" s="3"/>
      <c r="U526" s="3"/>
      <c r="V526" s="3"/>
      <c r="W526" s="3"/>
      <c r="X526" s="3"/>
      <c r="Y526" s="3"/>
      <c r="Z526" s="3"/>
    </row>
    <row r="527" spans="1:26" hidden="1" x14ac:dyDescent="0.3">
      <c r="A527" s="2" t="s">
        <v>467</v>
      </c>
      <c r="B527" s="2" t="s">
        <v>396</v>
      </c>
      <c r="C527" s="2" t="s">
        <v>396</v>
      </c>
      <c r="D527" s="2" t="s">
        <v>151</v>
      </c>
      <c r="E527" s="2" t="s">
        <v>151</v>
      </c>
      <c r="F527" s="2" t="s">
        <v>53</v>
      </c>
      <c r="G527" s="2" t="s">
        <v>53</v>
      </c>
      <c r="H527" s="2" t="s">
        <v>54</v>
      </c>
      <c r="I527" s="2" t="s">
        <v>54</v>
      </c>
      <c r="J527" s="2" t="s">
        <v>1002</v>
      </c>
      <c r="K527" s="2" t="s">
        <v>1003</v>
      </c>
      <c r="L527" s="2" t="s">
        <v>404</v>
      </c>
      <c r="M527" s="2" t="s">
        <v>57</v>
      </c>
      <c r="N527" s="3"/>
      <c r="O527" s="3"/>
      <c r="P527" s="3"/>
      <c r="Q527" s="3"/>
      <c r="R527" s="3"/>
      <c r="S527" s="3"/>
      <c r="T527" s="3"/>
      <c r="U527" s="3"/>
      <c r="V527" s="3"/>
      <c r="W527" s="3"/>
      <c r="X527" s="3"/>
      <c r="Y527" s="3"/>
      <c r="Z527" s="3"/>
    </row>
    <row r="528" spans="1:26" hidden="1" x14ac:dyDescent="0.3">
      <c r="A528" s="2" t="s">
        <v>467</v>
      </c>
      <c r="B528" s="2" t="s">
        <v>396</v>
      </c>
      <c r="C528" s="2" t="s">
        <v>396</v>
      </c>
      <c r="D528" s="2" t="s">
        <v>82</v>
      </c>
      <c r="E528" s="2" t="s">
        <v>82</v>
      </c>
      <c r="F528" s="2" t="s">
        <v>53</v>
      </c>
      <c r="G528" s="2" t="s">
        <v>53</v>
      </c>
      <c r="H528" s="2" t="s">
        <v>54</v>
      </c>
      <c r="I528" s="2" t="s">
        <v>54</v>
      </c>
      <c r="J528" s="2" t="s">
        <v>1004</v>
      </c>
      <c r="K528" s="2" t="s">
        <v>398</v>
      </c>
      <c r="L528" s="2" t="s">
        <v>404</v>
      </c>
      <c r="M528" s="2" t="s">
        <v>57</v>
      </c>
      <c r="N528" s="3"/>
      <c r="O528" s="3"/>
      <c r="P528" s="3"/>
      <c r="Q528" s="3"/>
      <c r="R528" s="3"/>
      <c r="S528" s="3"/>
      <c r="T528" s="3"/>
      <c r="U528" s="3"/>
      <c r="V528" s="3"/>
      <c r="W528" s="3"/>
      <c r="X528" s="3"/>
      <c r="Y528" s="3"/>
      <c r="Z528" s="3"/>
    </row>
    <row r="529" spans="1:26" hidden="1" x14ac:dyDescent="0.3">
      <c r="A529" s="2" t="s">
        <v>467</v>
      </c>
      <c r="B529" s="2" t="s">
        <v>396</v>
      </c>
      <c r="C529" s="2" t="s">
        <v>396</v>
      </c>
      <c r="D529" s="2" t="s">
        <v>82</v>
      </c>
      <c r="E529" s="2" t="s">
        <v>82</v>
      </c>
      <c r="F529" s="2" t="s">
        <v>53</v>
      </c>
      <c r="G529" s="2" t="s">
        <v>53</v>
      </c>
      <c r="H529" s="2" t="s">
        <v>54</v>
      </c>
      <c r="I529" s="2" t="s">
        <v>54</v>
      </c>
      <c r="J529" s="2" t="s">
        <v>1005</v>
      </c>
      <c r="K529" s="2" t="s">
        <v>1006</v>
      </c>
      <c r="L529" s="2" t="s">
        <v>404</v>
      </c>
      <c r="M529" s="2" t="s">
        <v>57</v>
      </c>
      <c r="N529" s="3"/>
      <c r="O529" s="3"/>
      <c r="P529" s="3"/>
      <c r="Q529" s="3"/>
      <c r="R529" s="3"/>
      <c r="S529" s="3"/>
      <c r="T529" s="3"/>
      <c r="U529" s="3"/>
      <c r="V529" s="3"/>
      <c r="W529" s="3"/>
      <c r="X529" s="3"/>
      <c r="Y529" s="3"/>
      <c r="Z529" s="3"/>
    </row>
    <row r="530" spans="1:26" hidden="1" x14ac:dyDescent="0.3">
      <c r="A530" s="2" t="s">
        <v>467</v>
      </c>
      <c r="B530" s="2" t="s">
        <v>396</v>
      </c>
      <c r="C530" s="2" t="s">
        <v>396</v>
      </c>
      <c r="D530" s="2" t="s">
        <v>400</v>
      </c>
      <c r="E530" s="2" t="s">
        <v>400</v>
      </c>
      <c r="F530" s="2" t="s">
        <v>53</v>
      </c>
      <c r="G530" s="2" t="s">
        <v>53</v>
      </c>
      <c r="H530" s="2" t="s">
        <v>54</v>
      </c>
      <c r="I530" s="2" t="s">
        <v>54</v>
      </c>
      <c r="J530" s="2" t="s">
        <v>1007</v>
      </c>
      <c r="K530" s="2" t="s">
        <v>399</v>
      </c>
      <c r="L530" s="2" t="s">
        <v>404</v>
      </c>
      <c r="M530" s="2" t="s">
        <v>57</v>
      </c>
      <c r="N530" s="3"/>
      <c r="O530" s="3"/>
      <c r="P530" s="3"/>
      <c r="Q530" s="3"/>
      <c r="R530" s="3"/>
      <c r="S530" s="3"/>
      <c r="T530" s="3"/>
      <c r="U530" s="3"/>
      <c r="V530" s="3"/>
      <c r="W530" s="3"/>
      <c r="X530" s="3"/>
      <c r="Y530" s="3"/>
      <c r="Z530" s="3"/>
    </row>
    <row r="531" spans="1:26" hidden="1" x14ac:dyDescent="0.3">
      <c r="A531" s="2" t="s">
        <v>467</v>
      </c>
      <c r="B531" s="2" t="s">
        <v>396</v>
      </c>
      <c r="C531" s="2" t="s">
        <v>396</v>
      </c>
      <c r="D531" s="2" t="s">
        <v>82</v>
      </c>
      <c r="E531" s="2" t="s">
        <v>82</v>
      </c>
      <c r="F531" s="2" t="s">
        <v>53</v>
      </c>
      <c r="G531" s="2" t="s">
        <v>53</v>
      </c>
      <c r="H531" s="2" t="s">
        <v>54</v>
      </c>
      <c r="I531" s="2" t="s">
        <v>54</v>
      </c>
      <c r="J531" s="2" t="s">
        <v>1008</v>
      </c>
      <c r="K531" s="2" t="s">
        <v>675</v>
      </c>
      <c r="L531" s="2" t="s">
        <v>404</v>
      </c>
      <c r="M531" s="2" t="s">
        <v>57</v>
      </c>
      <c r="N531" s="3"/>
      <c r="O531" s="3"/>
      <c r="P531" s="3"/>
      <c r="Q531" s="3"/>
      <c r="R531" s="3"/>
      <c r="S531" s="3"/>
      <c r="T531" s="3"/>
      <c r="U531" s="3"/>
      <c r="V531" s="3"/>
      <c r="W531" s="3"/>
      <c r="X531" s="3"/>
      <c r="Y531" s="3"/>
      <c r="Z531" s="3"/>
    </row>
    <row r="532" spans="1:26" hidden="1" x14ac:dyDescent="0.3">
      <c r="A532" s="2" t="s">
        <v>467</v>
      </c>
      <c r="B532" s="2" t="s">
        <v>396</v>
      </c>
      <c r="C532" s="2" t="s">
        <v>396</v>
      </c>
      <c r="D532" s="2" t="s">
        <v>82</v>
      </c>
      <c r="E532" s="2" t="s">
        <v>82</v>
      </c>
      <c r="F532" s="2" t="s">
        <v>53</v>
      </c>
      <c r="G532" s="2" t="s">
        <v>53</v>
      </c>
      <c r="H532" s="2" t="s">
        <v>54</v>
      </c>
      <c r="I532" s="2" t="s">
        <v>54</v>
      </c>
      <c r="J532" s="2"/>
      <c r="K532" s="2"/>
      <c r="L532" s="2" t="s">
        <v>404</v>
      </c>
      <c r="M532" s="2" t="s">
        <v>57</v>
      </c>
      <c r="N532" s="3"/>
      <c r="O532" s="3"/>
      <c r="P532" s="3"/>
      <c r="Q532" s="3"/>
      <c r="R532" s="3"/>
      <c r="S532" s="3"/>
      <c r="T532" s="3"/>
      <c r="U532" s="3"/>
      <c r="V532" s="3"/>
      <c r="W532" s="3"/>
      <c r="X532" s="3"/>
      <c r="Y532" s="3"/>
      <c r="Z532" s="3"/>
    </row>
    <row r="533" spans="1:26" hidden="1" x14ac:dyDescent="0.3">
      <c r="A533" s="2" t="s">
        <v>467</v>
      </c>
      <c r="B533" s="2" t="s">
        <v>396</v>
      </c>
      <c r="C533" s="2" t="s">
        <v>396</v>
      </c>
      <c r="D533" s="2" t="s">
        <v>400</v>
      </c>
      <c r="E533" s="2" t="s">
        <v>400</v>
      </c>
      <c r="F533" s="2" t="s">
        <v>53</v>
      </c>
      <c r="G533" s="2" t="s">
        <v>53</v>
      </c>
      <c r="H533" s="2" t="s">
        <v>54</v>
      </c>
      <c r="I533" s="2" t="s">
        <v>54</v>
      </c>
      <c r="J533" s="2" t="s">
        <v>1009</v>
      </c>
      <c r="K533" s="2"/>
      <c r="L533" s="2" t="s">
        <v>404</v>
      </c>
      <c r="M533" s="2" t="s">
        <v>57</v>
      </c>
      <c r="N533" s="3"/>
      <c r="O533" s="3"/>
      <c r="P533" s="3"/>
      <c r="Q533" s="3"/>
      <c r="R533" s="3"/>
      <c r="S533" s="3"/>
      <c r="T533" s="3"/>
      <c r="U533" s="3"/>
      <c r="V533" s="3"/>
      <c r="W533" s="3"/>
      <c r="X533" s="3"/>
      <c r="Y533" s="3"/>
      <c r="Z533" s="3"/>
    </row>
    <row r="534" spans="1:26" hidden="1" x14ac:dyDescent="0.3">
      <c r="A534" s="2" t="s">
        <v>467</v>
      </c>
      <c r="B534" s="2" t="s">
        <v>396</v>
      </c>
      <c r="C534" s="2" t="s">
        <v>396</v>
      </c>
      <c r="D534" s="2" t="s">
        <v>400</v>
      </c>
      <c r="E534" s="2" t="s">
        <v>400</v>
      </c>
      <c r="F534" s="2" t="s">
        <v>53</v>
      </c>
      <c r="G534" s="2" t="s">
        <v>53</v>
      </c>
      <c r="H534" s="2" t="s">
        <v>54</v>
      </c>
      <c r="I534" s="2" t="s">
        <v>54</v>
      </c>
      <c r="J534" s="2" t="s">
        <v>1010</v>
      </c>
      <c r="K534" s="2"/>
      <c r="L534" s="2" t="s">
        <v>404</v>
      </c>
      <c r="M534" s="2" t="s">
        <v>57</v>
      </c>
      <c r="N534" s="3"/>
      <c r="O534" s="3"/>
      <c r="P534" s="3"/>
      <c r="Q534" s="3"/>
      <c r="R534" s="3"/>
      <c r="S534" s="3"/>
      <c r="T534" s="3"/>
      <c r="U534" s="3"/>
      <c r="V534" s="3"/>
      <c r="W534" s="3"/>
      <c r="X534" s="3"/>
      <c r="Y534" s="3"/>
      <c r="Z534" s="3"/>
    </row>
    <row r="535" spans="1:26" hidden="1" x14ac:dyDescent="0.3">
      <c r="A535" s="2" t="s">
        <v>467</v>
      </c>
      <c r="B535" s="2" t="s">
        <v>396</v>
      </c>
      <c r="C535" s="2" t="s">
        <v>396</v>
      </c>
      <c r="D535" s="2" t="s">
        <v>400</v>
      </c>
      <c r="E535" s="2" t="s">
        <v>400</v>
      </c>
      <c r="F535" s="2" t="s">
        <v>53</v>
      </c>
      <c r="G535" s="2" t="s">
        <v>53</v>
      </c>
      <c r="H535" s="2" t="s">
        <v>54</v>
      </c>
      <c r="I535" s="2" t="s">
        <v>54</v>
      </c>
      <c r="J535" s="2" t="s">
        <v>1011</v>
      </c>
      <c r="K535" s="2"/>
      <c r="L535" s="2" t="s">
        <v>404</v>
      </c>
      <c r="M535" s="2" t="s">
        <v>57</v>
      </c>
      <c r="N535" s="3"/>
      <c r="O535" s="3"/>
      <c r="P535" s="3"/>
      <c r="Q535" s="3"/>
      <c r="R535" s="3"/>
      <c r="S535" s="3"/>
      <c r="T535" s="3"/>
      <c r="U535" s="3"/>
      <c r="V535" s="3"/>
      <c r="W535" s="3"/>
      <c r="X535" s="3"/>
      <c r="Y535" s="3"/>
      <c r="Z535" s="3"/>
    </row>
    <row r="536" spans="1:26" hidden="1" x14ac:dyDescent="0.3">
      <c r="A536" s="2" t="s">
        <v>467</v>
      </c>
      <c r="B536" s="2" t="s">
        <v>396</v>
      </c>
      <c r="C536" s="2" t="s">
        <v>396</v>
      </c>
      <c r="D536" s="2" t="s">
        <v>400</v>
      </c>
      <c r="E536" s="2" t="s">
        <v>400</v>
      </c>
      <c r="F536" s="2" t="s">
        <v>53</v>
      </c>
      <c r="G536" s="2" t="s">
        <v>53</v>
      </c>
      <c r="H536" s="2" t="s">
        <v>54</v>
      </c>
      <c r="I536" s="2" t="s">
        <v>54</v>
      </c>
      <c r="J536" s="2" t="s">
        <v>1012</v>
      </c>
      <c r="K536" s="2"/>
      <c r="L536" s="2" t="s">
        <v>404</v>
      </c>
      <c r="M536" s="2" t="s">
        <v>57</v>
      </c>
      <c r="N536" s="3"/>
      <c r="O536" s="3"/>
      <c r="P536" s="3"/>
      <c r="Q536" s="3"/>
      <c r="R536" s="3"/>
      <c r="S536" s="3"/>
      <c r="T536" s="3"/>
      <c r="U536" s="3"/>
      <c r="V536" s="3"/>
      <c r="W536" s="3"/>
      <c r="X536" s="3"/>
      <c r="Y536" s="3"/>
      <c r="Z536" s="3"/>
    </row>
    <row r="537" spans="1:26" hidden="1" x14ac:dyDescent="0.3">
      <c r="A537" s="2" t="s">
        <v>467</v>
      </c>
      <c r="B537" s="2" t="s">
        <v>396</v>
      </c>
      <c r="C537" s="2" t="s">
        <v>396</v>
      </c>
      <c r="D537" s="2" t="s">
        <v>400</v>
      </c>
      <c r="E537" s="2" t="s">
        <v>400</v>
      </c>
      <c r="F537" s="2" t="s">
        <v>53</v>
      </c>
      <c r="G537" s="2" t="s">
        <v>53</v>
      </c>
      <c r="H537" s="2" t="s">
        <v>54</v>
      </c>
      <c r="I537" s="2" t="s">
        <v>54</v>
      </c>
      <c r="J537" s="2" t="s">
        <v>1013</v>
      </c>
      <c r="K537" s="2"/>
      <c r="L537" s="2" t="s">
        <v>404</v>
      </c>
      <c r="M537" s="2" t="s">
        <v>57</v>
      </c>
      <c r="N537" s="3"/>
      <c r="O537" s="3"/>
      <c r="P537" s="3"/>
      <c r="Q537" s="3"/>
      <c r="R537" s="3"/>
      <c r="S537" s="3"/>
      <c r="T537" s="3"/>
      <c r="U537" s="3"/>
      <c r="V537" s="3"/>
      <c r="W537" s="3"/>
      <c r="X537" s="3"/>
      <c r="Y537" s="3"/>
      <c r="Z537" s="3"/>
    </row>
    <row r="538" spans="1:26" hidden="1" x14ac:dyDescent="0.3">
      <c r="A538" s="2" t="s">
        <v>467</v>
      </c>
      <c r="B538" s="2" t="s">
        <v>396</v>
      </c>
      <c r="C538" s="2" t="s">
        <v>396</v>
      </c>
      <c r="D538" s="2" t="s">
        <v>400</v>
      </c>
      <c r="E538" s="2" t="s">
        <v>400</v>
      </c>
      <c r="F538" s="2" t="s">
        <v>53</v>
      </c>
      <c r="G538" s="2" t="s">
        <v>53</v>
      </c>
      <c r="H538" s="2" t="s">
        <v>54</v>
      </c>
      <c r="I538" s="2" t="s">
        <v>54</v>
      </c>
      <c r="J538" s="2" t="s">
        <v>1014</v>
      </c>
      <c r="K538" s="2"/>
      <c r="L538" s="2" t="s">
        <v>404</v>
      </c>
      <c r="M538" s="2" t="s">
        <v>57</v>
      </c>
      <c r="N538" s="3"/>
      <c r="O538" s="3"/>
      <c r="P538" s="3"/>
      <c r="Q538" s="3"/>
      <c r="R538" s="3"/>
      <c r="S538" s="3"/>
      <c r="T538" s="3"/>
      <c r="U538" s="3"/>
      <c r="V538" s="3"/>
      <c r="W538" s="3"/>
      <c r="X538" s="3"/>
      <c r="Y538" s="3"/>
      <c r="Z538" s="3"/>
    </row>
    <row r="539" spans="1:26" hidden="1" x14ac:dyDescent="0.3">
      <c r="A539" s="2" t="s">
        <v>467</v>
      </c>
      <c r="B539" s="2" t="s">
        <v>396</v>
      </c>
      <c r="C539" s="2" t="s">
        <v>396</v>
      </c>
      <c r="D539" s="2" t="s">
        <v>400</v>
      </c>
      <c r="E539" s="2" t="s">
        <v>400</v>
      </c>
      <c r="F539" s="2" t="s">
        <v>53</v>
      </c>
      <c r="G539" s="2" t="s">
        <v>53</v>
      </c>
      <c r="H539" s="2" t="s">
        <v>54</v>
      </c>
      <c r="I539" s="2" t="s">
        <v>54</v>
      </c>
      <c r="J539" s="2" t="s">
        <v>1015</v>
      </c>
      <c r="K539" s="2"/>
      <c r="L539" s="2" t="s">
        <v>404</v>
      </c>
      <c r="M539" s="2" t="s">
        <v>57</v>
      </c>
      <c r="N539" s="3"/>
      <c r="O539" s="3"/>
      <c r="P539" s="3"/>
      <c r="Q539" s="3"/>
      <c r="R539" s="3"/>
      <c r="S539" s="3"/>
      <c r="T539" s="3"/>
      <c r="U539" s="3"/>
      <c r="V539" s="3"/>
      <c r="W539" s="3"/>
      <c r="X539" s="3"/>
      <c r="Y539" s="3"/>
      <c r="Z539" s="3"/>
    </row>
    <row r="540" spans="1:26" hidden="1" x14ac:dyDescent="0.3">
      <c r="A540" s="2" t="s">
        <v>467</v>
      </c>
      <c r="B540" s="2" t="s">
        <v>396</v>
      </c>
      <c r="C540" s="2" t="s">
        <v>396</v>
      </c>
      <c r="D540" s="2" t="s">
        <v>400</v>
      </c>
      <c r="E540" s="2" t="s">
        <v>400</v>
      </c>
      <c r="F540" s="2" t="s">
        <v>53</v>
      </c>
      <c r="G540" s="2" t="s">
        <v>53</v>
      </c>
      <c r="H540" s="2" t="s">
        <v>54</v>
      </c>
      <c r="I540" s="2" t="s">
        <v>54</v>
      </c>
      <c r="J540" s="2" t="s">
        <v>1015</v>
      </c>
      <c r="K540" s="2"/>
      <c r="L540" s="2" t="s">
        <v>404</v>
      </c>
      <c r="M540" s="2" t="s">
        <v>57</v>
      </c>
      <c r="N540" s="3"/>
      <c r="O540" s="3"/>
      <c r="P540" s="3"/>
      <c r="Q540" s="3"/>
      <c r="R540" s="3"/>
      <c r="S540" s="3"/>
      <c r="T540" s="3"/>
      <c r="U540" s="3"/>
      <c r="V540" s="3"/>
      <c r="W540" s="3"/>
      <c r="X540" s="3"/>
      <c r="Y540" s="3"/>
      <c r="Z540" s="3"/>
    </row>
    <row r="541" spans="1:26" hidden="1" x14ac:dyDescent="0.3">
      <c r="A541" s="2" t="s">
        <v>467</v>
      </c>
      <c r="B541" s="2" t="s">
        <v>396</v>
      </c>
      <c r="C541" s="2" t="s">
        <v>396</v>
      </c>
      <c r="D541" s="2" t="s">
        <v>66</v>
      </c>
      <c r="E541" s="2" t="s">
        <v>66</v>
      </c>
      <c r="F541" s="2" t="s">
        <v>53</v>
      </c>
      <c r="G541" s="2" t="s">
        <v>53</v>
      </c>
      <c r="H541" s="2" t="s">
        <v>54</v>
      </c>
      <c r="I541" s="2" t="s">
        <v>54</v>
      </c>
      <c r="J541" s="2" t="s">
        <v>1016</v>
      </c>
      <c r="K541" s="2"/>
      <c r="L541" s="2" t="s">
        <v>404</v>
      </c>
      <c r="M541" s="2" t="s">
        <v>57</v>
      </c>
      <c r="N541" s="3"/>
      <c r="O541" s="3"/>
      <c r="P541" s="3"/>
      <c r="Q541" s="3"/>
      <c r="R541" s="3"/>
      <c r="S541" s="3"/>
      <c r="T541" s="3"/>
      <c r="U541" s="3"/>
      <c r="V541" s="3"/>
      <c r="W541" s="3"/>
      <c r="X541" s="3"/>
      <c r="Y541" s="3"/>
      <c r="Z541" s="3"/>
    </row>
    <row r="542" spans="1:26" hidden="1" x14ac:dyDescent="0.3">
      <c r="A542" s="2" t="s">
        <v>467</v>
      </c>
      <c r="B542" s="2" t="s">
        <v>396</v>
      </c>
      <c r="C542" s="2" t="s">
        <v>396</v>
      </c>
      <c r="D542" s="2" t="s">
        <v>400</v>
      </c>
      <c r="E542" s="2" t="s">
        <v>400</v>
      </c>
      <c r="F542" s="2" t="s">
        <v>53</v>
      </c>
      <c r="G542" s="2" t="s">
        <v>53</v>
      </c>
      <c r="H542" s="2" t="s">
        <v>54</v>
      </c>
      <c r="I542" s="2" t="s">
        <v>54</v>
      </c>
      <c r="J542" s="2" t="s">
        <v>1017</v>
      </c>
      <c r="K542" s="2"/>
      <c r="L542" s="2" t="s">
        <v>404</v>
      </c>
      <c r="M542" s="2" t="s">
        <v>57</v>
      </c>
      <c r="N542" s="3"/>
      <c r="O542" s="3"/>
      <c r="P542" s="3"/>
      <c r="Q542" s="3"/>
      <c r="R542" s="3"/>
      <c r="S542" s="3"/>
      <c r="T542" s="3"/>
      <c r="U542" s="3"/>
      <c r="V542" s="3"/>
      <c r="W542" s="3"/>
      <c r="X542" s="3"/>
      <c r="Y542" s="3"/>
      <c r="Z542" s="3"/>
    </row>
    <row r="543" spans="1:26" hidden="1" x14ac:dyDescent="0.3">
      <c r="A543" s="2" t="s">
        <v>467</v>
      </c>
      <c r="B543" s="2" t="s">
        <v>396</v>
      </c>
      <c r="C543" s="2" t="s">
        <v>396</v>
      </c>
      <c r="D543" s="2" t="s">
        <v>400</v>
      </c>
      <c r="E543" s="2" t="s">
        <v>400</v>
      </c>
      <c r="F543" s="2" t="s">
        <v>53</v>
      </c>
      <c r="G543" s="2" t="s">
        <v>53</v>
      </c>
      <c r="H543" s="2" t="s">
        <v>54</v>
      </c>
      <c r="I543" s="2" t="s">
        <v>54</v>
      </c>
      <c r="J543" s="2" t="s">
        <v>1018</v>
      </c>
      <c r="K543" s="2"/>
      <c r="L543" s="2" t="s">
        <v>404</v>
      </c>
      <c r="M543" s="2" t="s">
        <v>57</v>
      </c>
      <c r="N543" s="3"/>
      <c r="O543" s="3"/>
      <c r="P543" s="3"/>
      <c r="Q543" s="3"/>
      <c r="R543" s="3"/>
      <c r="S543" s="3"/>
      <c r="T543" s="3"/>
      <c r="U543" s="3"/>
      <c r="V543" s="3"/>
      <c r="W543" s="3"/>
      <c r="X543" s="3"/>
      <c r="Y543" s="3"/>
      <c r="Z543" s="3"/>
    </row>
    <row r="544" spans="1:26" hidden="1" x14ac:dyDescent="0.3">
      <c r="A544" s="2" t="s">
        <v>467</v>
      </c>
      <c r="B544" s="2" t="s">
        <v>396</v>
      </c>
      <c r="C544" s="2" t="s">
        <v>396</v>
      </c>
      <c r="D544" s="2" t="s">
        <v>151</v>
      </c>
      <c r="E544" s="2" t="s">
        <v>151</v>
      </c>
      <c r="F544" s="2" t="s">
        <v>53</v>
      </c>
      <c r="G544" s="2" t="s">
        <v>53</v>
      </c>
      <c r="H544" s="2" t="s">
        <v>54</v>
      </c>
      <c r="I544" s="2" t="s">
        <v>54</v>
      </c>
      <c r="J544" s="2" t="s">
        <v>1019</v>
      </c>
      <c r="K544" s="2"/>
      <c r="L544" s="2" t="s">
        <v>404</v>
      </c>
      <c r="M544" s="2" t="s">
        <v>57</v>
      </c>
      <c r="N544" s="3"/>
      <c r="O544" s="3"/>
      <c r="P544" s="3"/>
      <c r="Q544" s="3"/>
      <c r="R544" s="3"/>
      <c r="S544" s="3"/>
      <c r="T544" s="3"/>
      <c r="U544" s="3"/>
      <c r="V544" s="3"/>
      <c r="W544" s="3"/>
      <c r="X544" s="3"/>
      <c r="Y544" s="3"/>
      <c r="Z544" s="3"/>
    </row>
    <row r="545" spans="1:26" hidden="1" x14ac:dyDescent="0.3">
      <c r="A545" s="2" t="s">
        <v>467</v>
      </c>
      <c r="B545" s="2" t="s">
        <v>324</v>
      </c>
      <c r="C545" s="2" t="s">
        <v>324</v>
      </c>
      <c r="D545" s="2" t="s">
        <v>405</v>
      </c>
      <c r="E545" s="2" t="s">
        <v>405</v>
      </c>
      <c r="F545" s="2" t="s">
        <v>53</v>
      </c>
      <c r="G545" s="2" t="s">
        <v>53</v>
      </c>
      <c r="H545" s="2" t="s">
        <v>54</v>
      </c>
      <c r="I545" s="2" t="s">
        <v>54</v>
      </c>
      <c r="J545" s="2" t="s">
        <v>406</v>
      </c>
      <c r="K545" s="2" t="s">
        <v>121</v>
      </c>
      <c r="L545" s="2" t="s">
        <v>407</v>
      </c>
      <c r="M545" s="2" t="s">
        <v>72</v>
      </c>
      <c r="N545" s="3">
        <v>3333</v>
      </c>
      <c r="O545" s="3">
        <v>3333</v>
      </c>
      <c r="P545" s="3">
        <v>3333</v>
      </c>
      <c r="Q545" s="3">
        <v>3333</v>
      </c>
      <c r="R545" s="3">
        <v>3333</v>
      </c>
      <c r="S545" s="3">
        <v>3333</v>
      </c>
      <c r="T545" s="3">
        <v>3333</v>
      </c>
      <c r="U545" s="3">
        <v>3333</v>
      </c>
      <c r="V545" s="3">
        <v>3333</v>
      </c>
      <c r="W545" s="3">
        <v>3333</v>
      </c>
      <c r="X545" s="3">
        <v>3333</v>
      </c>
      <c r="Y545" s="3">
        <v>3333</v>
      </c>
      <c r="Z545" s="3">
        <v>39996</v>
      </c>
    </row>
    <row r="546" spans="1:26" hidden="1" x14ac:dyDescent="0.3">
      <c r="A546" s="2" t="s">
        <v>467</v>
      </c>
      <c r="B546" s="2" t="s">
        <v>324</v>
      </c>
      <c r="C546" s="2" t="s">
        <v>324</v>
      </c>
      <c r="D546" s="2" t="s">
        <v>62</v>
      </c>
      <c r="E546" s="2" t="s">
        <v>62</v>
      </c>
      <c r="F546" s="2" t="s">
        <v>53</v>
      </c>
      <c r="G546" s="2" t="s">
        <v>53</v>
      </c>
      <c r="H546" s="2" t="s">
        <v>54</v>
      </c>
      <c r="I546" s="2" t="s">
        <v>54</v>
      </c>
      <c r="J546" s="2" t="s">
        <v>408</v>
      </c>
      <c r="K546" s="2" t="s">
        <v>121</v>
      </c>
      <c r="L546" s="2" t="s">
        <v>407</v>
      </c>
      <c r="M546" s="2" t="s">
        <v>72</v>
      </c>
      <c r="N546" s="3"/>
      <c r="O546" s="3"/>
      <c r="P546" s="3"/>
      <c r="Q546" s="3"/>
      <c r="R546" s="3"/>
      <c r="S546" s="3"/>
      <c r="T546" s="3"/>
      <c r="U546" s="3"/>
      <c r="V546" s="3"/>
      <c r="W546" s="3"/>
      <c r="X546" s="3">
        <v>833</v>
      </c>
      <c r="Y546" s="3">
        <v>833</v>
      </c>
      <c r="Z546" s="3">
        <v>1666</v>
      </c>
    </row>
    <row r="547" spans="1:26" hidden="1" x14ac:dyDescent="0.3">
      <c r="A547" s="2" t="s">
        <v>467</v>
      </c>
      <c r="B547" s="2" t="s">
        <v>324</v>
      </c>
      <c r="C547" s="2" t="s">
        <v>324</v>
      </c>
      <c r="D547" s="2" t="s">
        <v>200</v>
      </c>
      <c r="E547" s="2" t="s">
        <v>200</v>
      </c>
      <c r="F547" s="2" t="s">
        <v>53</v>
      </c>
      <c r="G547" s="2" t="s">
        <v>53</v>
      </c>
      <c r="H547" s="2" t="s">
        <v>54</v>
      </c>
      <c r="I547" s="2" t="s">
        <v>54</v>
      </c>
      <c r="J547" s="2" t="s">
        <v>409</v>
      </c>
      <c r="K547" s="2" t="s">
        <v>121</v>
      </c>
      <c r="L547" s="2" t="s">
        <v>410</v>
      </c>
      <c r="M547" s="2" t="s">
        <v>72</v>
      </c>
      <c r="N547" s="3">
        <v>8333.3333333333321</v>
      </c>
      <c r="O547" s="3">
        <v>8333.3333333333321</v>
      </c>
      <c r="P547" s="3">
        <v>8333.3333333333321</v>
      </c>
      <c r="Q547" s="3">
        <v>8333.3333333333321</v>
      </c>
      <c r="R547" s="3">
        <v>8333.3333333333321</v>
      </c>
      <c r="S547" s="3">
        <v>8333.3333333333321</v>
      </c>
      <c r="T547" s="3">
        <v>8333.3333333333321</v>
      </c>
      <c r="U547" s="3">
        <v>8333.3333333333321</v>
      </c>
      <c r="V547" s="3">
        <v>8333.3333333333321</v>
      </c>
      <c r="W547" s="3">
        <v>8333.3333333333321</v>
      </c>
      <c r="X547" s="3">
        <v>8333.3333333333321</v>
      </c>
      <c r="Y547" s="3">
        <v>8333.3333333333321</v>
      </c>
      <c r="Z547" s="3">
        <v>99999.999999999956</v>
      </c>
    </row>
    <row r="548" spans="1:26" hidden="1" x14ac:dyDescent="0.3">
      <c r="A548" s="2" t="s">
        <v>467</v>
      </c>
      <c r="B548" s="2" t="s">
        <v>324</v>
      </c>
      <c r="C548" s="2" t="s">
        <v>324</v>
      </c>
      <c r="D548" s="2" t="s">
        <v>66</v>
      </c>
      <c r="E548" s="2" t="s">
        <v>66</v>
      </c>
      <c r="F548" s="2" t="s">
        <v>53</v>
      </c>
      <c r="G548" s="2" t="s">
        <v>53</v>
      </c>
      <c r="H548" s="2" t="s">
        <v>54</v>
      </c>
      <c r="I548" s="2" t="s">
        <v>54</v>
      </c>
      <c r="J548" s="2" t="s">
        <v>986</v>
      </c>
      <c r="K548" s="2" t="s">
        <v>986</v>
      </c>
      <c r="L548" s="2" t="s">
        <v>410</v>
      </c>
      <c r="M548" s="2" t="s">
        <v>72</v>
      </c>
      <c r="N548" s="3"/>
      <c r="O548" s="3"/>
      <c r="P548" s="3"/>
      <c r="Q548" s="3"/>
      <c r="R548" s="3"/>
      <c r="S548" s="3"/>
      <c r="T548" s="3"/>
      <c r="U548" s="3"/>
      <c r="V548" s="3"/>
      <c r="W548" s="3"/>
      <c r="X548" s="3"/>
      <c r="Y548" s="3"/>
      <c r="Z548" s="3"/>
    </row>
    <row r="549" spans="1:26" hidden="1" x14ac:dyDescent="0.3">
      <c r="A549" s="2" t="s">
        <v>467</v>
      </c>
      <c r="B549" s="2" t="s">
        <v>417</v>
      </c>
      <c r="C549" s="2" t="s">
        <v>417</v>
      </c>
      <c r="D549" s="2" t="s">
        <v>400</v>
      </c>
      <c r="E549" s="2" t="s">
        <v>400</v>
      </c>
      <c r="F549" s="2" t="s">
        <v>53</v>
      </c>
      <c r="G549" s="2" t="s">
        <v>53</v>
      </c>
      <c r="H549" s="2" t="s">
        <v>759</v>
      </c>
      <c r="I549" s="2" t="s">
        <v>759</v>
      </c>
      <c r="J549" s="2"/>
      <c r="K549" s="2"/>
      <c r="L549" s="2" t="s">
        <v>1020</v>
      </c>
      <c r="M549" s="2" t="s">
        <v>57</v>
      </c>
      <c r="N549" s="3"/>
      <c r="O549" s="3"/>
      <c r="P549" s="3"/>
      <c r="Q549" s="3"/>
      <c r="R549" s="3"/>
      <c r="S549" s="3"/>
      <c r="T549" s="3"/>
      <c r="U549" s="3"/>
      <c r="V549" s="3"/>
      <c r="W549" s="3"/>
      <c r="X549" s="3"/>
      <c r="Y549" s="3"/>
      <c r="Z549" s="3"/>
    </row>
    <row r="550" spans="1:26" hidden="1" x14ac:dyDescent="0.3">
      <c r="A550" s="2" t="s">
        <v>467</v>
      </c>
      <c r="B550" s="2" t="s">
        <v>417</v>
      </c>
      <c r="C550" s="2" t="s">
        <v>417</v>
      </c>
      <c r="D550" s="2" t="s">
        <v>400</v>
      </c>
      <c r="E550" s="2" t="s">
        <v>400</v>
      </c>
      <c r="F550" s="2" t="s">
        <v>53</v>
      </c>
      <c r="G550" s="2" t="s">
        <v>53</v>
      </c>
      <c r="H550" s="2" t="s">
        <v>54</v>
      </c>
      <c r="I550" s="2" t="s">
        <v>54</v>
      </c>
      <c r="J550" s="2"/>
      <c r="K550" s="2"/>
      <c r="L550" s="2" t="s">
        <v>1020</v>
      </c>
      <c r="M550" s="2" t="s">
        <v>57</v>
      </c>
      <c r="N550" s="3"/>
      <c r="O550" s="3"/>
      <c r="P550" s="3"/>
      <c r="Q550" s="3"/>
      <c r="R550" s="3"/>
      <c r="S550" s="3"/>
      <c r="T550" s="3"/>
      <c r="U550" s="3"/>
      <c r="V550" s="3"/>
      <c r="W550" s="3"/>
      <c r="X550" s="3"/>
      <c r="Y550" s="3"/>
      <c r="Z550" s="3"/>
    </row>
    <row r="551" spans="1:26" hidden="1" x14ac:dyDescent="0.3">
      <c r="A551" s="2" t="s">
        <v>467</v>
      </c>
      <c r="B551" s="2" t="s">
        <v>68</v>
      </c>
      <c r="C551" s="2" t="s">
        <v>68</v>
      </c>
      <c r="D551" s="2" t="s">
        <v>411</v>
      </c>
      <c r="E551" s="2" t="s">
        <v>411</v>
      </c>
      <c r="F551" s="2" t="s">
        <v>53</v>
      </c>
      <c r="G551" s="2" t="s">
        <v>53</v>
      </c>
      <c r="H551" s="2" t="s">
        <v>54</v>
      </c>
      <c r="I551" s="2" t="s">
        <v>54</v>
      </c>
      <c r="J551" s="2" t="s">
        <v>412</v>
      </c>
      <c r="K551" s="2" t="s">
        <v>125</v>
      </c>
      <c r="L551" s="2" t="s">
        <v>7</v>
      </c>
      <c r="M551" s="2" t="s">
        <v>72</v>
      </c>
      <c r="N551" s="3">
        <v>2526</v>
      </c>
      <c r="O551" s="3">
        <v>2526</v>
      </c>
      <c r="P551" s="3">
        <v>2526</v>
      </c>
      <c r="Q551" s="3">
        <v>2526</v>
      </c>
      <c r="R551" s="3">
        <v>2526</v>
      </c>
      <c r="S551" s="3">
        <v>2526</v>
      </c>
      <c r="T551" s="3">
        <v>2526</v>
      </c>
      <c r="U551" s="3">
        <v>2526</v>
      </c>
      <c r="V551" s="3">
        <v>2526</v>
      </c>
      <c r="W551" s="3">
        <v>2526</v>
      </c>
      <c r="X551" s="3">
        <v>2526</v>
      </c>
      <c r="Y551" s="3">
        <v>2526</v>
      </c>
      <c r="Z551" s="3">
        <v>30312</v>
      </c>
    </row>
    <row r="552" spans="1:26" hidden="1" x14ac:dyDescent="0.3">
      <c r="A552" s="2" t="s">
        <v>467</v>
      </c>
      <c r="B552" s="2" t="s">
        <v>68</v>
      </c>
      <c r="C552" s="2" t="s">
        <v>68</v>
      </c>
      <c r="D552" s="2" t="s">
        <v>413</v>
      </c>
      <c r="E552" s="2" t="s">
        <v>413</v>
      </c>
      <c r="F552" s="2" t="s">
        <v>53</v>
      </c>
      <c r="G552" s="2" t="s">
        <v>53</v>
      </c>
      <c r="H552" s="2" t="s">
        <v>54</v>
      </c>
      <c r="I552" s="2" t="s">
        <v>54</v>
      </c>
      <c r="J552" s="2" t="s">
        <v>412</v>
      </c>
      <c r="K552" s="2" t="s">
        <v>125</v>
      </c>
      <c r="L552" s="2" t="s">
        <v>7</v>
      </c>
      <c r="M552" s="2" t="s">
        <v>72</v>
      </c>
      <c r="N552" s="3">
        <v>349</v>
      </c>
      <c r="O552" s="3">
        <v>349</v>
      </c>
      <c r="P552" s="3">
        <v>349</v>
      </c>
      <c r="Q552" s="3">
        <v>349</v>
      </c>
      <c r="R552" s="3">
        <v>349</v>
      </c>
      <c r="S552" s="3">
        <v>349</v>
      </c>
      <c r="T552" s="3">
        <v>349</v>
      </c>
      <c r="U552" s="3">
        <v>349</v>
      </c>
      <c r="V552" s="3">
        <v>349</v>
      </c>
      <c r="W552" s="3">
        <v>349</v>
      </c>
      <c r="X552" s="3">
        <v>349</v>
      </c>
      <c r="Y552" s="3">
        <v>349</v>
      </c>
      <c r="Z552" s="3">
        <v>4188</v>
      </c>
    </row>
    <row r="553" spans="1:26" hidden="1" x14ac:dyDescent="0.3">
      <c r="A553" s="2" t="s">
        <v>467</v>
      </c>
      <c r="B553" s="2" t="s">
        <v>324</v>
      </c>
      <c r="C553" s="2" t="s">
        <v>324</v>
      </c>
      <c r="D553" s="2" t="s">
        <v>119</v>
      </c>
      <c r="E553" s="2" t="s">
        <v>119</v>
      </c>
      <c r="F553" s="2" t="s">
        <v>53</v>
      </c>
      <c r="G553" s="2" t="s">
        <v>53</v>
      </c>
      <c r="H553" s="2" t="s">
        <v>54</v>
      </c>
      <c r="I553" s="2" t="s">
        <v>54</v>
      </c>
      <c r="J553" s="2" t="s">
        <v>1021</v>
      </c>
      <c r="K553" s="2" t="s">
        <v>121</v>
      </c>
      <c r="L553" s="2" t="s">
        <v>1022</v>
      </c>
      <c r="M553" s="2" t="s">
        <v>72</v>
      </c>
      <c r="N553" s="3"/>
      <c r="O553" s="3"/>
      <c r="P553" s="3"/>
      <c r="Q553" s="3"/>
      <c r="R553" s="3"/>
      <c r="S553" s="3"/>
      <c r="T553" s="3"/>
      <c r="U553" s="3"/>
      <c r="V553" s="3"/>
      <c r="W553" s="3"/>
      <c r="X553" s="3"/>
      <c r="Y553" s="3"/>
      <c r="Z553" s="3"/>
    </row>
    <row r="554" spans="1:26" hidden="1" x14ac:dyDescent="0.3">
      <c r="A554" s="2" t="s">
        <v>467</v>
      </c>
      <c r="B554" s="2" t="s">
        <v>417</v>
      </c>
      <c r="C554" s="2" t="s">
        <v>417</v>
      </c>
      <c r="D554" s="2" t="s">
        <v>400</v>
      </c>
      <c r="E554" s="2" t="s">
        <v>400</v>
      </c>
      <c r="F554" s="2" t="s">
        <v>53</v>
      </c>
      <c r="G554" s="2" t="s">
        <v>53</v>
      </c>
      <c r="H554" s="2" t="s">
        <v>1023</v>
      </c>
      <c r="I554" s="2" t="s">
        <v>1023</v>
      </c>
      <c r="J554" s="2" t="s">
        <v>1024</v>
      </c>
      <c r="K554" s="2"/>
      <c r="L554" s="2"/>
      <c r="M554" s="2" t="s">
        <v>57</v>
      </c>
      <c r="N554" s="3"/>
      <c r="O554" s="3"/>
      <c r="P554" s="3"/>
      <c r="Q554" s="3"/>
      <c r="R554" s="3"/>
      <c r="S554" s="3"/>
      <c r="T554" s="3"/>
      <c r="U554" s="3"/>
      <c r="V554" s="3"/>
      <c r="W554" s="3"/>
      <c r="X554" s="3"/>
      <c r="Y554" s="3"/>
      <c r="Z554" s="3"/>
    </row>
    <row r="555" spans="1:26" hidden="1" x14ac:dyDescent="0.3">
      <c r="A555" s="2" t="s">
        <v>467</v>
      </c>
      <c r="B555" s="2" t="s">
        <v>417</v>
      </c>
      <c r="C555" s="2" t="s">
        <v>417</v>
      </c>
      <c r="D555" s="2" t="s">
        <v>200</v>
      </c>
      <c r="E555" s="2" t="s">
        <v>200</v>
      </c>
      <c r="F555" s="2" t="s">
        <v>53</v>
      </c>
      <c r="G555" s="2" t="s">
        <v>53</v>
      </c>
      <c r="H555" s="2" t="s">
        <v>1023</v>
      </c>
      <c r="I555" s="2" t="s">
        <v>1023</v>
      </c>
      <c r="J555" s="2" t="s">
        <v>1025</v>
      </c>
      <c r="K555" s="2"/>
      <c r="L555" s="2"/>
      <c r="M555" s="2" t="s">
        <v>57</v>
      </c>
      <c r="N555" s="3"/>
      <c r="O555" s="3"/>
      <c r="P555" s="3"/>
      <c r="Q555" s="3"/>
      <c r="R555" s="3"/>
      <c r="S555" s="3"/>
      <c r="T555" s="3"/>
      <c r="U555" s="3"/>
      <c r="V555" s="3"/>
      <c r="W555" s="3"/>
      <c r="X555" s="3"/>
      <c r="Y555" s="3"/>
      <c r="Z555" s="3"/>
    </row>
    <row r="556" spans="1:26" hidden="1" x14ac:dyDescent="0.3">
      <c r="A556" s="2" t="s">
        <v>467</v>
      </c>
      <c r="B556" s="2" t="s">
        <v>417</v>
      </c>
      <c r="C556" s="2" t="s">
        <v>417</v>
      </c>
      <c r="D556" s="2" t="s">
        <v>200</v>
      </c>
      <c r="E556" s="2" t="s">
        <v>200</v>
      </c>
      <c r="F556" s="2" t="s">
        <v>53</v>
      </c>
      <c r="G556" s="2" t="s">
        <v>53</v>
      </c>
      <c r="H556" s="2" t="s">
        <v>1023</v>
      </c>
      <c r="I556" s="2" t="s">
        <v>1023</v>
      </c>
      <c r="J556" s="2" t="s">
        <v>1026</v>
      </c>
      <c r="K556" s="2"/>
      <c r="L556" s="2"/>
      <c r="M556" s="2" t="s">
        <v>57</v>
      </c>
      <c r="N556" s="3"/>
      <c r="O556" s="3"/>
      <c r="P556" s="3"/>
      <c r="Q556" s="3"/>
      <c r="R556" s="3"/>
      <c r="S556" s="3"/>
      <c r="T556" s="3"/>
      <c r="U556" s="3"/>
      <c r="V556" s="3"/>
      <c r="W556" s="3"/>
      <c r="X556" s="3"/>
      <c r="Y556" s="3"/>
      <c r="Z556" s="3"/>
    </row>
    <row r="557" spans="1:26" hidden="1" x14ac:dyDescent="0.3">
      <c r="A557" s="80" t="s">
        <v>21</v>
      </c>
      <c r="B557" s="80"/>
      <c r="C557" s="80"/>
      <c r="D557" s="80"/>
      <c r="E557" s="80"/>
      <c r="F557" s="80"/>
      <c r="G557" s="80"/>
      <c r="H557" s="80"/>
      <c r="I557" s="80"/>
      <c r="J557" s="80"/>
      <c r="K557" s="80"/>
      <c r="L557" s="80"/>
      <c r="M557" s="80" t="s">
        <v>72</v>
      </c>
      <c r="N557" s="81">
        <v>1379673.9185548311</v>
      </c>
      <c r="O557" s="81">
        <v>1379726.9093548313</v>
      </c>
      <c r="P557" s="81">
        <v>1410092.9001548311</v>
      </c>
      <c r="Q557" s="81">
        <v>1432466.9418948311</v>
      </c>
      <c r="R557" s="81">
        <v>1464955.9239948313</v>
      </c>
      <c r="S557" s="81">
        <v>1452583.9147948311</v>
      </c>
      <c r="T557" s="81">
        <v>1547693.7905948318</v>
      </c>
      <c r="U557" s="81">
        <v>1528799.0029948314</v>
      </c>
      <c r="V557" s="81">
        <v>1496392.3662948315</v>
      </c>
      <c r="W557" s="81">
        <v>1451508.3248948315</v>
      </c>
      <c r="X557" s="81">
        <v>1452342.8364948314</v>
      </c>
      <c r="Y557" s="81">
        <v>1452457.7776948316</v>
      </c>
      <c r="Z557" s="81">
        <v>17448694.607717972</v>
      </c>
    </row>
    <row r="561" spans="1:8" x14ac:dyDescent="0.3">
      <c r="A561" s="82" t="s">
        <v>563</v>
      </c>
    </row>
    <row r="562" spans="1:8" x14ac:dyDescent="0.3">
      <c r="A562" s="136"/>
      <c r="B562" s="136"/>
      <c r="C562" s="136"/>
      <c r="D562" s="136"/>
      <c r="E562" s="136"/>
      <c r="F562" s="136"/>
      <c r="G562" s="136"/>
      <c r="H562" s="136"/>
    </row>
    <row r="565" spans="1:8" x14ac:dyDescent="0.3">
      <c r="A565" s="1" t="s">
        <v>1027</v>
      </c>
    </row>
    <row r="566" spans="1:8" x14ac:dyDescent="0.3">
      <c r="A566" s="1" t="s">
        <v>565</v>
      </c>
    </row>
  </sheetData>
  <autoFilter ref="A4:Z557" xr:uid="{00000000-0001-0000-0000-000000000000}">
    <filterColumn colId="1">
      <filters>
        <filter val="607_Corporate, Finance &amp; HR Systems_EIL_EUR"/>
        <filter val="607_Corporate, Finance &amp; HR Systems_EIL_GBP"/>
        <filter val="607_Corporate, Finance &amp; HR Systems_EIL_USD"/>
      </filters>
    </filterColumn>
  </autoFilter>
  <mergeCells count="1">
    <mergeCell ref="A562:H56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79998168889431442"/>
  </sheetPr>
  <dimension ref="A2:C5"/>
  <sheetViews>
    <sheetView workbookViewId="0">
      <selection activeCell="K11" sqref="K11"/>
    </sheetView>
  </sheetViews>
  <sheetFormatPr defaultRowHeight="14.4" x14ac:dyDescent="0.3"/>
  <cols>
    <col min="2" max="2" width="36.77734375" customWidth="1"/>
  </cols>
  <sheetData>
    <row r="2" spans="1:3" x14ac:dyDescent="0.3">
      <c r="A2" s="137" t="s">
        <v>1028</v>
      </c>
      <c r="B2" s="136"/>
      <c r="C2" s="136"/>
    </row>
    <row r="3" spans="1:3" x14ac:dyDescent="0.3">
      <c r="A3" s="80" t="s">
        <v>1029</v>
      </c>
      <c r="B3" s="80" t="s">
        <v>1030</v>
      </c>
    </row>
    <row r="4" spans="1:3" x14ac:dyDescent="0.3">
      <c r="A4" s="80" t="s">
        <v>1031</v>
      </c>
      <c r="B4" s="80" t="s">
        <v>1032</v>
      </c>
    </row>
    <row r="5" spans="1:3" x14ac:dyDescent="0.3">
      <c r="A5" s="80" t="s">
        <v>1033</v>
      </c>
      <c r="B5" s="80" t="s">
        <v>1034</v>
      </c>
    </row>
  </sheetData>
  <mergeCells count="1">
    <mergeCell ref="A2:C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FB5E-748D-4166-87C3-B399AEC43709}">
  <dimension ref="G1:Q16"/>
  <sheetViews>
    <sheetView topLeftCell="H1" workbookViewId="0">
      <selection activeCell="Q1" sqref="Q1:Q3"/>
    </sheetView>
  </sheetViews>
  <sheetFormatPr defaultColWidth="8.77734375" defaultRowHeight="14.4" x14ac:dyDescent="0.3"/>
  <cols>
    <col min="1" max="6" width="8.77734375" style="4"/>
    <col min="7" max="7" width="36.21875" style="4" bestFit="1" customWidth="1"/>
    <col min="8" max="8" width="31.21875" style="4" customWidth="1"/>
    <col min="9" max="9" width="12.5546875" style="4" customWidth="1"/>
    <col min="10" max="10" width="15.77734375" style="4" customWidth="1"/>
    <col min="11" max="13" width="8.77734375" style="4"/>
    <col min="14" max="14" width="8.77734375" style="4" customWidth="1"/>
    <col min="15" max="15" width="10.5546875" style="4" customWidth="1"/>
    <col min="16" max="16" width="8.77734375" style="4" customWidth="1"/>
    <col min="17" max="17" width="13.77734375" style="4" customWidth="1"/>
    <col min="18" max="16384" width="8.77734375" style="4"/>
  </cols>
  <sheetData>
    <row r="1" spans="7:17" x14ac:dyDescent="0.3">
      <c r="N1" s="56" t="s">
        <v>1035</v>
      </c>
      <c r="O1" s="56" t="s">
        <v>1036</v>
      </c>
      <c r="P1" s="56" t="s">
        <v>9</v>
      </c>
      <c r="Q1" s="83">
        <v>2064368</v>
      </c>
    </row>
    <row r="2" spans="7:17" x14ac:dyDescent="0.3">
      <c r="P2" s="56" t="s">
        <v>684</v>
      </c>
      <c r="Q2" s="83">
        <v>404431.53885057464</v>
      </c>
    </row>
    <row r="3" spans="7:17" x14ac:dyDescent="0.3">
      <c r="Q3" s="53">
        <f>Q1+Q2</f>
        <v>2468799.5388505748</v>
      </c>
    </row>
    <row r="4" spans="7:17" x14ac:dyDescent="0.3">
      <c r="G4" s="4" t="s">
        <v>1037</v>
      </c>
      <c r="H4" s="56" t="s">
        <v>1037</v>
      </c>
      <c r="I4" s="4">
        <v>606</v>
      </c>
      <c r="J4" s="4" t="s">
        <v>649</v>
      </c>
      <c r="K4" s="4" t="s">
        <v>790</v>
      </c>
    </row>
    <row r="5" spans="7:17" x14ac:dyDescent="0.3">
      <c r="G5" s="4" t="s">
        <v>1038</v>
      </c>
      <c r="H5" s="4" t="s">
        <v>1038</v>
      </c>
      <c r="I5" s="4">
        <v>602</v>
      </c>
      <c r="J5" s="4" t="s">
        <v>617</v>
      </c>
      <c r="K5" s="4" t="s">
        <v>724</v>
      </c>
    </row>
    <row r="6" spans="7:17" x14ac:dyDescent="0.3">
      <c r="G6" s="4" t="s">
        <v>1039</v>
      </c>
      <c r="H6" s="4" t="s">
        <v>1039</v>
      </c>
      <c r="I6" s="4">
        <v>607</v>
      </c>
      <c r="J6" s="4" t="s">
        <v>661</v>
      </c>
      <c r="K6" s="4" t="s">
        <v>785</v>
      </c>
    </row>
    <row r="7" spans="7:17" x14ac:dyDescent="0.3">
      <c r="G7" s="4" t="s">
        <v>1040</v>
      </c>
      <c r="H7" s="4" t="s">
        <v>1040</v>
      </c>
      <c r="I7" s="4">
        <v>604</v>
      </c>
      <c r="J7" s="4" t="s">
        <v>644</v>
      </c>
      <c r="K7" s="4" t="s">
        <v>778</v>
      </c>
    </row>
    <row r="8" spans="7:17" x14ac:dyDescent="0.3">
      <c r="G8" s="4" t="s">
        <v>1041</v>
      </c>
      <c r="H8" s="4" t="s">
        <v>1041</v>
      </c>
      <c r="I8" s="4">
        <v>608</v>
      </c>
      <c r="J8" s="4" t="s">
        <v>669</v>
      </c>
      <c r="K8" s="4" t="s">
        <v>718</v>
      </c>
    </row>
    <row r="9" spans="7:17" x14ac:dyDescent="0.3">
      <c r="G9" s="4" t="s">
        <v>1042</v>
      </c>
      <c r="H9" s="4" t="s">
        <v>1043</v>
      </c>
      <c r="I9" s="4">
        <v>600</v>
      </c>
      <c r="J9" s="4" t="s">
        <v>1044</v>
      </c>
      <c r="K9" s="4" t="s">
        <v>766</v>
      </c>
    </row>
    <row r="10" spans="7:17" x14ac:dyDescent="0.3">
      <c r="H10" s="4" t="s">
        <v>1045</v>
      </c>
      <c r="I10" s="4">
        <v>609</v>
      </c>
      <c r="J10" s="4" t="s">
        <v>571</v>
      </c>
      <c r="K10" s="4" t="s">
        <v>789</v>
      </c>
    </row>
    <row r="11" spans="7:17" x14ac:dyDescent="0.3">
      <c r="G11" s="4" t="s">
        <v>1046</v>
      </c>
      <c r="H11" s="4" t="s">
        <v>1046</v>
      </c>
      <c r="I11" s="4">
        <v>605</v>
      </c>
      <c r="J11" s="4" t="s">
        <v>1047</v>
      </c>
      <c r="K11" s="4" t="s">
        <v>1048</v>
      </c>
    </row>
    <row r="12" spans="7:17" x14ac:dyDescent="0.3">
      <c r="G12" s="4" t="s">
        <v>1049</v>
      </c>
      <c r="H12" s="4" t="s">
        <v>1049</v>
      </c>
      <c r="I12" s="4">
        <v>601</v>
      </c>
      <c r="J12" s="4" t="s">
        <v>578</v>
      </c>
      <c r="K12" s="4" t="s">
        <v>744</v>
      </c>
    </row>
    <row r="13" spans="7:17" x14ac:dyDescent="0.3">
      <c r="J13" s="4" t="s">
        <v>706</v>
      </c>
      <c r="K13" s="4" t="s">
        <v>1048</v>
      </c>
    </row>
    <row r="14" spans="7:17" x14ac:dyDescent="0.3">
      <c r="J14" s="4" t="s">
        <v>1050</v>
      </c>
      <c r="K14" s="4" t="s">
        <v>724</v>
      </c>
    </row>
    <row r="15" spans="7:17" x14ac:dyDescent="0.3">
      <c r="J15" s="4" t="s">
        <v>1051</v>
      </c>
      <c r="K15" s="5" t="s">
        <v>778</v>
      </c>
    </row>
    <row r="16" spans="7:17" x14ac:dyDescent="0.3">
      <c r="J16" s="4" t="s">
        <v>1052</v>
      </c>
      <c r="K16" s="5" t="s">
        <v>778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EA09-0ED1-47DE-BD3A-F3A759B374C9}">
  <dimension ref="A3:G32"/>
  <sheetViews>
    <sheetView workbookViewId="0"/>
  </sheetViews>
  <sheetFormatPr defaultRowHeight="14.4" x14ac:dyDescent="0.3"/>
  <cols>
    <col min="1" max="1" width="45.88671875" bestFit="1" customWidth="1"/>
    <col min="2" max="2" width="24" bestFit="1" customWidth="1"/>
    <col min="3" max="3" width="18.6640625" customWidth="1"/>
    <col min="4" max="4" width="12.77734375" bestFit="1" customWidth="1"/>
    <col min="5" max="5" width="4.88671875" bestFit="1" customWidth="1"/>
    <col min="6" max="6" width="17.21875" bestFit="1" customWidth="1"/>
  </cols>
  <sheetData>
    <row r="3" spans="1:7" x14ac:dyDescent="0.3">
      <c r="A3" s="115" t="s">
        <v>1160</v>
      </c>
      <c r="B3" t="s">
        <v>1161</v>
      </c>
      <c r="C3" t="s">
        <v>1161</v>
      </c>
    </row>
    <row r="4" spans="1:7" x14ac:dyDescent="0.3">
      <c r="A4" s="116" t="s">
        <v>400</v>
      </c>
      <c r="B4" s="117">
        <v>279996</v>
      </c>
      <c r="C4" s="6">
        <v>279996</v>
      </c>
      <c r="D4" s="6">
        <f>'Report Data'!F45</f>
        <v>279996</v>
      </c>
      <c r="E4" s="6">
        <f t="shared" ref="E4:E31" si="0">C4-D4</f>
        <v>0</v>
      </c>
    </row>
    <row r="5" spans="1:7" x14ac:dyDescent="0.3">
      <c r="A5" s="116" t="s">
        <v>119</v>
      </c>
      <c r="B5" s="117">
        <v>2068.9655172413795</v>
      </c>
      <c r="C5" s="6">
        <v>2068.9655172413795</v>
      </c>
      <c r="D5" s="6">
        <f>'Report Data'!C46</f>
        <v>2068.9655166000002</v>
      </c>
      <c r="E5" s="6">
        <f t="shared" si="0"/>
        <v>6.4137930166907609E-7</v>
      </c>
      <c r="G5" t="s">
        <v>1122</v>
      </c>
    </row>
    <row r="6" spans="1:7" x14ac:dyDescent="0.3">
      <c r="A6" s="116" t="s">
        <v>62</v>
      </c>
      <c r="B6" s="117">
        <v>117024.76597701148</v>
      </c>
      <c r="C6" s="6">
        <v>117024.76597701148</v>
      </c>
      <c r="D6" s="6">
        <f>'Report Data'!C47</f>
        <v>117024.76594073381</v>
      </c>
      <c r="E6" s="6">
        <f t="shared" si="0"/>
        <v>3.6277677281759679E-5</v>
      </c>
      <c r="G6" t="s">
        <v>1123</v>
      </c>
    </row>
    <row r="7" spans="1:7" x14ac:dyDescent="0.3">
      <c r="A7" s="116" t="s">
        <v>114</v>
      </c>
      <c r="B7" s="117">
        <v>209306.89655172414</v>
      </c>
      <c r="C7" s="6">
        <v>209306.89655172414</v>
      </c>
      <c r="D7" s="6">
        <f>'Report Data'!C48</f>
        <v>250166.89647417239</v>
      </c>
      <c r="E7" s="120">
        <f t="shared" si="0"/>
        <v>-40859.999922448245</v>
      </c>
      <c r="F7" t="s">
        <v>1163</v>
      </c>
      <c r="G7" t="s">
        <v>1124</v>
      </c>
    </row>
    <row r="8" spans="1:7" x14ac:dyDescent="0.3">
      <c r="A8" s="116" t="s">
        <v>139</v>
      </c>
      <c r="B8" s="117">
        <v>34482.758620689652</v>
      </c>
      <c r="C8" s="6">
        <v>34482.758620689652</v>
      </c>
      <c r="D8" s="6">
        <f>'Report Data'!C49</f>
        <v>34482.758609999997</v>
      </c>
      <c r="E8" s="6">
        <f t="shared" si="0"/>
        <v>1.0689655027817935E-5</v>
      </c>
      <c r="G8" t="s">
        <v>1125</v>
      </c>
    </row>
    <row r="9" spans="1:7" x14ac:dyDescent="0.3">
      <c r="A9" s="116" t="s">
        <v>168</v>
      </c>
      <c r="B9" s="117">
        <v>2418477.1627586205</v>
      </c>
      <c r="C9" s="6">
        <v>2418477.1627586205</v>
      </c>
      <c r="D9" s="6">
        <f>'Report Data'!C50</f>
        <v>2418477.1620088923</v>
      </c>
      <c r="E9" s="6">
        <f t="shared" si="0"/>
        <v>7.4972817674279213E-4</v>
      </c>
      <c r="G9" t="s">
        <v>1126</v>
      </c>
    </row>
    <row r="10" spans="1:7" x14ac:dyDescent="0.3">
      <c r="A10" s="116" t="s">
        <v>122</v>
      </c>
      <c r="B10" s="117">
        <v>124137.93103448275</v>
      </c>
      <c r="C10" s="6">
        <v>124137.93103448275</v>
      </c>
      <c r="D10" s="6">
        <f>'Report Data'!C51</f>
        <v>124137.93099600001</v>
      </c>
      <c r="E10" s="6">
        <f t="shared" si="0"/>
        <v>3.8482743548229337E-5</v>
      </c>
      <c r="G10" t="s">
        <v>1127</v>
      </c>
    </row>
    <row r="11" spans="1:7" x14ac:dyDescent="0.3">
      <c r="A11" s="116" t="s">
        <v>135</v>
      </c>
      <c r="B11" s="117">
        <v>280617.24137931032</v>
      </c>
      <c r="C11" s="6">
        <v>280617.24137931032</v>
      </c>
      <c r="D11" s="6">
        <f>'Report Data'!C52</f>
        <v>280617.24129231897</v>
      </c>
      <c r="E11" s="6">
        <f t="shared" si="0"/>
        <v>8.699134923517704E-5</v>
      </c>
      <c r="G11" t="s">
        <v>1128</v>
      </c>
    </row>
    <row r="12" spans="1:7" x14ac:dyDescent="0.3">
      <c r="A12" s="116" t="s">
        <v>104</v>
      </c>
      <c r="B12" s="117">
        <v>695322.14854111406</v>
      </c>
      <c r="C12" s="6">
        <v>695322.14854111406</v>
      </c>
      <c r="D12" s="6">
        <f>'Report Data'!C53</f>
        <v>695322.14847410528</v>
      </c>
      <c r="E12" s="6">
        <f t="shared" si="0"/>
        <v>6.7008775658905506E-5</v>
      </c>
      <c r="G12" t="s">
        <v>1129</v>
      </c>
    </row>
    <row r="13" spans="1:7" x14ac:dyDescent="0.3">
      <c r="A13" s="116" t="s">
        <v>107</v>
      </c>
      <c r="B13" s="117">
        <v>53499.705172413793</v>
      </c>
      <c r="C13" s="6">
        <v>53499.705172413793</v>
      </c>
      <c r="D13" s="6">
        <f>'Report Data'!C54</f>
        <v>53499.705155828895</v>
      </c>
      <c r="E13" s="6">
        <f t="shared" si="0"/>
        <v>1.6584897821303457E-5</v>
      </c>
      <c r="G13" t="s">
        <v>1130</v>
      </c>
    </row>
    <row r="14" spans="1:7" x14ac:dyDescent="0.3">
      <c r="A14" s="116" t="s">
        <v>98</v>
      </c>
      <c r="B14" s="117">
        <v>1592020.88</v>
      </c>
      <c r="C14" s="6">
        <v>1592020.88</v>
      </c>
      <c r="D14" s="6">
        <f>'Report Data'!C55</f>
        <v>1592020.8795064732</v>
      </c>
      <c r="E14" s="6">
        <f t="shared" si="0"/>
        <v>4.9352669157087803E-4</v>
      </c>
      <c r="G14" t="s">
        <v>1131</v>
      </c>
    </row>
    <row r="15" spans="1:7" x14ac:dyDescent="0.3">
      <c r="A15" s="116" t="s">
        <v>151</v>
      </c>
      <c r="B15" s="117">
        <v>2982339.1590008838</v>
      </c>
      <c r="C15" s="6">
        <v>2982339.1590008838</v>
      </c>
      <c r="D15" s="6">
        <f>'Report Data'!C56</f>
        <v>2982339.1580857919</v>
      </c>
      <c r="E15" s="6">
        <f t="shared" si="0"/>
        <v>9.1509195044636726E-4</v>
      </c>
      <c r="G15" t="s">
        <v>1132</v>
      </c>
    </row>
    <row r="16" spans="1:7" x14ac:dyDescent="0.3">
      <c r="A16" s="116" t="s">
        <v>200</v>
      </c>
      <c r="B16" s="117">
        <v>1262350.5517241377</v>
      </c>
      <c r="C16" s="6">
        <v>1262350.5517241377</v>
      </c>
      <c r="D16" s="6">
        <f>'Report Data'!C57</f>
        <v>1453850.5512334439</v>
      </c>
      <c r="E16" s="6">
        <f t="shared" si="0"/>
        <v>-191499.99950930616</v>
      </c>
      <c r="G16" t="s">
        <v>1133</v>
      </c>
    </row>
    <row r="17" spans="1:7" x14ac:dyDescent="0.3">
      <c r="A17" s="116" t="s">
        <v>217</v>
      </c>
      <c r="B17" s="117">
        <v>1215349.8072502208</v>
      </c>
      <c r="C17" s="6">
        <v>1215349.8072502208</v>
      </c>
      <c r="D17" s="6">
        <f>'Report Data'!C58</f>
        <v>1240349.8074206985</v>
      </c>
      <c r="E17" s="6">
        <f t="shared" si="0"/>
        <v>-25000.000170477666</v>
      </c>
      <c r="G17" t="s">
        <v>1134</v>
      </c>
    </row>
    <row r="18" spans="1:7" x14ac:dyDescent="0.3">
      <c r="A18" s="116" t="s">
        <v>82</v>
      </c>
      <c r="B18" s="117">
        <v>6952574.6966030076</v>
      </c>
      <c r="C18" s="6">
        <v>6952574.6966030076</v>
      </c>
      <c r="D18" s="6">
        <f>'Report Data'!C59</f>
        <v>7202574.6945065912</v>
      </c>
      <c r="E18" s="6">
        <f t="shared" si="0"/>
        <v>-249999.99790358357</v>
      </c>
      <c r="G18" t="s">
        <v>1135</v>
      </c>
    </row>
    <row r="19" spans="1:7" x14ac:dyDescent="0.3">
      <c r="A19" s="116" t="s">
        <v>111</v>
      </c>
      <c r="B19" s="117">
        <v>52298.758620689667</v>
      </c>
      <c r="C19" s="6">
        <v>52298.758620689667</v>
      </c>
      <c r="D19" s="6">
        <f>'Report Data'!C60</f>
        <v>52298.758604477014</v>
      </c>
      <c r="E19" s="6">
        <f t="shared" si="0"/>
        <v>1.6212652553804219E-5</v>
      </c>
      <c r="G19" t="s">
        <v>1136</v>
      </c>
    </row>
    <row r="20" spans="1:7" x14ac:dyDescent="0.3">
      <c r="A20" s="116" t="s">
        <v>76</v>
      </c>
      <c r="B20" s="117">
        <v>229746.06344827585</v>
      </c>
      <c r="C20" s="6">
        <v>229746.06344827585</v>
      </c>
      <c r="D20" s="6">
        <f>'Report Data'!C61</f>
        <v>188886.06338972121</v>
      </c>
      <c r="E20" s="120">
        <f t="shared" si="0"/>
        <v>40860.000058554637</v>
      </c>
      <c r="F20" t="s">
        <v>1163</v>
      </c>
      <c r="G20" t="s">
        <v>1137</v>
      </c>
    </row>
    <row r="21" spans="1:7" x14ac:dyDescent="0.3">
      <c r="A21" s="116" t="s">
        <v>93</v>
      </c>
      <c r="B21" s="117">
        <v>443490.35172413802</v>
      </c>
      <c r="C21" s="6">
        <v>443490.35172413802</v>
      </c>
      <c r="D21" s="6">
        <f>'Report Data'!C62</f>
        <v>443490.35158665589</v>
      </c>
      <c r="E21" s="6">
        <f t="shared" si="0"/>
        <v>1.3748212950304151E-4</v>
      </c>
      <c r="G21" t="s">
        <v>1138</v>
      </c>
    </row>
    <row r="22" spans="1:7" x14ac:dyDescent="0.3">
      <c r="A22" s="116" t="s">
        <v>405</v>
      </c>
      <c r="B22" s="117">
        <v>45972.413793103449</v>
      </c>
      <c r="C22" s="6">
        <v>45972.413793103449</v>
      </c>
      <c r="D22" s="6">
        <f>'Report Data'!C63</f>
        <v>45972.41377885198</v>
      </c>
      <c r="E22" s="6">
        <f t="shared" si="0"/>
        <v>1.4251469110604376E-5</v>
      </c>
      <c r="G22" t="s">
        <v>1139</v>
      </c>
    </row>
    <row r="23" spans="1:7" x14ac:dyDescent="0.3">
      <c r="A23" s="116" t="s">
        <v>402</v>
      </c>
      <c r="B23" s="117">
        <v>-192758.62068965516</v>
      </c>
      <c r="C23" s="6">
        <v>-192758.62068965516</v>
      </c>
      <c r="D23" s="6">
        <f>'Report Data'!C64</f>
        <v>-192758.62062989993</v>
      </c>
      <c r="E23" s="6">
        <f t="shared" si="0"/>
        <v>-5.9755227994173765E-5</v>
      </c>
      <c r="G23" t="s">
        <v>1140</v>
      </c>
    </row>
    <row r="24" spans="1:7" x14ac:dyDescent="0.3">
      <c r="A24" s="116" t="s">
        <v>132</v>
      </c>
      <c r="B24" s="117">
        <v>181182.4827586207</v>
      </c>
      <c r="C24" s="6">
        <v>181182.4827586207</v>
      </c>
      <c r="D24" s="6">
        <f>'Report Data'!C65</f>
        <v>181182.48270245417</v>
      </c>
      <c r="E24" s="6">
        <f t="shared" si="0"/>
        <v>5.6166521972045302E-5</v>
      </c>
      <c r="G24" t="s">
        <v>1141</v>
      </c>
    </row>
    <row r="25" spans="1:7" x14ac:dyDescent="0.3">
      <c r="A25" s="116" t="s">
        <v>64</v>
      </c>
      <c r="B25" s="117">
        <v>-44986.856551724151</v>
      </c>
      <c r="C25" s="6">
        <v>-44986.856551724151</v>
      </c>
      <c r="D25" s="6">
        <f>'Report Data'!C66</f>
        <v>-44986.856537778214</v>
      </c>
      <c r="E25" s="6">
        <f t="shared" si="0"/>
        <v>-1.3945937098469585E-5</v>
      </c>
      <c r="G25" t="s">
        <v>1142</v>
      </c>
    </row>
    <row r="26" spans="1:7" x14ac:dyDescent="0.3">
      <c r="A26" s="116" t="s">
        <v>66</v>
      </c>
      <c r="B26" s="117">
        <v>184577.41931034485</v>
      </c>
      <c r="C26" s="6">
        <v>184577.41931034485</v>
      </c>
      <c r="D26" s="6">
        <f>'Report Data'!C67</f>
        <v>184577.41925312582</v>
      </c>
      <c r="E26" s="6">
        <f t="shared" si="0"/>
        <v>5.721903289668262E-5</v>
      </c>
      <c r="G26" t="s">
        <v>1143</v>
      </c>
    </row>
    <row r="27" spans="1:7" x14ac:dyDescent="0.3">
      <c r="A27" s="116" t="s">
        <v>58</v>
      </c>
      <c r="B27" s="117">
        <v>2085.9599999999996</v>
      </c>
      <c r="C27" s="6">
        <v>2085.9599999999996</v>
      </c>
      <c r="D27" s="6">
        <f>'Report Data'!C68</f>
        <v>2085.9599993533516</v>
      </c>
      <c r="E27" s="6">
        <f t="shared" si="0"/>
        <v>6.4664800447644666E-7</v>
      </c>
      <c r="G27" t="s">
        <v>1144</v>
      </c>
    </row>
    <row r="28" spans="1:7" x14ac:dyDescent="0.3">
      <c r="A28" s="116" t="s">
        <v>85</v>
      </c>
      <c r="B28" s="117">
        <v>139987.44827586206</v>
      </c>
      <c r="C28" s="6">
        <v>139987.44827586206</v>
      </c>
      <c r="D28" s="6">
        <f>'Report Data'!C69</f>
        <v>139987.44823246598</v>
      </c>
      <c r="E28" s="6">
        <f t="shared" si="0"/>
        <v>4.3396081309765577E-5</v>
      </c>
      <c r="G28" t="s">
        <v>1145</v>
      </c>
    </row>
    <row r="29" spans="1:7" x14ac:dyDescent="0.3">
      <c r="A29" s="116" t="s">
        <v>52</v>
      </c>
      <c r="B29" s="117">
        <v>314542.44275862072</v>
      </c>
      <c r="C29" s="6">
        <v>314542.44275862072</v>
      </c>
      <c r="D29" s="6">
        <f>'Report Data'!C70</f>
        <v>314542.44266111247</v>
      </c>
      <c r="E29" s="6">
        <f t="shared" si="0"/>
        <v>9.7508251201361418E-5</v>
      </c>
      <c r="G29" t="s">
        <v>1146</v>
      </c>
    </row>
    <row r="30" spans="1:7" x14ac:dyDescent="0.3">
      <c r="A30" s="116" t="s">
        <v>60</v>
      </c>
      <c r="B30" s="117">
        <v>1525.92</v>
      </c>
      <c r="C30" s="6">
        <v>1525.92</v>
      </c>
      <c r="D30" s="6">
        <f>'Report Data'!C71</f>
        <v>1525.9199995269644</v>
      </c>
      <c r="E30" s="6">
        <f t="shared" si="0"/>
        <v>4.730356977233896E-7</v>
      </c>
      <c r="G30" t="s">
        <v>1147</v>
      </c>
    </row>
    <row r="31" spans="1:7" x14ac:dyDescent="0.3">
      <c r="A31" s="116" t="s">
        <v>195</v>
      </c>
      <c r="B31" s="117">
        <v>6896.5517241379312</v>
      </c>
      <c r="C31" s="6">
        <v>6896.5517241379312</v>
      </c>
      <c r="D31" s="6">
        <f>'Report Data'!C72</f>
        <v>6896.5517219999992</v>
      </c>
      <c r="E31" s="6">
        <f t="shared" si="0"/>
        <v>2.1379319150582887E-6</v>
      </c>
      <c r="G31" t="s">
        <v>1148</v>
      </c>
    </row>
    <row r="32" spans="1:7" x14ac:dyDescent="0.3">
      <c r="A32" s="116" t="s">
        <v>723</v>
      </c>
      <c r="B32" s="117">
        <v>19584129.005303267</v>
      </c>
      <c r="C32" s="6">
        <v>19584129.005303267</v>
      </c>
      <c r="D32" s="6">
        <f>SUM(D4:D31)</f>
        <v>20050628.999983724</v>
      </c>
      <c r="E32" s="6">
        <f>SUM(E4:E31)</f>
        <v>-466499.99468044523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307EA-B7DA-4413-AB88-D53FE10932AA}">
  <dimension ref="A1:J75"/>
  <sheetViews>
    <sheetView workbookViewId="0"/>
  </sheetViews>
  <sheetFormatPr defaultColWidth="8.77734375" defaultRowHeight="13.2" x14ac:dyDescent="0.25"/>
  <cols>
    <col min="1" max="1" width="26.88671875" style="105" customWidth="1"/>
    <col min="2" max="2" width="71.44140625" style="105" customWidth="1"/>
    <col min="3" max="3" width="48" style="105" customWidth="1"/>
    <col min="4" max="16384" width="8.77734375" style="105"/>
  </cols>
  <sheetData>
    <row r="1" spans="1:10" ht="14.4" x14ac:dyDescent="0.3">
      <c r="A1" s="138" t="s">
        <v>1075</v>
      </c>
      <c r="B1" s="138" t="s">
        <v>1076</v>
      </c>
      <c r="C1" s="106" t="s">
        <v>48</v>
      </c>
    </row>
    <row r="2" spans="1:10" ht="15" thickBot="1" x14ac:dyDescent="0.35">
      <c r="A2" s="138"/>
      <c r="B2" s="138"/>
      <c r="C2" s="106" t="s">
        <v>1077</v>
      </c>
    </row>
    <row r="3" spans="1:10" ht="14.4" x14ac:dyDescent="0.3">
      <c r="A3" s="107" t="s">
        <v>13</v>
      </c>
      <c r="B3" s="107" t="s">
        <v>1078</v>
      </c>
      <c r="C3" s="128">
        <v>6216807.8280727891</v>
      </c>
      <c r="D3" s="129"/>
      <c r="E3" s="105" t="s">
        <v>1152</v>
      </c>
      <c r="I3" s="105" t="s">
        <v>1164</v>
      </c>
      <c r="J3" s="109">
        <f>SUM(C3:D6)</f>
        <v>17396936.046697628</v>
      </c>
    </row>
    <row r="4" spans="1:10" ht="14.4" x14ac:dyDescent="0.3">
      <c r="A4" s="107" t="s">
        <v>13</v>
      </c>
      <c r="B4" s="107" t="s">
        <v>1079</v>
      </c>
      <c r="C4" s="130">
        <v>4684105.2762876824</v>
      </c>
      <c r="D4" s="131"/>
      <c r="I4" s="105" t="s">
        <v>1156</v>
      </c>
      <c r="J4" s="109">
        <f>SUM(C8:C22,C75)</f>
        <v>18669713.230974291</v>
      </c>
    </row>
    <row r="5" spans="1:10" ht="14.4" x14ac:dyDescent="0.3">
      <c r="A5" s="107" t="s">
        <v>13</v>
      </c>
      <c r="B5" s="107" t="s">
        <v>1080</v>
      </c>
      <c r="C5" s="130">
        <v>255172.41371399994</v>
      </c>
      <c r="D5" s="131">
        <f>4122*1000</f>
        <v>4122000</v>
      </c>
      <c r="I5" s="105" t="s">
        <v>1165</v>
      </c>
      <c r="J5" s="109">
        <f>SUM(F45,C46:C72)</f>
        <v>20050628.999983724</v>
      </c>
    </row>
    <row r="6" spans="1:10" ht="15" thickBot="1" x14ac:dyDescent="0.35">
      <c r="A6" s="107" t="s">
        <v>13</v>
      </c>
      <c r="B6" s="107" t="s">
        <v>1081</v>
      </c>
      <c r="C6" s="132">
        <v>2118850.5286231567</v>
      </c>
      <c r="D6" s="133"/>
      <c r="I6" s="105" t="s">
        <v>1166</v>
      </c>
      <c r="J6" s="109">
        <f>SUM(C23:C33)</f>
        <v>2495969.5847654464</v>
      </c>
    </row>
    <row r="7" spans="1:10" ht="14.4" x14ac:dyDescent="0.3">
      <c r="A7" s="107" t="s">
        <v>1082</v>
      </c>
      <c r="B7" s="107" t="s">
        <v>1083</v>
      </c>
      <c r="C7" s="122">
        <v>1575196.0268817195</v>
      </c>
      <c r="I7" s="105" t="s">
        <v>1167</v>
      </c>
      <c r="J7" s="109">
        <f>SUM(C34:C44,D45)</f>
        <v>11955618.003679024</v>
      </c>
    </row>
    <row r="8" spans="1:10" ht="14.4" x14ac:dyDescent="0.3">
      <c r="A8" s="107" t="s">
        <v>1082</v>
      </c>
      <c r="B8" s="107" t="s">
        <v>1084</v>
      </c>
      <c r="C8" s="112">
        <v>2199999.9999999958</v>
      </c>
      <c r="D8" s="105" t="s">
        <v>1156</v>
      </c>
    </row>
    <row r="9" spans="1:10" ht="14.4" x14ac:dyDescent="0.3">
      <c r="A9" s="107" t="s">
        <v>1082</v>
      </c>
      <c r="B9" s="107" t="s">
        <v>1085</v>
      </c>
      <c r="C9" s="112">
        <v>10000.000000000009</v>
      </c>
      <c r="D9" s="105" t="s">
        <v>1156</v>
      </c>
    </row>
    <row r="10" spans="1:10" ht="14.4" x14ac:dyDescent="0.3">
      <c r="A10" s="107" t="s">
        <v>1082</v>
      </c>
      <c r="B10" s="107" t="s">
        <v>1086</v>
      </c>
      <c r="C10" s="112">
        <v>9616.0000000000091</v>
      </c>
      <c r="D10" s="105" t="s">
        <v>1156</v>
      </c>
    </row>
    <row r="11" spans="1:10" ht="14.4" x14ac:dyDescent="0.3">
      <c r="A11" s="107" t="s">
        <v>1082</v>
      </c>
      <c r="B11" s="107" t="s">
        <v>1087</v>
      </c>
      <c r="C11" s="112">
        <v>40000.000000000335</v>
      </c>
      <c r="D11" s="105" t="s">
        <v>1156</v>
      </c>
    </row>
    <row r="12" spans="1:10" ht="14.4" x14ac:dyDescent="0.3">
      <c r="A12" s="107" t="s">
        <v>1082</v>
      </c>
      <c r="B12" s="107" t="s">
        <v>1088</v>
      </c>
      <c r="C12" s="112">
        <v>647100.00000000047</v>
      </c>
      <c r="D12" s="105" t="s">
        <v>1156</v>
      </c>
    </row>
    <row r="13" spans="1:10" ht="14.4" x14ac:dyDescent="0.3">
      <c r="A13" s="107" t="s">
        <v>1082</v>
      </c>
      <c r="B13" s="107" t="s">
        <v>1089</v>
      </c>
      <c r="C13" s="112">
        <v>2925611.7509742994</v>
      </c>
      <c r="D13" s="105" t="s">
        <v>1156</v>
      </c>
    </row>
    <row r="14" spans="1:10" ht="14.4" x14ac:dyDescent="0.3">
      <c r="A14" s="107" t="s">
        <v>1082</v>
      </c>
      <c r="B14" s="107" t="s">
        <v>1090</v>
      </c>
      <c r="C14" s="112">
        <v>2735471.5600000042</v>
      </c>
      <c r="D14" s="105" t="s">
        <v>1156</v>
      </c>
    </row>
    <row r="15" spans="1:10" ht="14.4" x14ac:dyDescent="0.3">
      <c r="A15" s="107" t="s">
        <v>1082</v>
      </c>
      <c r="B15" s="107" t="s">
        <v>1091</v>
      </c>
      <c r="C15" s="112">
        <v>275000.00000000035</v>
      </c>
      <c r="D15" s="105" t="s">
        <v>1156</v>
      </c>
    </row>
    <row r="16" spans="1:10" ht="14.4" x14ac:dyDescent="0.3">
      <c r="A16" s="107" t="s">
        <v>1082</v>
      </c>
      <c r="B16" s="107" t="s">
        <v>1092</v>
      </c>
      <c r="C16" s="112">
        <v>6764726.1199999964</v>
      </c>
      <c r="D16" s="105" t="s">
        <v>1156</v>
      </c>
    </row>
    <row r="17" spans="1:4" ht="14.4" x14ac:dyDescent="0.3">
      <c r="A17" s="107" t="s">
        <v>1082</v>
      </c>
      <c r="B17" s="107" t="s">
        <v>1093</v>
      </c>
      <c r="C17" s="112">
        <v>351600</v>
      </c>
      <c r="D17" s="105" t="s">
        <v>1156</v>
      </c>
    </row>
    <row r="18" spans="1:4" ht="14.4" x14ac:dyDescent="0.3">
      <c r="A18" s="107" t="s">
        <v>1082</v>
      </c>
      <c r="B18" s="107" t="s">
        <v>1094</v>
      </c>
      <c r="C18" s="112">
        <v>590460.79999999958</v>
      </c>
      <c r="D18" s="105" t="s">
        <v>1156</v>
      </c>
    </row>
    <row r="19" spans="1:4" ht="14.4" x14ac:dyDescent="0.3">
      <c r="A19" s="107" t="s">
        <v>1082</v>
      </c>
      <c r="B19" s="107" t="s">
        <v>1095</v>
      </c>
      <c r="C19" s="112">
        <v>12216</v>
      </c>
      <c r="D19" s="105" t="s">
        <v>1156</v>
      </c>
    </row>
    <row r="20" spans="1:4" ht="14.4" x14ac:dyDescent="0.3">
      <c r="A20" s="107" t="s">
        <v>1082</v>
      </c>
      <c r="B20" s="107" t="s">
        <v>1096</v>
      </c>
      <c r="C20" s="112">
        <v>10180.000000000009</v>
      </c>
      <c r="D20" s="105" t="s">
        <v>1156</v>
      </c>
    </row>
    <row r="21" spans="1:4" ht="14.4" x14ac:dyDescent="0.3">
      <c r="A21" s="107" t="s">
        <v>1082</v>
      </c>
      <c r="B21" s="107" t="s">
        <v>1097</v>
      </c>
      <c r="C21" s="112">
        <v>23363.000000000044</v>
      </c>
      <c r="D21" s="105" t="s">
        <v>1156</v>
      </c>
    </row>
    <row r="22" spans="1:4" ht="15" thickBot="1" x14ac:dyDescent="0.35">
      <c r="A22" s="107" t="s">
        <v>1082</v>
      </c>
      <c r="B22" s="107" t="s">
        <v>1098</v>
      </c>
      <c r="C22" s="112">
        <v>10000.000000000009</v>
      </c>
      <c r="D22" s="105" t="s">
        <v>1156</v>
      </c>
    </row>
    <row r="23" spans="1:4" ht="14.4" x14ac:dyDescent="0.3">
      <c r="A23" s="107" t="s">
        <v>1082</v>
      </c>
      <c r="B23" s="107" t="s">
        <v>1099</v>
      </c>
      <c r="C23" s="124">
        <v>5600.6400000000021</v>
      </c>
      <c r="D23" s="105" t="s">
        <v>1153</v>
      </c>
    </row>
    <row r="24" spans="1:4" ht="14.4" x14ac:dyDescent="0.3">
      <c r="A24" s="107" t="s">
        <v>1082</v>
      </c>
      <c r="B24" s="107" t="s">
        <v>1100</v>
      </c>
      <c r="C24" s="125">
        <v>5897.0000000000027</v>
      </c>
      <c r="D24" s="105" t="s">
        <v>1153</v>
      </c>
    </row>
    <row r="25" spans="1:4" ht="14.4" x14ac:dyDescent="0.3">
      <c r="A25" s="107" t="s">
        <v>1082</v>
      </c>
      <c r="B25" s="107" t="s">
        <v>1101</v>
      </c>
      <c r="C25" s="125">
        <v>1955.88</v>
      </c>
      <c r="D25" s="105" t="s">
        <v>1153</v>
      </c>
    </row>
    <row r="26" spans="1:4" ht="14.4" x14ac:dyDescent="0.3">
      <c r="A26" s="107" t="s">
        <v>1082</v>
      </c>
      <c r="B26" s="107" t="s">
        <v>1102</v>
      </c>
      <c r="C26" s="125">
        <v>2160</v>
      </c>
      <c r="D26" s="105" t="s">
        <v>1153</v>
      </c>
    </row>
    <row r="27" spans="1:4" ht="14.4" x14ac:dyDescent="0.3">
      <c r="A27" s="107" t="s">
        <v>1082</v>
      </c>
      <c r="B27" s="107" t="s">
        <v>1103</v>
      </c>
      <c r="C27" s="125">
        <v>67875.466290709024</v>
      </c>
      <c r="D27" s="105" t="s">
        <v>1153</v>
      </c>
    </row>
    <row r="28" spans="1:4" ht="14.4" x14ac:dyDescent="0.3">
      <c r="A28" s="107" t="s">
        <v>1082</v>
      </c>
      <c r="B28" s="107" t="s">
        <v>1104</v>
      </c>
      <c r="C28" s="125">
        <v>1432005.5906883506</v>
      </c>
      <c r="D28" s="105" t="s">
        <v>1153</v>
      </c>
    </row>
    <row r="29" spans="1:4" ht="14.4" x14ac:dyDescent="0.3">
      <c r="A29" s="107" t="s">
        <v>1082</v>
      </c>
      <c r="B29" s="107" t="s">
        <v>1105</v>
      </c>
      <c r="C29" s="125">
        <v>151630.12392000001</v>
      </c>
      <c r="D29" s="105" t="s">
        <v>1153</v>
      </c>
    </row>
    <row r="30" spans="1:4" ht="14.4" x14ac:dyDescent="0.3">
      <c r="A30" s="107" t="s">
        <v>1082</v>
      </c>
      <c r="B30" s="107" t="s">
        <v>1106</v>
      </c>
      <c r="C30" s="125">
        <v>368788.97728593159</v>
      </c>
      <c r="D30" s="105" t="s">
        <v>1153</v>
      </c>
    </row>
    <row r="31" spans="1:4" ht="14.4" x14ac:dyDescent="0.3">
      <c r="A31" s="107" t="s">
        <v>1082</v>
      </c>
      <c r="B31" s="107" t="s">
        <v>1107</v>
      </c>
      <c r="C31" s="125">
        <v>98112.664701172791</v>
      </c>
      <c r="D31" s="105" t="s">
        <v>1153</v>
      </c>
    </row>
    <row r="32" spans="1:4" ht="14.4" x14ac:dyDescent="0.3">
      <c r="A32" s="107" t="s">
        <v>1082</v>
      </c>
      <c r="B32" s="107" t="s">
        <v>1108</v>
      </c>
      <c r="C32" s="125">
        <v>24125.759999999998</v>
      </c>
      <c r="D32" s="105" t="s">
        <v>1153</v>
      </c>
    </row>
    <row r="33" spans="1:7" ht="14.4" x14ac:dyDescent="0.3">
      <c r="A33" s="107" t="s">
        <v>1082</v>
      </c>
      <c r="B33" s="107" t="s">
        <v>1109</v>
      </c>
      <c r="C33" s="125">
        <v>337817.48187928251</v>
      </c>
      <c r="D33" s="105" t="s">
        <v>1153</v>
      </c>
    </row>
    <row r="34" spans="1:7" ht="14.4" x14ac:dyDescent="0.3">
      <c r="A34" s="107" t="s">
        <v>1082</v>
      </c>
      <c r="B34" s="107" t="s">
        <v>1110</v>
      </c>
      <c r="C34" s="125">
        <v>7350225.2823712667</v>
      </c>
      <c r="D34" s="105" t="s">
        <v>1153</v>
      </c>
    </row>
    <row r="35" spans="1:7" ht="14.4" x14ac:dyDescent="0.3">
      <c r="A35" s="107" t="s">
        <v>1082</v>
      </c>
      <c r="B35" s="107" t="s">
        <v>1111</v>
      </c>
      <c r="C35" s="125">
        <v>160358.32795028877</v>
      </c>
      <c r="D35" s="105" t="s">
        <v>1153</v>
      </c>
    </row>
    <row r="36" spans="1:7" ht="14.4" x14ac:dyDescent="0.3">
      <c r="A36" s="107" t="s">
        <v>1082</v>
      </c>
      <c r="B36" s="107" t="s">
        <v>1112</v>
      </c>
      <c r="C36" s="125">
        <v>176332.18385338297</v>
      </c>
      <c r="D36" s="105" t="s">
        <v>1153</v>
      </c>
    </row>
    <row r="37" spans="1:7" ht="14.4" x14ac:dyDescent="0.3">
      <c r="A37" s="107" t="s">
        <v>1082</v>
      </c>
      <c r="B37" s="107" t="s">
        <v>1113</v>
      </c>
      <c r="C37" s="125">
        <v>257802.64636835709</v>
      </c>
      <c r="D37" s="105" t="s">
        <v>1153</v>
      </c>
    </row>
    <row r="38" spans="1:7" ht="14.4" x14ac:dyDescent="0.3">
      <c r="A38" s="107" t="s">
        <v>1082</v>
      </c>
      <c r="B38" s="107" t="s">
        <v>1114</v>
      </c>
      <c r="C38" s="125">
        <v>-1171929.7931309545</v>
      </c>
      <c r="D38" s="105" t="s">
        <v>1153</v>
      </c>
      <c r="F38" s="109">
        <f>SUM(F45,C46:C72)</f>
        <v>20050628.999983724</v>
      </c>
    </row>
    <row r="39" spans="1:7" ht="14.4" x14ac:dyDescent="0.3">
      <c r="A39" s="107" t="s">
        <v>1082</v>
      </c>
      <c r="B39" s="107" t="s">
        <v>1115</v>
      </c>
      <c r="C39" s="125">
        <v>1074021.8194743318</v>
      </c>
      <c r="D39" s="105" t="s">
        <v>1153</v>
      </c>
    </row>
    <row r="40" spans="1:7" ht="14.4" x14ac:dyDescent="0.3">
      <c r="A40" s="107" t="s">
        <v>1082</v>
      </c>
      <c r="B40" s="107" t="s">
        <v>1116</v>
      </c>
      <c r="C40" s="125">
        <v>73764.830857132751</v>
      </c>
      <c r="D40" s="105" t="s">
        <v>1153</v>
      </c>
    </row>
    <row r="41" spans="1:7" ht="14.4" x14ac:dyDescent="0.3">
      <c r="A41" s="107" t="s">
        <v>1082</v>
      </c>
      <c r="B41" s="107" t="s">
        <v>1117</v>
      </c>
      <c r="C41" s="125">
        <v>4813.793101956001</v>
      </c>
      <c r="D41" s="105" t="s">
        <v>1153</v>
      </c>
    </row>
    <row r="42" spans="1:7" ht="14.4" x14ac:dyDescent="0.3">
      <c r="A42" s="107" t="s">
        <v>1082</v>
      </c>
      <c r="B42" s="107" t="s">
        <v>1118</v>
      </c>
      <c r="C42" s="125">
        <v>-172197.52236805542</v>
      </c>
      <c r="D42" s="105" t="s">
        <v>1153</v>
      </c>
    </row>
    <row r="43" spans="1:7" ht="14.4" x14ac:dyDescent="0.3">
      <c r="A43" s="107" t="s">
        <v>1082</v>
      </c>
      <c r="B43" s="107" t="s">
        <v>1119</v>
      </c>
      <c r="C43" s="125">
        <v>587908.86225632892</v>
      </c>
      <c r="D43" s="105" t="s">
        <v>1153</v>
      </c>
    </row>
    <row r="44" spans="1:7" ht="15" thickBot="1" x14ac:dyDescent="0.35">
      <c r="A44" s="107" t="s">
        <v>1082</v>
      </c>
      <c r="B44" s="107" t="s">
        <v>1120</v>
      </c>
      <c r="C44" s="126">
        <v>-86934.578004659546</v>
      </c>
      <c r="D44" s="105" t="s">
        <v>1153</v>
      </c>
    </row>
    <row r="45" spans="1:7" ht="15" thickBot="1" x14ac:dyDescent="0.35">
      <c r="A45" s="107" t="s">
        <v>1082</v>
      </c>
      <c r="B45" s="107" t="s">
        <v>1121</v>
      </c>
      <c r="C45" s="108">
        <v>3981448.1509496486</v>
      </c>
      <c r="D45" s="127">
        <f>C45-'2.1 EIL Opex'!AD5</f>
        <v>3701452.1509496486</v>
      </c>
      <c r="E45" s="105" t="s">
        <v>1153</v>
      </c>
      <c r="F45" s="113">
        <f>C45-D45</f>
        <v>279996</v>
      </c>
      <c r="G45" s="105" t="s">
        <v>1154</v>
      </c>
    </row>
    <row r="46" spans="1:7" ht="14.4" x14ac:dyDescent="0.3">
      <c r="A46" s="107" t="s">
        <v>1082</v>
      </c>
      <c r="B46" s="107" t="s">
        <v>1122</v>
      </c>
      <c r="C46" s="114">
        <v>2068.9655166000002</v>
      </c>
    </row>
    <row r="47" spans="1:7" ht="14.4" x14ac:dyDescent="0.3">
      <c r="A47" s="107" t="s">
        <v>1082</v>
      </c>
      <c r="B47" s="107" t="s">
        <v>1123</v>
      </c>
      <c r="C47" s="114">
        <v>117024.76594073381</v>
      </c>
    </row>
    <row r="48" spans="1:7" ht="14.4" x14ac:dyDescent="0.3">
      <c r="A48" s="107" t="s">
        <v>1082</v>
      </c>
      <c r="B48" s="107" t="s">
        <v>1124</v>
      </c>
      <c r="C48" s="114">
        <v>250166.89647417239</v>
      </c>
    </row>
    <row r="49" spans="1:3" ht="14.4" x14ac:dyDescent="0.3">
      <c r="A49" s="107" t="s">
        <v>1082</v>
      </c>
      <c r="B49" s="107" t="s">
        <v>1125</v>
      </c>
      <c r="C49" s="114">
        <v>34482.758609999997</v>
      </c>
    </row>
    <row r="50" spans="1:3" ht="14.4" x14ac:dyDescent="0.3">
      <c r="A50" s="107" t="s">
        <v>1082</v>
      </c>
      <c r="B50" s="107" t="s">
        <v>1126</v>
      </c>
      <c r="C50" s="114">
        <v>2418477.1620088923</v>
      </c>
    </row>
    <row r="51" spans="1:3" ht="14.4" x14ac:dyDescent="0.3">
      <c r="A51" s="107" t="s">
        <v>1082</v>
      </c>
      <c r="B51" s="107" t="s">
        <v>1127</v>
      </c>
      <c r="C51" s="114">
        <v>124137.93099600001</v>
      </c>
    </row>
    <row r="52" spans="1:3" ht="14.4" x14ac:dyDescent="0.3">
      <c r="A52" s="107" t="s">
        <v>1082</v>
      </c>
      <c r="B52" s="107" t="s">
        <v>1128</v>
      </c>
      <c r="C52" s="114">
        <v>280617.24129231897</v>
      </c>
    </row>
    <row r="53" spans="1:3" ht="14.4" x14ac:dyDescent="0.3">
      <c r="A53" s="107" t="s">
        <v>1082</v>
      </c>
      <c r="B53" s="107" t="s">
        <v>1129</v>
      </c>
      <c r="C53" s="114">
        <v>695322.14847410528</v>
      </c>
    </row>
    <row r="54" spans="1:3" ht="14.4" x14ac:dyDescent="0.3">
      <c r="A54" s="107" t="s">
        <v>1082</v>
      </c>
      <c r="B54" s="107" t="s">
        <v>1130</v>
      </c>
      <c r="C54" s="114">
        <v>53499.705155828895</v>
      </c>
    </row>
    <row r="55" spans="1:3" ht="14.4" x14ac:dyDescent="0.3">
      <c r="A55" s="107" t="s">
        <v>1082</v>
      </c>
      <c r="B55" s="107" t="s">
        <v>1131</v>
      </c>
      <c r="C55" s="114">
        <v>1592020.8795064732</v>
      </c>
    </row>
    <row r="56" spans="1:3" ht="14.4" x14ac:dyDescent="0.3">
      <c r="A56" s="107" t="s">
        <v>1082</v>
      </c>
      <c r="B56" s="107" t="s">
        <v>1132</v>
      </c>
      <c r="C56" s="114">
        <v>2982339.1580857919</v>
      </c>
    </row>
    <row r="57" spans="1:3" ht="14.4" x14ac:dyDescent="0.3">
      <c r="A57" s="107" t="s">
        <v>1082</v>
      </c>
      <c r="B57" s="107" t="s">
        <v>1133</v>
      </c>
      <c r="C57" s="114">
        <v>1453850.5512334439</v>
      </c>
    </row>
    <row r="58" spans="1:3" ht="14.4" x14ac:dyDescent="0.3">
      <c r="A58" s="107" t="s">
        <v>1082</v>
      </c>
      <c r="B58" s="107" t="s">
        <v>1134</v>
      </c>
      <c r="C58" s="114">
        <v>1240349.8074206985</v>
      </c>
    </row>
    <row r="59" spans="1:3" ht="14.4" x14ac:dyDescent="0.3">
      <c r="A59" s="107" t="s">
        <v>1082</v>
      </c>
      <c r="B59" s="107" t="s">
        <v>1135</v>
      </c>
      <c r="C59" s="114">
        <v>7202574.6945065912</v>
      </c>
    </row>
    <row r="60" spans="1:3" ht="14.4" x14ac:dyDescent="0.3">
      <c r="A60" s="107" t="s">
        <v>1082</v>
      </c>
      <c r="B60" s="107" t="s">
        <v>1136</v>
      </c>
      <c r="C60" s="114">
        <v>52298.758604477014</v>
      </c>
    </row>
    <row r="61" spans="1:3" ht="14.4" x14ac:dyDescent="0.3">
      <c r="A61" s="107" t="s">
        <v>1082</v>
      </c>
      <c r="B61" s="107" t="s">
        <v>1137</v>
      </c>
      <c r="C61" s="114">
        <v>188886.06338972121</v>
      </c>
    </row>
    <row r="62" spans="1:3" ht="14.4" x14ac:dyDescent="0.3">
      <c r="A62" s="107" t="s">
        <v>1082</v>
      </c>
      <c r="B62" s="107" t="s">
        <v>1138</v>
      </c>
      <c r="C62" s="114">
        <v>443490.35158665589</v>
      </c>
    </row>
    <row r="63" spans="1:3" ht="14.4" x14ac:dyDescent="0.3">
      <c r="A63" s="107" t="s">
        <v>1082</v>
      </c>
      <c r="B63" s="107" t="s">
        <v>1139</v>
      </c>
      <c r="C63" s="114">
        <v>45972.41377885198</v>
      </c>
    </row>
    <row r="64" spans="1:3" ht="14.4" x14ac:dyDescent="0.3">
      <c r="A64" s="107" t="s">
        <v>1082</v>
      </c>
      <c r="B64" s="107" t="s">
        <v>1140</v>
      </c>
      <c r="C64" s="114">
        <v>-192758.62062989993</v>
      </c>
    </row>
    <row r="65" spans="1:4" ht="14.4" x14ac:dyDescent="0.3">
      <c r="A65" s="107" t="s">
        <v>1082</v>
      </c>
      <c r="B65" s="107" t="s">
        <v>1141</v>
      </c>
      <c r="C65" s="114">
        <v>181182.48270245417</v>
      </c>
    </row>
    <row r="66" spans="1:4" ht="14.4" x14ac:dyDescent="0.3">
      <c r="A66" s="107" t="s">
        <v>1082</v>
      </c>
      <c r="B66" s="107" t="s">
        <v>1142</v>
      </c>
      <c r="C66" s="114">
        <v>-44986.856537778214</v>
      </c>
    </row>
    <row r="67" spans="1:4" ht="14.4" x14ac:dyDescent="0.3">
      <c r="A67" s="107" t="s">
        <v>1082</v>
      </c>
      <c r="B67" s="107" t="s">
        <v>1143</v>
      </c>
      <c r="C67" s="114">
        <v>184577.41925312582</v>
      </c>
    </row>
    <row r="68" spans="1:4" ht="14.4" x14ac:dyDescent="0.3">
      <c r="A68" s="107" t="s">
        <v>1082</v>
      </c>
      <c r="B68" s="107" t="s">
        <v>1144</v>
      </c>
      <c r="C68" s="114">
        <v>2085.9599993533516</v>
      </c>
    </row>
    <row r="69" spans="1:4" ht="14.4" x14ac:dyDescent="0.3">
      <c r="A69" s="107" t="s">
        <v>1082</v>
      </c>
      <c r="B69" s="107" t="s">
        <v>1145</v>
      </c>
      <c r="C69" s="114">
        <v>139987.44823246598</v>
      </c>
    </row>
    <row r="70" spans="1:4" ht="14.4" x14ac:dyDescent="0.3">
      <c r="A70" s="107" t="s">
        <v>1082</v>
      </c>
      <c r="B70" s="107" t="s">
        <v>1146</v>
      </c>
      <c r="C70" s="114">
        <v>314542.44266111247</v>
      </c>
    </row>
    <row r="71" spans="1:4" ht="14.4" x14ac:dyDescent="0.3">
      <c r="A71" s="107" t="s">
        <v>1082</v>
      </c>
      <c r="B71" s="107" t="s">
        <v>1147</v>
      </c>
      <c r="C71" s="114">
        <v>1525.9199995269644</v>
      </c>
    </row>
    <row r="72" spans="1:4" ht="14.4" x14ac:dyDescent="0.3">
      <c r="A72" s="107" t="s">
        <v>1082</v>
      </c>
      <c r="B72" s="107" t="s">
        <v>1148</v>
      </c>
      <c r="C72" s="114">
        <v>6896.5517219999992</v>
      </c>
    </row>
    <row r="73" spans="1:4" ht="14.4" x14ac:dyDescent="0.3">
      <c r="A73" s="107" t="s">
        <v>1082</v>
      </c>
      <c r="B73" s="107" t="s">
        <v>1149</v>
      </c>
      <c r="C73" s="108">
        <v>1074107.7697819697</v>
      </c>
    </row>
    <row r="74" spans="1:4" ht="14.4" x14ac:dyDescent="0.3">
      <c r="A74" s="107" t="s">
        <v>1082</v>
      </c>
      <c r="B74" s="107" t="s">
        <v>1150</v>
      </c>
      <c r="C74" s="108">
        <v>5472104.8036197396</v>
      </c>
    </row>
    <row r="75" spans="1:4" ht="14.4" x14ac:dyDescent="0.3">
      <c r="A75" s="107" t="s">
        <v>1082</v>
      </c>
      <c r="B75" s="107" t="s">
        <v>1151</v>
      </c>
      <c r="C75" s="112">
        <v>2064367.9999999953</v>
      </c>
      <c r="D75" s="105" t="s">
        <v>1156</v>
      </c>
    </row>
  </sheetData>
  <mergeCells count="2">
    <mergeCell ref="A1:A2"/>
    <mergeCell ref="B1:B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B2D57-0FDC-410A-879C-96EEF27E34CB}">
  <sheetPr>
    <tabColor rgb="FFFFFF99"/>
  </sheetPr>
  <dimension ref="B2:C5"/>
  <sheetViews>
    <sheetView workbookViewId="0"/>
  </sheetViews>
  <sheetFormatPr defaultRowHeight="14.4" x14ac:dyDescent="0.3"/>
  <sheetData>
    <row r="2" spans="2:3" x14ac:dyDescent="0.3">
      <c r="C2" s="13">
        <v>2026</v>
      </c>
    </row>
    <row r="3" spans="2:3" x14ac:dyDescent="0.3">
      <c r="B3" s="10" t="s">
        <v>72</v>
      </c>
      <c r="C3" s="12">
        <v>0.87</v>
      </c>
    </row>
    <row r="4" spans="2:3" x14ac:dyDescent="0.3">
      <c r="B4" s="10" t="s">
        <v>57</v>
      </c>
      <c r="C4" s="11">
        <v>1</v>
      </c>
    </row>
    <row r="5" spans="2:3" x14ac:dyDescent="0.3">
      <c r="B5" s="10" t="s">
        <v>213</v>
      </c>
      <c r="C5" s="11">
        <v>1.17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4DFF799627B64AB672D9E8C55706F0" ma:contentTypeVersion="16" ma:contentTypeDescription="Create a new document." ma:contentTypeScope="" ma:versionID="b45665af5ad2ecf530fb4a7f965cd335">
  <xsd:schema xmlns:xsd="http://www.w3.org/2001/XMLSchema" xmlns:xs="http://www.w3.org/2001/XMLSchema" xmlns:p="http://schemas.microsoft.com/office/2006/metadata/properties" xmlns:ns2="d58b7006-d2c9-4d9c-9854-98e3d16684c3" xmlns:ns3="79b84f3d-77e9-46d4-8da1-8c0855c299a3" targetNamespace="http://schemas.microsoft.com/office/2006/metadata/properties" ma:root="true" ma:fieldsID="dbd9cd92920d3d510359322761f5d67d" ns2:_="" ns3:_="">
    <xsd:import namespace="d58b7006-d2c9-4d9c-9854-98e3d16684c3"/>
    <xsd:import namespace="79b84f3d-77e9-46d4-8da1-8c0855c299a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ServiceLocation"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8b7006-d2c9-4d9c-9854-98e3d16684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203e401-7ff8-4a09-ae52-90fe9b25a2b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b84f3d-77e9-46d4-8da1-8c0855c299a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d62d93c5-a5df-4772-ba19-3d1bcd942692}" ma:internalName="TaxCatchAll" ma:showField="CatchAllData" ma:web="79b84f3d-77e9-46d4-8da1-8c0855c299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58b7006-d2c9-4d9c-9854-98e3d16684c3">
      <Terms xmlns="http://schemas.microsoft.com/office/infopath/2007/PartnerControls"/>
    </lcf76f155ced4ddcb4097134ff3c332f>
    <TaxCatchAll xmlns="79b84f3d-77e9-46d4-8da1-8c0855c299a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673561-6865-43AA-A924-3F3B423BE4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8b7006-d2c9-4d9c-9854-98e3d16684c3"/>
    <ds:schemaRef ds:uri="79b84f3d-77e9-46d4-8da1-8c0855c29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0B9372-7833-4AA8-BA52-50C1A82529B8}">
  <ds:schemaRefs>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d58b7006-d2c9-4d9c-9854-98e3d16684c3"/>
    <ds:schemaRef ds:uri="79b84f3d-77e9-46d4-8da1-8c0855c299a3"/>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06EB8AEC-9867-481B-B245-93987CCB48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Contents</vt:lpstr>
      <vt:lpstr>1. Budget Overview (EUR)</vt:lpstr>
      <vt:lpstr>2.1 EIL Opex</vt:lpstr>
      <vt:lpstr>2.2 EIL COS</vt:lpstr>
      <vt:lpstr>2.3 EIL Capex </vt:lpstr>
      <vt:lpstr>3.1 THIF Opex</vt:lpstr>
      <vt:lpstr>3.2 THIF COS</vt:lpstr>
      <vt:lpstr>3.3 THIF Capex</vt:lpstr>
      <vt:lpstr>THIF</vt:lpstr>
      <vt:lpstr>4.1 Simplify Investments </vt:lpstr>
      <vt:lpstr>4.2 Simplify Savings</vt:lpstr>
      <vt:lpstr>5. FX Rates</vt:lpstr>
      <vt:lpstr>Reports&gt;&gt;&gt;&gt;</vt:lpstr>
      <vt:lpstr>FM PL - Operating Expenses</vt:lpstr>
      <vt:lpstr>Information about this Sheet</vt:lpstr>
      <vt:lpstr>Reference </vt:lpstr>
      <vt:lpstr>Sheet3</vt:lpstr>
      <vt:lpstr>Report Data</vt:lpstr>
      <vt:lpstr>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Paolo RODEGHIERO</cp:lastModifiedBy>
  <cp:revision/>
  <dcterms:created xsi:type="dcterms:W3CDTF">2025-10-21T09:19:09Z</dcterms:created>
  <dcterms:modified xsi:type="dcterms:W3CDTF">2026-02-15T15:03:50Z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0x010100104DFF799627B64AB672D9E8C55706F0</vt:lpwstr>
  </property>
  <property fmtid="{D5CDD505-2E9C-101B-9397-08002B2CF9AE}" pid="3" name="MediaServiceImageTags">
    <vt:lpwstr/>
  </property>
  <property fmtid="{D5CDD505-2E9C-101B-9397-08002B2CF9AE}" pid="4" name="MSIP_Label_87ef74b6-683a-4874-922e-f03fa5e0ee9f_Enabled">
    <vt:lpwstr>true</vt:lpwstr>
  </property>
  <property fmtid="{D5CDD505-2E9C-101B-9397-08002B2CF9AE}" pid="5" name="MSIP_Label_87ef74b6-683a-4874-922e-f03fa5e0ee9f_SetDate">
    <vt:lpwstr>2026-02-15T15:03:13Z</vt:lpwstr>
  </property>
  <property fmtid="{D5CDD505-2E9C-101B-9397-08002B2CF9AE}" pid="6" name="MSIP_Label_87ef74b6-683a-4874-922e-f03fa5e0ee9f_Method">
    <vt:lpwstr>Standard</vt:lpwstr>
  </property>
  <property fmtid="{D5CDD505-2E9C-101B-9397-08002B2CF9AE}" pid="7" name="MSIP_Label_87ef74b6-683a-4874-922e-f03fa5e0ee9f_Name">
    <vt:lpwstr>Internal Only</vt:lpwstr>
  </property>
  <property fmtid="{D5CDD505-2E9C-101B-9397-08002B2CF9AE}" pid="8" name="MSIP_Label_87ef74b6-683a-4874-922e-f03fa5e0ee9f_SiteId">
    <vt:lpwstr>34dc47b4-7068-4e4c-9fd0-df28979f3c6b</vt:lpwstr>
  </property>
  <property fmtid="{D5CDD505-2E9C-101B-9397-08002B2CF9AE}" pid="9" name="MSIP_Label_87ef74b6-683a-4874-922e-f03fa5e0ee9f_ActionId">
    <vt:lpwstr>818444e5-701e-457c-8ee0-09468534375b</vt:lpwstr>
  </property>
  <property fmtid="{D5CDD505-2E9C-101B-9397-08002B2CF9AE}" pid="10" name="MSIP_Label_87ef74b6-683a-4874-922e-f03fa5e0ee9f_ContentBits">
    <vt:lpwstr>0</vt:lpwstr>
  </property>
  <property fmtid="{D5CDD505-2E9C-101B-9397-08002B2CF9AE}" pid="11" name="MSIP_Label_87ef74b6-683a-4874-922e-f03fa5e0ee9f_Tag">
    <vt:lpwstr>10, 3, 0, 1</vt:lpwstr>
  </property>
</Properties>
</file>